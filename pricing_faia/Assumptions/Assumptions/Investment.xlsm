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7" Type="http://schemas.openxmlformats.org/officeDocument/2006/relationships/custom-properties" Target="docProps/custom.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R:\IAv3.3Gen2\2025Plan\v4.2_v7_FAIA_2025Updates\Projects\Fixed Indexed Annuity\ProjectData\2013YearEnd\Assumptions\"/>
    </mc:Choice>
  </mc:AlternateContent>
  <xr:revisionPtr revIDLastSave="0" documentId="13_ncr:1_{38A2C97D-BDA9-42AC-AEA8-CB9E9D67D949}" xr6:coauthVersionLast="36" xr6:coauthVersionMax="47" xr10:uidLastSave="{00000000-0000-0000-0000-000000000000}"/>
  <bookViews>
    <workbookView xWindow="54600" yWindow="0" windowWidth="25800" windowHeight="21000" tabRatio="799" firstSheet="8" activeTab="11" xr2:uid="{00000000-000D-0000-FFFF-FFFF00000000}"/>
  </bookViews>
  <sheets>
    <sheet name="Change Log" sheetId="12" r:id="rId1"/>
    <sheet name="Table of Contents" sheetId="13" r:id="rId2"/>
    <sheet name="Asset Run Control" sheetId="14" r:id="rId3"/>
    <sheet name="Cash" sheetId="28" r:id="rId4"/>
    <sheet name="Decrements" sheetId="17" r:id="rId5"/>
    <sheet name="RefinanceForeclosureRestructure" sheetId="19" r:id="rId6"/>
    <sheet name="Sec Cash Flows" sheetId="27" r:id="rId7"/>
    <sheet name="Asset Sub Portfolios" sheetId="15" r:id="rId8"/>
    <sheet name="Balance Sheet" sheetId="18" r:id="rId9"/>
    <sheet name="Purch AIG Bond Defn" sheetId="30" r:id="rId10"/>
    <sheet name="DurationMatchStrategy" sheetId="32" r:id="rId11"/>
    <sheet name="Strategy" sheetId="20" r:id="rId12"/>
    <sheet name="Purch Mtg Defn" sheetId="21" r:id="rId13"/>
    <sheet name="Purch Bond Defn" sheetId="16" r:id="rId14"/>
    <sheet name="Purch Sec Defn" sheetId="22" r:id="rId15"/>
    <sheet name="Purch Ird Defn" sheetId="23" r:id="rId16"/>
    <sheet name="Purch Re Defn" sheetId="24" r:id="rId17"/>
    <sheet name="Purch Eqt Defn" sheetId="25" r:id="rId18"/>
    <sheet name="Purch Eio Defn" sheetId="26" r:id="rId19"/>
  </sheets>
  <functionGroups builtInGroupCount="19"/>
  <definedNames>
    <definedName name="_xlnm._FilterDatabase" localSheetId="10" hidden="1">DurationMatchStrategy!$A$4:$AF$4</definedName>
    <definedName name="_xleta.MATCH" hidden="1">#NAME?</definedName>
    <definedName name="AIGBondCashFlowPctInputVector">'Purch AIG Bond Defn'!$B$8:$K$50</definedName>
    <definedName name="AIGBondTargetAssetDuration">'Purch AIG Bond Defn'!#REF!</definedName>
    <definedName name="AssetRunControl">'Asset Run Control'!$B$4:$C$40</definedName>
    <definedName name="AssetSubPortDefn">'Asset Sub Portfolios'!$B$15:$P$31</definedName>
    <definedName name="AssetSubPorts">'Asset Sub Portfolios'!$B$4:$C$12</definedName>
    <definedName name="BalanceSheet">'Balance Sheet'!$B$4:$C$22</definedName>
    <definedName name="BalloonPrinPmtPct">Decrements!$B$123:$D$126</definedName>
    <definedName name="CallPutExercisePct">Decrements!$B$142:$H$147</definedName>
    <definedName name="CallPutPricePct">Decrements!$B$129:$G$133</definedName>
    <definedName name="Cash">Cash!$B$4:$C$18</definedName>
    <definedName name="CashFlowPctByProduct">'Purch AIG Bond Defn'!$B$54:$EB$96</definedName>
    <definedName name="Decrements">Decrements!$B$4:$S$60</definedName>
    <definedName name="ForeclosureRateMultMthsBefMaturity">Decrements!$B$93:$D$96</definedName>
    <definedName name="ForeclosureRateMultMthsSinceIssue">Decrements!$B$87:$D$90</definedName>
    <definedName name="ForeclosureRatePct">Decrements!$B$81:$D$84</definedName>
    <definedName name="InvStratAssetSubPortInvTgtPct">Strategy!$B$49:$BJ$65</definedName>
    <definedName name="InvStratAssetSubPortInvTgtPctInforceMixPtp">Strategy!$B$139:$C$141</definedName>
    <definedName name="InvStratAssetSubPortInvTgtPctPbaGaap">Strategy!$B$191:$C$193</definedName>
    <definedName name="InvStratCashPctDistribnDefn">Strategy!$B$43:$BJ$46</definedName>
    <definedName name="InvStratCashPctDistribnDefnInforceMixPtp">Strategy!$B$133:$C$136</definedName>
    <definedName name="InvStratCashPctDistribnDefnPbaGaap">Strategy!$B$174:$C$177</definedName>
    <definedName name="InvStratEconomic">Strategy!$B$114:$C$130</definedName>
    <definedName name="InvStratEconomicInforceMixPtp">Strategy!$B$155:$C$171</definedName>
    <definedName name="InvStratEconomicPbaGaap">Strategy!$B$196:$C$212</definedName>
    <definedName name="InvStratPlanned">DurationMatchStrategy!$C$3:$L$387</definedName>
    <definedName name="InvStratPlannedInforceMixPtp">Strategy!$B$150:$I$152</definedName>
    <definedName name="InvStratPlannedPbaGaap">Strategy!$B$180:$I$182</definedName>
    <definedName name="InvStratPurchAssetSubPortIdAndWght">Strategy!$B$68:$DR$111</definedName>
    <definedName name="InvStratPurchAssetSubPortIdAndWghtInforceMixPtp">Strategy!$B$144:$D$147</definedName>
    <definedName name="InvStratPurchAssetSubPortIdAndWghtPbaGaap">Strategy!$B$185:$D$188</definedName>
    <definedName name="NegCashFlowStratEconomic">Strategy!$B$220:$C$239</definedName>
    <definedName name="NegCashFlowStratPlanned">Strategy!$B$215:$L$217</definedName>
    <definedName name="PrepmtExercisePct">Decrements!$B$150:$D$154</definedName>
    <definedName name="PrepmtNonfinancialAdj">Decrements!$B$179:$D$183</definedName>
    <definedName name="PrepmtNonfinancialSeasonalityAddn">Decrements!$B$163:$D$176</definedName>
    <definedName name="PrepmtPenaltyPct">Decrements!$B$136:$D$139</definedName>
    <definedName name="PrepmtSeasoningSinceIssueMult">Decrements!$B$157:$D$160</definedName>
    <definedName name="PurchAssetsDefnAIGBond">'Purch AIG Bond Defn'!$B$4:$C$5</definedName>
    <definedName name="PurchAssetsDefnBond">'Purch Bond Defn'!$B$4:$AJ$45</definedName>
    <definedName name="PurchAssetsDefnBondCallPutPricePct">'Purch Bond Defn'!$B$48:$AB$55</definedName>
    <definedName name="PurchAssetsDefnBondSinkFundPrinPmtPct">'Purch Bond Defn'!$B$58:$Z$64</definedName>
    <definedName name="PurchAssetsDefnEio">'Purch Eio Defn'!$B$4:$I$25</definedName>
    <definedName name="PurchAssetsDefnEqt">'Purch Eqt Defn'!$B$4:$C$18</definedName>
    <definedName name="PurchAssetsDefnIrd">'Purch Ird Defn'!$B$4:$C$28</definedName>
    <definedName name="PurchAssetsDefnMtg">'Purch Mtg Defn'!$B$4:$H$39</definedName>
    <definedName name="PurchAssetsDefnMtgBalloonPrinPmtPct">'Purch Mtg Defn'!$B$51:$L$57</definedName>
    <definedName name="PurchAssetsDefnMtgPrepmtPenaltyPct">'Purch Mtg Defn'!$B$42:$C$48</definedName>
    <definedName name="PurchAssetsDefnRe">'Purch Re Defn'!$B$4:$C$20</definedName>
    <definedName name="PurchAssetsDefnSec">'Purch Sec Defn'!$B$4:$C$64</definedName>
    <definedName name="PurchAssetsDefnSecCpPrepmtPenaltyPct">'Purch Sec Defn'!$B$78:$C$85</definedName>
    <definedName name="PurchAssetsDefnSecSchedules">'Purch Sec Defn'!$B$67:$G$75</definedName>
    <definedName name="RefinanceForeclosureRestructureInvestments">RefinanceForeclosureRestructure!$B$4:$C$14</definedName>
    <definedName name="RefinanceRateMultBefMaturity">Decrements!$B$75:$D$78</definedName>
    <definedName name="RefinanceRateMultSinceIssue">Decrements!$B$69:$D$72</definedName>
    <definedName name="RefinanceRatePct">Decrements!$B$63:$D$66</definedName>
    <definedName name="RestructureRateMultMthsBefMaturity">Decrements!$B$111:$D$114</definedName>
    <definedName name="RestructureRateMultMthsSinceIssue">Decrements!$B$105:$D$108</definedName>
    <definedName name="RestructureRatePct">Decrements!$B$99:$D$102</definedName>
    <definedName name="SecuritizedAssetCashFlows">'Sec Cash Flows'!$B$4:$G$8</definedName>
    <definedName name="SinkingFundPrinPmtPct">Decrements!$B$117:$D$120</definedName>
    <definedName name="Strategy">Strategy!$B$4:$C$40</definedName>
  </definedNames>
  <calcPr calcId="191029"/>
</workbook>
</file>

<file path=xl/calcChain.xml><?xml version="1.0" encoding="utf-8"?>
<calcChain xmlns="http://schemas.openxmlformats.org/spreadsheetml/2006/main">
  <c r="P387" i="32" l="1"/>
  <c r="O387" i="32"/>
  <c r="N387" i="32"/>
  <c r="L387" i="32"/>
  <c r="F387" i="32"/>
  <c r="G387" i="32" s="1"/>
  <c r="H387" i="32" s="1"/>
  <c r="I387" i="32" s="1"/>
  <c r="J387" i="32" s="1"/>
  <c r="E387" i="32"/>
  <c r="P57" i="32" l="1"/>
  <c r="O57" i="32"/>
  <c r="N57" i="32"/>
  <c r="G57" i="32"/>
  <c r="H57" i="32" s="1"/>
  <c r="I57" i="32" s="1"/>
  <c r="J57" i="32" s="1"/>
  <c r="P56" i="32"/>
  <c r="O56" i="32"/>
  <c r="N56" i="32"/>
  <c r="G56" i="32"/>
  <c r="H56" i="32" s="1"/>
  <c r="I56" i="32" s="1"/>
  <c r="J56" i="32" s="1"/>
  <c r="P55" i="32"/>
  <c r="O55" i="32"/>
  <c r="N55" i="32"/>
  <c r="G55" i="32"/>
  <c r="H55" i="32" s="1"/>
  <c r="I55" i="32" s="1"/>
  <c r="J55" i="32" s="1"/>
  <c r="P54" i="32"/>
  <c r="O54" i="32"/>
  <c r="N54" i="32"/>
  <c r="G54" i="32"/>
  <c r="H54" i="32" s="1"/>
  <c r="I54" i="32" s="1"/>
  <c r="J54" i="32" s="1"/>
  <c r="P53" i="32"/>
  <c r="O53" i="32"/>
  <c r="N53" i="32"/>
  <c r="G53" i="32"/>
  <c r="H53" i="32" s="1"/>
  <c r="I53" i="32" s="1"/>
  <c r="J53" i="32" s="1"/>
  <c r="E57" i="32"/>
  <c r="E56" i="32"/>
  <c r="E55" i="32"/>
  <c r="E54" i="32"/>
  <c r="E53" i="32"/>
  <c r="C8" i="15" l="1"/>
  <c r="B14" i="15"/>
  <c r="DF111" i="20" l="1"/>
  <c r="DD111" i="20"/>
  <c r="DB111" i="20"/>
  <c r="CZ111" i="20"/>
  <c r="CX111" i="20"/>
  <c r="CV111" i="20"/>
  <c r="AY65" i="20"/>
  <c r="AX65" i="20"/>
  <c r="BD65" i="20"/>
  <c r="BC65" i="20"/>
  <c r="BB65" i="20"/>
  <c r="BA65" i="20"/>
  <c r="AZ65" i="20"/>
  <c r="AW65" i="20"/>
  <c r="AV65" i="20"/>
  <c r="AU65" i="20"/>
  <c r="M42" i="20"/>
  <c r="N42" i="20" s="1"/>
  <c r="O42" i="20" s="1"/>
  <c r="P42" i="20" s="1"/>
  <c r="Q42" i="20" s="1"/>
  <c r="R42" i="20" s="1"/>
  <c r="S42" i="20" s="1"/>
  <c r="T42" i="20" s="1"/>
  <c r="U42" i="20" s="1"/>
  <c r="V42" i="20" s="1"/>
  <c r="W42" i="20" s="1"/>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P386" i="32" l="1"/>
  <c r="O386" i="32"/>
  <c r="N386" i="32"/>
  <c r="L386" i="32"/>
  <c r="F386" i="32"/>
  <c r="G386" i="32" s="1"/>
  <c r="H386" i="32" s="1"/>
  <c r="I386" i="32" s="1"/>
  <c r="J386" i="32" s="1"/>
  <c r="E386" i="32"/>
  <c r="P385" i="32"/>
  <c r="O385" i="32"/>
  <c r="N385" i="32"/>
  <c r="L385" i="32"/>
  <c r="F385" i="32"/>
  <c r="G385" i="32" s="1"/>
  <c r="H385" i="32" s="1"/>
  <c r="I385" i="32" s="1"/>
  <c r="J385" i="32" s="1"/>
  <c r="E385" i="32"/>
  <c r="P384" i="32"/>
  <c r="O384" i="32"/>
  <c r="N384" i="32"/>
  <c r="L384" i="32"/>
  <c r="F384" i="32"/>
  <c r="G384" i="32" s="1"/>
  <c r="H384" i="32" s="1"/>
  <c r="I384" i="32" s="1"/>
  <c r="J384" i="32" s="1"/>
  <c r="E384" i="32"/>
  <c r="P383" i="32"/>
  <c r="O383" i="32"/>
  <c r="N383" i="32"/>
  <c r="L383" i="32"/>
  <c r="F383" i="32"/>
  <c r="G383" i="32" s="1"/>
  <c r="H383" i="32" s="1"/>
  <c r="I383" i="32" s="1"/>
  <c r="J383" i="32" s="1"/>
  <c r="E383" i="32"/>
  <c r="P382" i="32"/>
  <c r="O382" i="32"/>
  <c r="N382" i="32"/>
  <c r="L382" i="32"/>
  <c r="F382" i="32"/>
  <c r="G382" i="32" s="1"/>
  <c r="H382" i="32" s="1"/>
  <c r="I382" i="32" s="1"/>
  <c r="J382" i="32" s="1"/>
  <c r="E382" i="32"/>
  <c r="P381" i="32"/>
  <c r="O381" i="32"/>
  <c r="N381" i="32"/>
  <c r="L381" i="32"/>
  <c r="F381" i="32"/>
  <c r="G381" i="32" s="1"/>
  <c r="H381" i="32" s="1"/>
  <c r="I381" i="32" s="1"/>
  <c r="J381" i="32" s="1"/>
  <c r="E381" i="32"/>
  <c r="E380" i="32"/>
  <c r="B380" i="32"/>
  <c r="P380" i="32" s="1"/>
  <c r="A380" i="32"/>
  <c r="L380" i="32" s="1"/>
  <c r="P379" i="32"/>
  <c r="O379" i="32"/>
  <c r="N379" i="32"/>
  <c r="L379" i="32"/>
  <c r="F379" i="32"/>
  <c r="G379" i="32" s="1"/>
  <c r="H379" i="32" s="1"/>
  <c r="I379" i="32" s="1"/>
  <c r="J379" i="32" s="1"/>
  <c r="E379" i="32"/>
  <c r="P378" i="32"/>
  <c r="O378" i="32"/>
  <c r="N378" i="32"/>
  <c r="L378" i="32"/>
  <c r="F378" i="32"/>
  <c r="G378" i="32" s="1"/>
  <c r="H378" i="32" s="1"/>
  <c r="I378" i="32" s="1"/>
  <c r="J378" i="32" s="1"/>
  <c r="E378" i="32"/>
  <c r="P377" i="32"/>
  <c r="O377" i="32"/>
  <c r="N377" i="32"/>
  <c r="L377" i="32"/>
  <c r="F377" i="32"/>
  <c r="G377" i="32" s="1"/>
  <c r="H377" i="32" s="1"/>
  <c r="I377" i="32" s="1"/>
  <c r="J377" i="32" s="1"/>
  <c r="E377" i="32"/>
  <c r="P376" i="32"/>
  <c r="O376" i="32"/>
  <c r="N376" i="32"/>
  <c r="L376" i="32"/>
  <c r="F376" i="32"/>
  <c r="G376" i="32" s="1"/>
  <c r="H376" i="32" s="1"/>
  <c r="I376" i="32" s="1"/>
  <c r="J376" i="32" s="1"/>
  <c r="E376" i="32"/>
  <c r="P375" i="32"/>
  <c r="O375" i="32"/>
  <c r="N375" i="32"/>
  <c r="L375" i="32"/>
  <c r="F375" i="32"/>
  <c r="G375" i="32" s="1"/>
  <c r="H375" i="32" s="1"/>
  <c r="I375" i="32" s="1"/>
  <c r="J375" i="32" s="1"/>
  <c r="E375" i="32"/>
  <c r="P374" i="32"/>
  <c r="O374" i="32"/>
  <c r="N374" i="32"/>
  <c r="L374" i="32"/>
  <c r="F374" i="32"/>
  <c r="G374" i="32" s="1"/>
  <c r="H374" i="32" s="1"/>
  <c r="I374" i="32" s="1"/>
  <c r="J374" i="32" s="1"/>
  <c r="E374" i="32"/>
  <c r="P373" i="32"/>
  <c r="O373" i="32"/>
  <c r="N373" i="32"/>
  <c r="L373" i="32"/>
  <c r="F373" i="32"/>
  <c r="G373" i="32" s="1"/>
  <c r="H373" i="32" s="1"/>
  <c r="I373" i="32" s="1"/>
  <c r="J373" i="32" s="1"/>
  <c r="E373" i="32"/>
  <c r="P372" i="32"/>
  <c r="O372" i="32"/>
  <c r="N372" i="32"/>
  <c r="L372" i="32"/>
  <c r="F372" i="32"/>
  <c r="G372" i="32" s="1"/>
  <c r="H372" i="32" s="1"/>
  <c r="I372" i="32" s="1"/>
  <c r="J372" i="32" s="1"/>
  <c r="E372" i="32"/>
  <c r="P371" i="32"/>
  <c r="O371" i="32"/>
  <c r="N371" i="32"/>
  <c r="L371" i="32"/>
  <c r="F371" i="32"/>
  <c r="G371" i="32" s="1"/>
  <c r="H371" i="32" s="1"/>
  <c r="I371" i="32" s="1"/>
  <c r="J371" i="32" s="1"/>
  <c r="E371" i="32"/>
  <c r="P370" i="32"/>
  <c r="O370" i="32"/>
  <c r="N370" i="32"/>
  <c r="L370" i="32"/>
  <c r="F370" i="32"/>
  <c r="G370" i="32" s="1"/>
  <c r="H370" i="32" s="1"/>
  <c r="I370" i="32" s="1"/>
  <c r="J370" i="32" s="1"/>
  <c r="E370" i="32"/>
  <c r="P369" i="32"/>
  <c r="O369" i="32"/>
  <c r="N369" i="32"/>
  <c r="L369" i="32"/>
  <c r="F369" i="32"/>
  <c r="G369" i="32" s="1"/>
  <c r="H369" i="32" s="1"/>
  <c r="I369" i="32" s="1"/>
  <c r="J369" i="32" s="1"/>
  <c r="E369" i="32"/>
  <c r="P368" i="32"/>
  <c r="O368" i="32"/>
  <c r="N368" i="32"/>
  <c r="L368" i="32"/>
  <c r="F368" i="32"/>
  <c r="G368" i="32" s="1"/>
  <c r="H368" i="32" s="1"/>
  <c r="I368" i="32" s="1"/>
  <c r="J368" i="32" s="1"/>
  <c r="E368" i="32"/>
  <c r="P367" i="32"/>
  <c r="O367" i="32"/>
  <c r="N367" i="32"/>
  <c r="L367" i="32"/>
  <c r="F367" i="32"/>
  <c r="G367" i="32" s="1"/>
  <c r="H367" i="32" s="1"/>
  <c r="I367" i="32" s="1"/>
  <c r="J367" i="32" s="1"/>
  <c r="E367" i="32"/>
  <c r="P366" i="32"/>
  <c r="O366" i="32"/>
  <c r="N366" i="32"/>
  <c r="L366" i="32"/>
  <c r="F366" i="32"/>
  <c r="G366" i="32" s="1"/>
  <c r="H366" i="32" s="1"/>
  <c r="I366" i="32" s="1"/>
  <c r="J366" i="32" s="1"/>
  <c r="E366" i="32"/>
  <c r="P365" i="32"/>
  <c r="O365" i="32"/>
  <c r="N365" i="32"/>
  <c r="L365" i="32"/>
  <c r="F365" i="32"/>
  <c r="G365" i="32" s="1"/>
  <c r="H365" i="32" s="1"/>
  <c r="I365" i="32" s="1"/>
  <c r="J365" i="32" s="1"/>
  <c r="E365" i="32"/>
  <c r="P364" i="32"/>
  <c r="O364" i="32"/>
  <c r="N364" i="32"/>
  <c r="L364" i="32"/>
  <c r="F364" i="32"/>
  <c r="G364" i="32" s="1"/>
  <c r="H364" i="32" s="1"/>
  <c r="I364" i="32" s="1"/>
  <c r="J364" i="32" s="1"/>
  <c r="E364" i="32"/>
  <c r="P363" i="32"/>
  <c r="O363" i="32"/>
  <c r="N363" i="32"/>
  <c r="L363" i="32"/>
  <c r="F363" i="32"/>
  <c r="G363" i="32" s="1"/>
  <c r="H363" i="32" s="1"/>
  <c r="I363" i="32" s="1"/>
  <c r="J363" i="32" s="1"/>
  <c r="E363" i="32"/>
  <c r="P362" i="32"/>
  <c r="O362" i="32"/>
  <c r="N362" i="32"/>
  <c r="L362" i="32"/>
  <c r="F362" i="32"/>
  <c r="G362" i="32" s="1"/>
  <c r="H362" i="32" s="1"/>
  <c r="I362" i="32" s="1"/>
  <c r="J362" i="32" s="1"/>
  <c r="E362" i="32"/>
  <c r="P361" i="32"/>
  <c r="O361" i="32"/>
  <c r="N361" i="32"/>
  <c r="L361" i="32"/>
  <c r="F361" i="32"/>
  <c r="G361" i="32" s="1"/>
  <c r="H361" i="32" s="1"/>
  <c r="I361" i="32" s="1"/>
  <c r="J361" i="32" s="1"/>
  <c r="E361" i="32"/>
  <c r="P360" i="32"/>
  <c r="O360" i="32"/>
  <c r="N360" i="32"/>
  <c r="L360" i="32"/>
  <c r="F360" i="32"/>
  <c r="G360" i="32" s="1"/>
  <c r="H360" i="32" s="1"/>
  <c r="I360" i="32" s="1"/>
  <c r="J360" i="32" s="1"/>
  <c r="E360" i="32"/>
  <c r="P359" i="32"/>
  <c r="O359" i="32"/>
  <c r="N359" i="32"/>
  <c r="L359" i="32"/>
  <c r="F359" i="32"/>
  <c r="G359" i="32" s="1"/>
  <c r="H359" i="32" s="1"/>
  <c r="I359" i="32" s="1"/>
  <c r="J359" i="32" s="1"/>
  <c r="E359" i="32"/>
  <c r="P358" i="32"/>
  <c r="O358" i="32"/>
  <c r="N358" i="32"/>
  <c r="L358" i="32"/>
  <c r="F358" i="32"/>
  <c r="G358" i="32" s="1"/>
  <c r="H358" i="32" s="1"/>
  <c r="I358" i="32" s="1"/>
  <c r="J358" i="32" s="1"/>
  <c r="E358" i="32"/>
  <c r="P357" i="32"/>
  <c r="O357" i="32"/>
  <c r="N357" i="32"/>
  <c r="L357" i="32"/>
  <c r="F357" i="32"/>
  <c r="G357" i="32" s="1"/>
  <c r="H357" i="32" s="1"/>
  <c r="I357" i="32" s="1"/>
  <c r="J357" i="32" s="1"/>
  <c r="E357" i="32"/>
  <c r="P356" i="32"/>
  <c r="O356" i="32"/>
  <c r="N356" i="32"/>
  <c r="L356" i="32"/>
  <c r="F356" i="32"/>
  <c r="G356" i="32" s="1"/>
  <c r="H356" i="32" s="1"/>
  <c r="I356" i="32" s="1"/>
  <c r="J356" i="32" s="1"/>
  <c r="E356" i="32"/>
  <c r="P355" i="32"/>
  <c r="O355" i="32"/>
  <c r="N355" i="32"/>
  <c r="L355" i="32"/>
  <c r="F355" i="32"/>
  <c r="G355" i="32" s="1"/>
  <c r="H355" i="32" s="1"/>
  <c r="I355" i="32" s="1"/>
  <c r="J355" i="32" s="1"/>
  <c r="E355" i="32"/>
  <c r="P354" i="32"/>
  <c r="O354" i="32"/>
  <c r="N354" i="32"/>
  <c r="L354" i="32"/>
  <c r="F354" i="32"/>
  <c r="G354" i="32" s="1"/>
  <c r="H354" i="32" s="1"/>
  <c r="I354" i="32" s="1"/>
  <c r="J354" i="32" s="1"/>
  <c r="E354" i="32"/>
  <c r="P353" i="32"/>
  <c r="O353" i="32"/>
  <c r="N353" i="32"/>
  <c r="L353" i="32"/>
  <c r="F353" i="32"/>
  <c r="G353" i="32" s="1"/>
  <c r="H353" i="32" s="1"/>
  <c r="I353" i="32" s="1"/>
  <c r="J353" i="32" s="1"/>
  <c r="E353" i="32"/>
  <c r="P352" i="32"/>
  <c r="O352" i="32"/>
  <c r="N352" i="32"/>
  <c r="L352" i="32"/>
  <c r="F352" i="32"/>
  <c r="G352" i="32" s="1"/>
  <c r="H352" i="32" s="1"/>
  <c r="I352" i="32" s="1"/>
  <c r="J352" i="32" s="1"/>
  <c r="E352" i="32"/>
  <c r="P351" i="32"/>
  <c r="O351" i="32"/>
  <c r="N351" i="32"/>
  <c r="L351" i="32"/>
  <c r="F351" i="32"/>
  <c r="G351" i="32" s="1"/>
  <c r="H351" i="32" s="1"/>
  <c r="I351" i="32" s="1"/>
  <c r="J351" i="32" s="1"/>
  <c r="E351" i="32"/>
  <c r="P350" i="32"/>
  <c r="O350" i="32"/>
  <c r="N350" i="32"/>
  <c r="L350" i="32"/>
  <c r="F350" i="32"/>
  <c r="G350" i="32" s="1"/>
  <c r="H350" i="32" s="1"/>
  <c r="I350" i="32" s="1"/>
  <c r="J350" i="32" s="1"/>
  <c r="E350" i="32"/>
  <c r="P349" i="32"/>
  <c r="O349" i="32"/>
  <c r="N349" i="32"/>
  <c r="L349" i="32"/>
  <c r="F349" i="32"/>
  <c r="G349" i="32" s="1"/>
  <c r="H349" i="32" s="1"/>
  <c r="I349" i="32" s="1"/>
  <c r="J349" i="32" s="1"/>
  <c r="E349" i="32"/>
  <c r="P348" i="32"/>
  <c r="O348" i="32"/>
  <c r="N348" i="32"/>
  <c r="L348" i="32"/>
  <c r="F348" i="32"/>
  <c r="G348" i="32" s="1"/>
  <c r="H348" i="32" s="1"/>
  <c r="I348" i="32" s="1"/>
  <c r="J348" i="32" s="1"/>
  <c r="E348" i="32"/>
  <c r="P347" i="32"/>
  <c r="O347" i="32"/>
  <c r="N347" i="32"/>
  <c r="L347" i="32"/>
  <c r="F347" i="32"/>
  <c r="G347" i="32" s="1"/>
  <c r="H347" i="32" s="1"/>
  <c r="I347" i="32" s="1"/>
  <c r="J347" i="32" s="1"/>
  <c r="E347" i="32"/>
  <c r="P346" i="32"/>
  <c r="O346" i="32"/>
  <c r="N346" i="32"/>
  <c r="L346" i="32"/>
  <c r="F346" i="32"/>
  <c r="G346" i="32" s="1"/>
  <c r="H346" i="32" s="1"/>
  <c r="I346" i="32" s="1"/>
  <c r="J346" i="32" s="1"/>
  <c r="E346" i="32"/>
  <c r="P345" i="32"/>
  <c r="O345" i="32"/>
  <c r="N345" i="32"/>
  <c r="L345" i="32"/>
  <c r="F345" i="32"/>
  <c r="G345" i="32" s="1"/>
  <c r="H345" i="32" s="1"/>
  <c r="I345" i="32" s="1"/>
  <c r="J345" i="32" s="1"/>
  <c r="E345" i="32"/>
  <c r="P344" i="32"/>
  <c r="O344" i="32"/>
  <c r="N344" i="32"/>
  <c r="L344" i="32"/>
  <c r="F344" i="32"/>
  <c r="G344" i="32" s="1"/>
  <c r="H344" i="32" s="1"/>
  <c r="I344" i="32" s="1"/>
  <c r="J344" i="32" s="1"/>
  <c r="E344" i="32"/>
  <c r="P343" i="32"/>
  <c r="O343" i="32"/>
  <c r="N343" i="32"/>
  <c r="L343" i="32"/>
  <c r="F343" i="32"/>
  <c r="G343" i="32" s="1"/>
  <c r="H343" i="32" s="1"/>
  <c r="I343" i="32" s="1"/>
  <c r="J343" i="32" s="1"/>
  <c r="E343" i="32"/>
  <c r="P342" i="32"/>
  <c r="O342" i="32"/>
  <c r="N342" i="32"/>
  <c r="L342" i="32"/>
  <c r="F342" i="32"/>
  <c r="G342" i="32" s="1"/>
  <c r="H342" i="32" s="1"/>
  <c r="I342" i="32" s="1"/>
  <c r="J342" i="32" s="1"/>
  <c r="E342" i="32"/>
  <c r="P341" i="32"/>
  <c r="O341" i="32"/>
  <c r="N341" i="32"/>
  <c r="L341" i="32"/>
  <c r="F341" i="32"/>
  <c r="G341" i="32" s="1"/>
  <c r="H341" i="32" s="1"/>
  <c r="I341" i="32" s="1"/>
  <c r="J341" i="32" s="1"/>
  <c r="E341" i="32"/>
  <c r="P340" i="32"/>
  <c r="O340" i="32"/>
  <c r="N340" i="32"/>
  <c r="L340" i="32"/>
  <c r="F340" i="32"/>
  <c r="G340" i="32" s="1"/>
  <c r="H340" i="32" s="1"/>
  <c r="I340" i="32" s="1"/>
  <c r="J340" i="32" s="1"/>
  <c r="E340" i="32"/>
  <c r="P339" i="32"/>
  <c r="O339" i="32"/>
  <c r="N339" i="32"/>
  <c r="L339" i="32"/>
  <c r="F339" i="32"/>
  <c r="G339" i="32" s="1"/>
  <c r="H339" i="32" s="1"/>
  <c r="I339" i="32" s="1"/>
  <c r="J339" i="32" s="1"/>
  <c r="E339" i="32"/>
  <c r="P338" i="32"/>
  <c r="O338" i="32"/>
  <c r="N338" i="32"/>
  <c r="L338" i="32"/>
  <c r="F338" i="32"/>
  <c r="G338" i="32" s="1"/>
  <c r="H338" i="32" s="1"/>
  <c r="I338" i="32" s="1"/>
  <c r="J338" i="32" s="1"/>
  <c r="E338" i="32"/>
  <c r="N380" i="32" l="1"/>
  <c r="O380" i="32"/>
  <c r="F380" i="32"/>
  <c r="G380" i="32" s="1"/>
  <c r="H380" i="32" s="1"/>
  <c r="I380" i="32" s="1"/>
  <c r="J380" i="32" s="1"/>
  <c r="P311" i="32" l="1"/>
  <c r="O311" i="32"/>
  <c r="N311" i="32"/>
  <c r="G311" i="32"/>
  <c r="H311" i="32" s="1"/>
  <c r="I311" i="32" s="1"/>
  <c r="J311" i="32" s="1"/>
  <c r="E311" i="32"/>
  <c r="P310" i="32"/>
  <c r="O310" i="32"/>
  <c r="N310" i="32"/>
  <c r="G310" i="32"/>
  <c r="H310" i="32" s="1"/>
  <c r="I310" i="32" s="1"/>
  <c r="J310" i="32" s="1"/>
  <c r="E310" i="32"/>
  <c r="P309" i="32"/>
  <c r="O309" i="32"/>
  <c r="N309" i="32"/>
  <c r="G309" i="32"/>
  <c r="H309" i="32" s="1"/>
  <c r="I309" i="32" s="1"/>
  <c r="J309" i="32" s="1"/>
  <c r="E309" i="32"/>
  <c r="P307" i="32"/>
  <c r="O307" i="32"/>
  <c r="N307" i="32"/>
  <c r="G307" i="32"/>
  <c r="H307" i="32" s="1"/>
  <c r="I307" i="32" s="1"/>
  <c r="J307" i="32" s="1"/>
  <c r="E307" i="32"/>
  <c r="P306" i="32"/>
  <c r="O306" i="32"/>
  <c r="N306" i="32"/>
  <c r="G306" i="32"/>
  <c r="H306" i="32" s="1"/>
  <c r="I306" i="32" s="1"/>
  <c r="J306" i="32" s="1"/>
  <c r="E306" i="32"/>
  <c r="P305" i="32"/>
  <c r="O305" i="32"/>
  <c r="N305" i="32"/>
  <c r="G305" i="32"/>
  <c r="H305" i="32" s="1"/>
  <c r="I305" i="32" s="1"/>
  <c r="J305" i="32" s="1"/>
  <c r="E305" i="32"/>
  <c r="P303" i="32"/>
  <c r="O303" i="32"/>
  <c r="N303" i="32"/>
  <c r="G303" i="32"/>
  <c r="H303" i="32" s="1"/>
  <c r="I303" i="32" s="1"/>
  <c r="J303" i="32" s="1"/>
  <c r="E303" i="32"/>
  <c r="P302" i="32"/>
  <c r="O302" i="32"/>
  <c r="N302" i="32"/>
  <c r="G302" i="32"/>
  <c r="H302" i="32" s="1"/>
  <c r="I302" i="32" s="1"/>
  <c r="J302" i="32" s="1"/>
  <c r="E302" i="32"/>
  <c r="P301" i="32"/>
  <c r="O301" i="32"/>
  <c r="N301" i="32"/>
  <c r="G301" i="32"/>
  <c r="H301" i="32" s="1"/>
  <c r="I301" i="32" s="1"/>
  <c r="J301" i="32" s="1"/>
  <c r="E301" i="32"/>
  <c r="P299" i="32"/>
  <c r="O299" i="32"/>
  <c r="N299" i="32"/>
  <c r="G299" i="32"/>
  <c r="H299" i="32" s="1"/>
  <c r="I299" i="32" s="1"/>
  <c r="J299" i="32" s="1"/>
  <c r="E299" i="32"/>
  <c r="P298" i="32"/>
  <c r="O298" i="32"/>
  <c r="N298" i="32"/>
  <c r="G298" i="32"/>
  <c r="H298" i="32" s="1"/>
  <c r="I298" i="32" s="1"/>
  <c r="J298" i="32" s="1"/>
  <c r="E298" i="32"/>
  <c r="P297" i="32"/>
  <c r="O297" i="32"/>
  <c r="N297" i="32"/>
  <c r="G297" i="32"/>
  <c r="H297" i="32" s="1"/>
  <c r="I297" i="32" s="1"/>
  <c r="J297" i="32" s="1"/>
  <c r="E297" i="32"/>
  <c r="P295" i="32"/>
  <c r="O295" i="32"/>
  <c r="N295" i="32"/>
  <c r="G295" i="32"/>
  <c r="H295" i="32" s="1"/>
  <c r="I295" i="32" s="1"/>
  <c r="J295" i="32" s="1"/>
  <c r="E295" i="32"/>
  <c r="P294" i="32"/>
  <c r="O294" i="32"/>
  <c r="N294" i="32"/>
  <c r="G294" i="32"/>
  <c r="H294" i="32" s="1"/>
  <c r="I294" i="32" s="1"/>
  <c r="J294" i="32" s="1"/>
  <c r="E294" i="32"/>
  <c r="P293" i="32"/>
  <c r="O293" i="32"/>
  <c r="N293" i="32"/>
  <c r="G293" i="32"/>
  <c r="H293" i="32" s="1"/>
  <c r="I293" i="32" s="1"/>
  <c r="J293" i="32" s="1"/>
  <c r="E293" i="32"/>
  <c r="P291" i="32"/>
  <c r="O291" i="32"/>
  <c r="N291" i="32"/>
  <c r="G291" i="32"/>
  <c r="H291" i="32" s="1"/>
  <c r="I291" i="32" s="1"/>
  <c r="J291" i="32" s="1"/>
  <c r="E291" i="32"/>
  <c r="P290" i="32"/>
  <c r="O290" i="32"/>
  <c r="N290" i="32"/>
  <c r="G290" i="32"/>
  <c r="H290" i="32" s="1"/>
  <c r="I290" i="32" s="1"/>
  <c r="J290" i="32" s="1"/>
  <c r="E290" i="32"/>
  <c r="P289" i="32"/>
  <c r="O289" i="32"/>
  <c r="N289" i="32"/>
  <c r="G289" i="32"/>
  <c r="H289" i="32" s="1"/>
  <c r="I289" i="32" s="1"/>
  <c r="J289" i="32" s="1"/>
  <c r="E289" i="32"/>
  <c r="P287" i="32"/>
  <c r="O287" i="32"/>
  <c r="N287" i="32"/>
  <c r="G287" i="32"/>
  <c r="H287" i="32" s="1"/>
  <c r="I287" i="32" s="1"/>
  <c r="J287" i="32" s="1"/>
  <c r="E287" i="32"/>
  <c r="P286" i="32"/>
  <c r="O286" i="32"/>
  <c r="N286" i="32"/>
  <c r="G286" i="32"/>
  <c r="H286" i="32" s="1"/>
  <c r="I286" i="32" s="1"/>
  <c r="J286" i="32" s="1"/>
  <c r="E286" i="32"/>
  <c r="P285" i="32"/>
  <c r="O285" i="32"/>
  <c r="N285" i="32"/>
  <c r="G285" i="32"/>
  <c r="H285" i="32" s="1"/>
  <c r="I285" i="32" s="1"/>
  <c r="J285" i="32" s="1"/>
  <c r="E285" i="32"/>
  <c r="P283" i="32"/>
  <c r="O283" i="32"/>
  <c r="N283" i="32"/>
  <c r="G283" i="32"/>
  <c r="H283" i="32" s="1"/>
  <c r="I283" i="32" s="1"/>
  <c r="J283" i="32" s="1"/>
  <c r="E283" i="32"/>
  <c r="P282" i="32"/>
  <c r="O282" i="32"/>
  <c r="N282" i="32"/>
  <c r="G282" i="32"/>
  <c r="H282" i="32" s="1"/>
  <c r="I282" i="32" s="1"/>
  <c r="J282" i="32" s="1"/>
  <c r="E282" i="32"/>
  <c r="P281" i="32"/>
  <c r="O281" i="32"/>
  <c r="N281" i="32"/>
  <c r="G281" i="32"/>
  <c r="H281" i="32" s="1"/>
  <c r="I281" i="32" s="1"/>
  <c r="J281" i="32" s="1"/>
  <c r="E281" i="32"/>
  <c r="P279" i="32"/>
  <c r="O279" i="32"/>
  <c r="N279" i="32"/>
  <c r="G279" i="32"/>
  <c r="H279" i="32" s="1"/>
  <c r="I279" i="32" s="1"/>
  <c r="J279" i="32" s="1"/>
  <c r="E279" i="32"/>
  <c r="P278" i="32"/>
  <c r="O278" i="32"/>
  <c r="N278" i="32"/>
  <c r="G278" i="32"/>
  <c r="H278" i="32" s="1"/>
  <c r="I278" i="32" s="1"/>
  <c r="J278" i="32" s="1"/>
  <c r="E278" i="32"/>
  <c r="P277" i="32"/>
  <c r="O277" i="32"/>
  <c r="N277" i="32"/>
  <c r="G277" i="32"/>
  <c r="H277" i="32" s="1"/>
  <c r="I277" i="32" s="1"/>
  <c r="J277" i="32" s="1"/>
  <c r="E277" i="32"/>
  <c r="P275" i="32"/>
  <c r="O275" i="32"/>
  <c r="N275" i="32"/>
  <c r="G275" i="32"/>
  <c r="H275" i="32" s="1"/>
  <c r="I275" i="32" s="1"/>
  <c r="J275" i="32" s="1"/>
  <c r="E275" i="32"/>
  <c r="P274" i="32"/>
  <c r="O274" i="32"/>
  <c r="N274" i="32"/>
  <c r="G274" i="32"/>
  <c r="H274" i="32" s="1"/>
  <c r="I274" i="32" s="1"/>
  <c r="J274" i="32" s="1"/>
  <c r="E274" i="32"/>
  <c r="P273" i="32"/>
  <c r="O273" i="32"/>
  <c r="N273" i="32"/>
  <c r="G273" i="32"/>
  <c r="H273" i="32" s="1"/>
  <c r="I273" i="32" s="1"/>
  <c r="J273" i="32" s="1"/>
  <c r="E273" i="32"/>
  <c r="P271" i="32"/>
  <c r="O271" i="32"/>
  <c r="N271" i="32"/>
  <c r="G271" i="32"/>
  <c r="H271" i="32" s="1"/>
  <c r="I271" i="32" s="1"/>
  <c r="J271" i="32" s="1"/>
  <c r="E271" i="32"/>
  <c r="P270" i="32"/>
  <c r="O270" i="32"/>
  <c r="N270" i="32"/>
  <c r="G270" i="32"/>
  <c r="H270" i="32" s="1"/>
  <c r="I270" i="32" s="1"/>
  <c r="J270" i="32" s="1"/>
  <c r="E270" i="32"/>
  <c r="P269" i="32"/>
  <c r="O269" i="32"/>
  <c r="N269" i="32"/>
  <c r="G269" i="32"/>
  <c r="H269" i="32" s="1"/>
  <c r="I269" i="32" s="1"/>
  <c r="J269" i="32" s="1"/>
  <c r="E269" i="32"/>
  <c r="P267" i="32"/>
  <c r="O267" i="32"/>
  <c r="N267" i="32"/>
  <c r="G267" i="32"/>
  <c r="H267" i="32" s="1"/>
  <c r="I267" i="32" s="1"/>
  <c r="J267" i="32" s="1"/>
  <c r="E267" i="32"/>
  <c r="P266" i="32"/>
  <c r="O266" i="32"/>
  <c r="N266" i="32"/>
  <c r="G266" i="32"/>
  <c r="H266" i="32" s="1"/>
  <c r="I266" i="32" s="1"/>
  <c r="J266" i="32" s="1"/>
  <c r="E266" i="32"/>
  <c r="P265" i="32"/>
  <c r="O265" i="32"/>
  <c r="N265" i="32"/>
  <c r="G265" i="32"/>
  <c r="H265" i="32" s="1"/>
  <c r="I265" i="32" s="1"/>
  <c r="J265" i="32" s="1"/>
  <c r="E265" i="32"/>
  <c r="P263" i="32"/>
  <c r="O263" i="32"/>
  <c r="N263" i="32"/>
  <c r="G263" i="32"/>
  <c r="H263" i="32" s="1"/>
  <c r="I263" i="32" s="1"/>
  <c r="J263" i="32" s="1"/>
  <c r="E263" i="32"/>
  <c r="P262" i="32"/>
  <c r="O262" i="32"/>
  <c r="N262" i="32"/>
  <c r="G262" i="32"/>
  <c r="H262" i="32" s="1"/>
  <c r="I262" i="32" s="1"/>
  <c r="J262" i="32" s="1"/>
  <c r="E262" i="32"/>
  <c r="P261" i="32"/>
  <c r="O261" i="32"/>
  <c r="N261" i="32"/>
  <c r="G261" i="32"/>
  <c r="H261" i="32" s="1"/>
  <c r="I261" i="32" s="1"/>
  <c r="J261" i="32" s="1"/>
  <c r="E261" i="32"/>
  <c r="P259" i="32"/>
  <c r="O259" i="32"/>
  <c r="N259" i="32"/>
  <c r="G259" i="32"/>
  <c r="H259" i="32" s="1"/>
  <c r="I259" i="32" s="1"/>
  <c r="J259" i="32" s="1"/>
  <c r="E259" i="32"/>
  <c r="P258" i="32"/>
  <c r="O258" i="32"/>
  <c r="N258" i="32"/>
  <c r="G258" i="32"/>
  <c r="H258" i="32" s="1"/>
  <c r="I258" i="32" s="1"/>
  <c r="J258" i="32" s="1"/>
  <c r="E258" i="32"/>
  <c r="P257" i="32"/>
  <c r="O257" i="32"/>
  <c r="N257" i="32"/>
  <c r="G257" i="32"/>
  <c r="H257" i="32" s="1"/>
  <c r="I257" i="32" s="1"/>
  <c r="J257" i="32" s="1"/>
  <c r="E257" i="32"/>
  <c r="P255" i="32"/>
  <c r="O255" i="32"/>
  <c r="N255" i="32"/>
  <c r="G255" i="32"/>
  <c r="H255" i="32" s="1"/>
  <c r="I255" i="32" s="1"/>
  <c r="J255" i="32" s="1"/>
  <c r="E255" i="32"/>
  <c r="P254" i="32"/>
  <c r="O254" i="32"/>
  <c r="N254" i="32"/>
  <c r="G254" i="32"/>
  <c r="H254" i="32" s="1"/>
  <c r="I254" i="32" s="1"/>
  <c r="J254" i="32" s="1"/>
  <c r="E254" i="32"/>
  <c r="P253" i="32"/>
  <c r="O253" i="32"/>
  <c r="N253" i="32"/>
  <c r="G253" i="32"/>
  <c r="H253" i="32" s="1"/>
  <c r="I253" i="32" s="1"/>
  <c r="J253" i="32" s="1"/>
  <c r="E253" i="32"/>
  <c r="P251" i="32"/>
  <c r="O251" i="32"/>
  <c r="N251" i="32"/>
  <c r="G251" i="32"/>
  <c r="H251" i="32" s="1"/>
  <c r="I251" i="32" s="1"/>
  <c r="J251" i="32" s="1"/>
  <c r="E251" i="32"/>
  <c r="P250" i="32"/>
  <c r="O250" i="32"/>
  <c r="N250" i="32"/>
  <c r="G250" i="32"/>
  <c r="H250" i="32" s="1"/>
  <c r="I250" i="32" s="1"/>
  <c r="J250" i="32" s="1"/>
  <c r="E250" i="32"/>
  <c r="P249" i="32"/>
  <c r="O249" i="32"/>
  <c r="N249" i="32"/>
  <c r="G249" i="32"/>
  <c r="H249" i="32" s="1"/>
  <c r="I249" i="32" s="1"/>
  <c r="J249" i="32" s="1"/>
  <c r="E249" i="32"/>
  <c r="P247" i="32"/>
  <c r="O247" i="32"/>
  <c r="N247" i="32"/>
  <c r="G247" i="32"/>
  <c r="H247" i="32" s="1"/>
  <c r="I247" i="32" s="1"/>
  <c r="J247" i="32" s="1"/>
  <c r="E247" i="32"/>
  <c r="P246" i="32"/>
  <c r="O246" i="32"/>
  <c r="N246" i="32"/>
  <c r="G246" i="32"/>
  <c r="H246" i="32" s="1"/>
  <c r="I246" i="32" s="1"/>
  <c r="J246" i="32" s="1"/>
  <c r="E246" i="32"/>
  <c r="P245" i="32"/>
  <c r="O245" i="32"/>
  <c r="N245" i="32"/>
  <c r="G245" i="32"/>
  <c r="H245" i="32" s="1"/>
  <c r="I245" i="32" s="1"/>
  <c r="J245" i="32" s="1"/>
  <c r="E245" i="32"/>
  <c r="P243" i="32"/>
  <c r="O243" i="32"/>
  <c r="N243" i="32"/>
  <c r="G243" i="32"/>
  <c r="H243" i="32" s="1"/>
  <c r="I243" i="32" s="1"/>
  <c r="J243" i="32" s="1"/>
  <c r="E243" i="32"/>
  <c r="P242" i="32"/>
  <c r="O242" i="32"/>
  <c r="N242" i="32"/>
  <c r="G242" i="32"/>
  <c r="H242" i="32" s="1"/>
  <c r="I242" i="32" s="1"/>
  <c r="J242" i="32" s="1"/>
  <c r="E242" i="32"/>
  <c r="P241" i="32"/>
  <c r="O241" i="32"/>
  <c r="N241" i="32"/>
  <c r="G241" i="32"/>
  <c r="H241" i="32" s="1"/>
  <c r="I241" i="32" s="1"/>
  <c r="J241" i="32" s="1"/>
  <c r="E241" i="32"/>
  <c r="P239" i="32"/>
  <c r="O239" i="32"/>
  <c r="N239" i="32"/>
  <c r="G239" i="32"/>
  <c r="H239" i="32" s="1"/>
  <c r="I239" i="32" s="1"/>
  <c r="J239" i="32" s="1"/>
  <c r="E239" i="32"/>
  <c r="P238" i="32"/>
  <c r="O238" i="32"/>
  <c r="N238" i="32"/>
  <c r="G238" i="32"/>
  <c r="H238" i="32" s="1"/>
  <c r="I238" i="32" s="1"/>
  <c r="J238" i="32" s="1"/>
  <c r="E238" i="32"/>
  <c r="P237" i="32"/>
  <c r="O237" i="32"/>
  <c r="N237" i="32"/>
  <c r="G237" i="32"/>
  <c r="H237" i="32" s="1"/>
  <c r="I237" i="32" s="1"/>
  <c r="J237" i="32" s="1"/>
  <c r="E237" i="32"/>
  <c r="P235" i="32"/>
  <c r="O235" i="32"/>
  <c r="N235" i="32"/>
  <c r="G235" i="32"/>
  <c r="H235" i="32" s="1"/>
  <c r="I235" i="32" s="1"/>
  <c r="J235" i="32" s="1"/>
  <c r="E235" i="32"/>
  <c r="P234" i="32"/>
  <c r="O234" i="32"/>
  <c r="N234" i="32"/>
  <c r="G234" i="32"/>
  <c r="H234" i="32" s="1"/>
  <c r="I234" i="32" s="1"/>
  <c r="J234" i="32" s="1"/>
  <c r="E234" i="32"/>
  <c r="P233" i="32"/>
  <c r="O233" i="32"/>
  <c r="N233" i="32"/>
  <c r="G233" i="32"/>
  <c r="H233" i="32" s="1"/>
  <c r="I233" i="32" s="1"/>
  <c r="J233" i="32" s="1"/>
  <c r="E233" i="32"/>
  <c r="P231" i="32"/>
  <c r="O231" i="32"/>
  <c r="N231" i="32"/>
  <c r="G231" i="32"/>
  <c r="H231" i="32" s="1"/>
  <c r="I231" i="32" s="1"/>
  <c r="J231" i="32" s="1"/>
  <c r="E231" i="32"/>
  <c r="P230" i="32"/>
  <c r="O230" i="32"/>
  <c r="N230" i="32"/>
  <c r="G230" i="32"/>
  <c r="H230" i="32" s="1"/>
  <c r="I230" i="32" s="1"/>
  <c r="J230" i="32" s="1"/>
  <c r="E230" i="32"/>
  <c r="P229" i="32"/>
  <c r="O229" i="32"/>
  <c r="N229" i="32"/>
  <c r="G229" i="32"/>
  <c r="H229" i="32" s="1"/>
  <c r="I229" i="32" s="1"/>
  <c r="J229" i="32" s="1"/>
  <c r="E229" i="32"/>
  <c r="P227" i="32"/>
  <c r="O227" i="32"/>
  <c r="N227" i="32"/>
  <c r="G227" i="32"/>
  <c r="H227" i="32" s="1"/>
  <c r="I227" i="32" s="1"/>
  <c r="J227" i="32" s="1"/>
  <c r="E227" i="32"/>
  <c r="P226" i="32"/>
  <c r="O226" i="32"/>
  <c r="N226" i="32"/>
  <c r="G226" i="32"/>
  <c r="H226" i="32" s="1"/>
  <c r="I226" i="32" s="1"/>
  <c r="J226" i="32" s="1"/>
  <c r="E226" i="32"/>
  <c r="P225" i="32"/>
  <c r="O225" i="32"/>
  <c r="N225" i="32"/>
  <c r="G225" i="32"/>
  <c r="H225" i="32" s="1"/>
  <c r="I225" i="32" s="1"/>
  <c r="J225" i="32" s="1"/>
  <c r="E225" i="32"/>
  <c r="P223" i="32"/>
  <c r="O223" i="32"/>
  <c r="N223" i="32"/>
  <c r="G223" i="32"/>
  <c r="H223" i="32" s="1"/>
  <c r="I223" i="32" s="1"/>
  <c r="J223" i="32" s="1"/>
  <c r="E223" i="32"/>
  <c r="P222" i="32"/>
  <c r="O222" i="32"/>
  <c r="N222" i="32"/>
  <c r="G222" i="32"/>
  <c r="H222" i="32" s="1"/>
  <c r="I222" i="32" s="1"/>
  <c r="J222" i="32" s="1"/>
  <c r="E222" i="32"/>
  <c r="P221" i="32"/>
  <c r="O221" i="32"/>
  <c r="N221" i="32"/>
  <c r="G221" i="32"/>
  <c r="H221" i="32" s="1"/>
  <c r="I221" i="32" s="1"/>
  <c r="J221" i="32" s="1"/>
  <c r="E221" i="32"/>
  <c r="P219" i="32"/>
  <c r="O219" i="32"/>
  <c r="N219" i="32"/>
  <c r="G219" i="32"/>
  <c r="H219" i="32" s="1"/>
  <c r="I219" i="32" s="1"/>
  <c r="J219" i="32" s="1"/>
  <c r="E219" i="32"/>
  <c r="P218" i="32"/>
  <c r="O218" i="32"/>
  <c r="N218" i="32"/>
  <c r="G218" i="32"/>
  <c r="H218" i="32" s="1"/>
  <c r="I218" i="32" s="1"/>
  <c r="J218" i="32" s="1"/>
  <c r="E218" i="32"/>
  <c r="P217" i="32"/>
  <c r="O217" i="32"/>
  <c r="N217" i="32"/>
  <c r="G217" i="32"/>
  <c r="H217" i="32" s="1"/>
  <c r="I217" i="32" s="1"/>
  <c r="J217" i="32" s="1"/>
  <c r="E217" i="32"/>
  <c r="P215" i="32"/>
  <c r="O215" i="32"/>
  <c r="N215" i="32"/>
  <c r="G215" i="32"/>
  <c r="H215" i="32" s="1"/>
  <c r="I215" i="32" s="1"/>
  <c r="J215" i="32" s="1"/>
  <c r="E215" i="32"/>
  <c r="P214" i="32"/>
  <c r="O214" i="32"/>
  <c r="N214" i="32"/>
  <c r="G214" i="32"/>
  <c r="H214" i="32" s="1"/>
  <c r="I214" i="32" s="1"/>
  <c r="J214" i="32" s="1"/>
  <c r="E214" i="32"/>
  <c r="P213" i="32"/>
  <c r="O213" i="32"/>
  <c r="N213" i="32"/>
  <c r="G213" i="32"/>
  <c r="H213" i="32" s="1"/>
  <c r="I213" i="32" s="1"/>
  <c r="J213" i="32" s="1"/>
  <c r="E213" i="32"/>
  <c r="P211" i="32"/>
  <c r="O211" i="32"/>
  <c r="N211" i="32"/>
  <c r="G211" i="32"/>
  <c r="H211" i="32" s="1"/>
  <c r="I211" i="32" s="1"/>
  <c r="J211" i="32" s="1"/>
  <c r="E211" i="32"/>
  <c r="P210" i="32"/>
  <c r="O210" i="32"/>
  <c r="N210" i="32"/>
  <c r="G210" i="32"/>
  <c r="H210" i="32" s="1"/>
  <c r="I210" i="32" s="1"/>
  <c r="J210" i="32" s="1"/>
  <c r="E210" i="32"/>
  <c r="P209" i="32"/>
  <c r="O209" i="32"/>
  <c r="N209" i="32"/>
  <c r="G209" i="32"/>
  <c r="H209" i="32" s="1"/>
  <c r="I209" i="32" s="1"/>
  <c r="J209" i="32" s="1"/>
  <c r="E209" i="32"/>
  <c r="P207" i="32"/>
  <c r="O207" i="32"/>
  <c r="N207" i="32"/>
  <c r="G207" i="32"/>
  <c r="H207" i="32" s="1"/>
  <c r="I207" i="32" s="1"/>
  <c r="J207" i="32" s="1"/>
  <c r="E207" i="32"/>
  <c r="P206" i="32"/>
  <c r="O206" i="32"/>
  <c r="N206" i="32"/>
  <c r="G206" i="32"/>
  <c r="H206" i="32" s="1"/>
  <c r="I206" i="32" s="1"/>
  <c r="J206" i="32" s="1"/>
  <c r="E206" i="32"/>
  <c r="P205" i="32"/>
  <c r="O205" i="32"/>
  <c r="N205" i="32"/>
  <c r="G205" i="32"/>
  <c r="H205" i="32" s="1"/>
  <c r="I205" i="32" s="1"/>
  <c r="J205" i="32" s="1"/>
  <c r="E205" i="32"/>
  <c r="P203" i="32"/>
  <c r="O203" i="32"/>
  <c r="N203" i="32"/>
  <c r="G203" i="32"/>
  <c r="H203" i="32" s="1"/>
  <c r="I203" i="32" s="1"/>
  <c r="J203" i="32" s="1"/>
  <c r="E203" i="32"/>
  <c r="P202" i="32"/>
  <c r="O202" i="32"/>
  <c r="N202" i="32"/>
  <c r="G202" i="32"/>
  <c r="H202" i="32" s="1"/>
  <c r="I202" i="32" s="1"/>
  <c r="J202" i="32" s="1"/>
  <c r="E202" i="32"/>
  <c r="P201" i="32"/>
  <c r="O201" i="32"/>
  <c r="N201" i="32"/>
  <c r="G201" i="32"/>
  <c r="H201" i="32" s="1"/>
  <c r="I201" i="32" s="1"/>
  <c r="J201" i="32" s="1"/>
  <c r="E201" i="32"/>
  <c r="P199" i="32"/>
  <c r="O199" i="32"/>
  <c r="N199" i="32"/>
  <c r="G199" i="32"/>
  <c r="H199" i="32" s="1"/>
  <c r="I199" i="32" s="1"/>
  <c r="J199" i="32" s="1"/>
  <c r="E199" i="32"/>
  <c r="P198" i="32"/>
  <c r="O198" i="32"/>
  <c r="N198" i="32"/>
  <c r="G198" i="32"/>
  <c r="H198" i="32" s="1"/>
  <c r="I198" i="32" s="1"/>
  <c r="J198" i="32" s="1"/>
  <c r="E198" i="32"/>
  <c r="P197" i="32"/>
  <c r="O197" i="32"/>
  <c r="N197" i="32"/>
  <c r="G197" i="32"/>
  <c r="H197" i="32" s="1"/>
  <c r="I197" i="32" s="1"/>
  <c r="J197" i="32" s="1"/>
  <c r="E197" i="32"/>
  <c r="P195" i="32"/>
  <c r="O195" i="32"/>
  <c r="N195" i="32"/>
  <c r="G195" i="32"/>
  <c r="H195" i="32" s="1"/>
  <c r="I195" i="32" s="1"/>
  <c r="J195" i="32" s="1"/>
  <c r="E195" i="32"/>
  <c r="P194" i="32"/>
  <c r="O194" i="32"/>
  <c r="N194" i="32"/>
  <c r="G194" i="32"/>
  <c r="H194" i="32" s="1"/>
  <c r="I194" i="32" s="1"/>
  <c r="J194" i="32" s="1"/>
  <c r="E194" i="32"/>
  <c r="P193" i="32"/>
  <c r="O193" i="32"/>
  <c r="N193" i="32"/>
  <c r="G193" i="32"/>
  <c r="H193" i="32" s="1"/>
  <c r="I193" i="32" s="1"/>
  <c r="J193" i="32" s="1"/>
  <c r="E193" i="32"/>
  <c r="P191" i="32"/>
  <c r="O191" i="32"/>
  <c r="N191" i="32"/>
  <c r="G191" i="32"/>
  <c r="H191" i="32" s="1"/>
  <c r="I191" i="32" s="1"/>
  <c r="J191" i="32" s="1"/>
  <c r="E191" i="32"/>
  <c r="P190" i="32"/>
  <c r="O190" i="32"/>
  <c r="N190" i="32"/>
  <c r="G190" i="32"/>
  <c r="H190" i="32" s="1"/>
  <c r="I190" i="32" s="1"/>
  <c r="J190" i="32" s="1"/>
  <c r="E190" i="32"/>
  <c r="P189" i="32"/>
  <c r="O189" i="32"/>
  <c r="N189" i="32"/>
  <c r="G189" i="32"/>
  <c r="H189" i="32" s="1"/>
  <c r="I189" i="32" s="1"/>
  <c r="J189" i="32" s="1"/>
  <c r="E189" i="32"/>
  <c r="P187" i="32"/>
  <c r="O187" i="32"/>
  <c r="N187" i="32"/>
  <c r="G187" i="32"/>
  <c r="H187" i="32" s="1"/>
  <c r="I187" i="32" s="1"/>
  <c r="J187" i="32" s="1"/>
  <c r="E187" i="32"/>
  <c r="P186" i="32"/>
  <c r="O186" i="32"/>
  <c r="N186" i="32"/>
  <c r="G186" i="32"/>
  <c r="H186" i="32" s="1"/>
  <c r="I186" i="32" s="1"/>
  <c r="J186" i="32" s="1"/>
  <c r="E186" i="32"/>
  <c r="P185" i="32"/>
  <c r="O185" i="32"/>
  <c r="N185" i="32"/>
  <c r="G185" i="32"/>
  <c r="H185" i="32" s="1"/>
  <c r="I185" i="32" s="1"/>
  <c r="J185" i="32" s="1"/>
  <c r="E185" i="32"/>
  <c r="P333" i="32"/>
  <c r="O333" i="32"/>
  <c r="N333" i="32"/>
  <c r="G333" i="32"/>
  <c r="H333" i="32" s="1"/>
  <c r="I333" i="32" s="1"/>
  <c r="J333" i="32" s="1"/>
  <c r="E333" i="32"/>
  <c r="P332" i="32"/>
  <c r="O332" i="32"/>
  <c r="N332" i="32"/>
  <c r="G332" i="32"/>
  <c r="H332" i="32" s="1"/>
  <c r="I332" i="32" s="1"/>
  <c r="J332" i="32" s="1"/>
  <c r="E332" i="32"/>
  <c r="P331" i="32"/>
  <c r="O331" i="32"/>
  <c r="N331" i="32"/>
  <c r="G331" i="32"/>
  <c r="H331" i="32" s="1"/>
  <c r="I331" i="32" s="1"/>
  <c r="J331" i="32" s="1"/>
  <c r="E331" i="32"/>
  <c r="P322" i="32"/>
  <c r="O322" i="32"/>
  <c r="N322" i="32"/>
  <c r="G322" i="32"/>
  <c r="H322" i="32" s="1"/>
  <c r="I322" i="32" s="1"/>
  <c r="J322" i="32" s="1"/>
  <c r="E322" i="32"/>
  <c r="P321" i="32"/>
  <c r="O321" i="32"/>
  <c r="N321" i="32"/>
  <c r="G321" i="32"/>
  <c r="H321" i="32" s="1"/>
  <c r="I321" i="32" s="1"/>
  <c r="J321" i="32" s="1"/>
  <c r="E321" i="32"/>
  <c r="P320" i="32"/>
  <c r="O320" i="32"/>
  <c r="N320" i="32"/>
  <c r="G320" i="32"/>
  <c r="H320" i="32" s="1"/>
  <c r="I320" i="32" s="1"/>
  <c r="J320" i="32" s="1"/>
  <c r="E320" i="32"/>
  <c r="P183" i="32"/>
  <c r="O183" i="32"/>
  <c r="N183" i="32"/>
  <c r="G183" i="32"/>
  <c r="H183" i="32" s="1"/>
  <c r="I183" i="32" s="1"/>
  <c r="J183" i="32" s="1"/>
  <c r="E183" i="32"/>
  <c r="P182" i="32"/>
  <c r="O182" i="32"/>
  <c r="N182" i="32"/>
  <c r="G182" i="32"/>
  <c r="H182" i="32" s="1"/>
  <c r="I182" i="32" s="1"/>
  <c r="J182" i="32" s="1"/>
  <c r="E182" i="32"/>
  <c r="P181" i="32"/>
  <c r="O181" i="32"/>
  <c r="N181" i="32"/>
  <c r="G181" i="32"/>
  <c r="H181" i="32" s="1"/>
  <c r="I181" i="32" s="1"/>
  <c r="J181" i="32" s="1"/>
  <c r="E181" i="32"/>
  <c r="P179" i="32"/>
  <c r="O179" i="32"/>
  <c r="N179" i="32"/>
  <c r="G179" i="32"/>
  <c r="H179" i="32" s="1"/>
  <c r="I179" i="32" s="1"/>
  <c r="J179" i="32" s="1"/>
  <c r="E179" i="32"/>
  <c r="P178" i="32"/>
  <c r="O178" i="32"/>
  <c r="N178" i="32"/>
  <c r="G178" i="32"/>
  <c r="H178" i="32" s="1"/>
  <c r="I178" i="32" s="1"/>
  <c r="J178" i="32" s="1"/>
  <c r="E178" i="32"/>
  <c r="P177" i="32"/>
  <c r="O177" i="32"/>
  <c r="N177" i="32"/>
  <c r="G177" i="32"/>
  <c r="H177" i="32" s="1"/>
  <c r="I177" i="32" s="1"/>
  <c r="J177" i="32" s="1"/>
  <c r="E177" i="32"/>
  <c r="P175" i="32"/>
  <c r="O175" i="32"/>
  <c r="N175" i="32"/>
  <c r="G175" i="32"/>
  <c r="H175" i="32" s="1"/>
  <c r="I175" i="32" s="1"/>
  <c r="J175" i="32" s="1"/>
  <c r="E175" i="32"/>
  <c r="P174" i="32"/>
  <c r="O174" i="32"/>
  <c r="N174" i="32"/>
  <c r="G174" i="32"/>
  <c r="H174" i="32" s="1"/>
  <c r="I174" i="32" s="1"/>
  <c r="J174" i="32" s="1"/>
  <c r="E174" i="32"/>
  <c r="P173" i="32"/>
  <c r="O173" i="32"/>
  <c r="N173" i="32"/>
  <c r="G173" i="32"/>
  <c r="H173" i="32" s="1"/>
  <c r="I173" i="32" s="1"/>
  <c r="J173" i="32" s="1"/>
  <c r="E173" i="32"/>
  <c r="P171" i="32"/>
  <c r="O171" i="32"/>
  <c r="N171" i="32"/>
  <c r="G171" i="32"/>
  <c r="H171" i="32" s="1"/>
  <c r="I171" i="32" s="1"/>
  <c r="J171" i="32" s="1"/>
  <c r="E171" i="32"/>
  <c r="P170" i="32"/>
  <c r="O170" i="32"/>
  <c r="N170" i="32"/>
  <c r="G170" i="32"/>
  <c r="H170" i="32" s="1"/>
  <c r="I170" i="32" s="1"/>
  <c r="J170" i="32" s="1"/>
  <c r="E170" i="32"/>
  <c r="P169" i="32"/>
  <c r="O169" i="32"/>
  <c r="N169" i="32"/>
  <c r="G169" i="32"/>
  <c r="H169" i="32" s="1"/>
  <c r="I169" i="32" s="1"/>
  <c r="J169" i="32" s="1"/>
  <c r="E169" i="32"/>
  <c r="P167" i="32"/>
  <c r="O167" i="32"/>
  <c r="N167" i="32"/>
  <c r="G167" i="32"/>
  <c r="H167" i="32" s="1"/>
  <c r="I167" i="32" s="1"/>
  <c r="J167" i="32" s="1"/>
  <c r="E167" i="32"/>
  <c r="P166" i="32"/>
  <c r="O166" i="32"/>
  <c r="N166" i="32"/>
  <c r="G166" i="32"/>
  <c r="H166" i="32" s="1"/>
  <c r="I166" i="32" s="1"/>
  <c r="J166" i="32" s="1"/>
  <c r="E166" i="32"/>
  <c r="P165" i="32"/>
  <c r="O165" i="32"/>
  <c r="N165" i="32"/>
  <c r="G165" i="32"/>
  <c r="H165" i="32" s="1"/>
  <c r="I165" i="32" s="1"/>
  <c r="J165" i="32" s="1"/>
  <c r="E165" i="32"/>
  <c r="P163" i="32"/>
  <c r="O163" i="32"/>
  <c r="N163" i="32"/>
  <c r="G163" i="32"/>
  <c r="H163" i="32" s="1"/>
  <c r="I163" i="32" s="1"/>
  <c r="J163" i="32" s="1"/>
  <c r="E163" i="32"/>
  <c r="P162" i="32"/>
  <c r="O162" i="32"/>
  <c r="N162" i="32"/>
  <c r="G162" i="32"/>
  <c r="H162" i="32" s="1"/>
  <c r="I162" i="32" s="1"/>
  <c r="J162" i="32" s="1"/>
  <c r="E162" i="32"/>
  <c r="P161" i="32"/>
  <c r="O161" i="32"/>
  <c r="N161" i="32"/>
  <c r="G161" i="32"/>
  <c r="H161" i="32" s="1"/>
  <c r="I161" i="32" s="1"/>
  <c r="J161" i="32" s="1"/>
  <c r="E161" i="32"/>
  <c r="P159" i="32"/>
  <c r="O159" i="32"/>
  <c r="N159" i="32"/>
  <c r="G159" i="32"/>
  <c r="H159" i="32" s="1"/>
  <c r="I159" i="32" s="1"/>
  <c r="J159" i="32" s="1"/>
  <c r="E159" i="32"/>
  <c r="P158" i="32"/>
  <c r="O158" i="32"/>
  <c r="N158" i="32"/>
  <c r="G158" i="32"/>
  <c r="H158" i="32" s="1"/>
  <c r="I158" i="32" s="1"/>
  <c r="J158" i="32" s="1"/>
  <c r="E158" i="32"/>
  <c r="P157" i="32"/>
  <c r="O157" i="32"/>
  <c r="N157" i="32"/>
  <c r="G157" i="32"/>
  <c r="H157" i="32" s="1"/>
  <c r="I157" i="32" s="1"/>
  <c r="J157" i="32" s="1"/>
  <c r="E157" i="32"/>
  <c r="P155" i="32"/>
  <c r="O155" i="32"/>
  <c r="N155" i="32"/>
  <c r="G155" i="32"/>
  <c r="H155" i="32" s="1"/>
  <c r="I155" i="32" s="1"/>
  <c r="J155" i="32" s="1"/>
  <c r="E155" i="32"/>
  <c r="P154" i="32"/>
  <c r="O154" i="32"/>
  <c r="N154" i="32"/>
  <c r="G154" i="32"/>
  <c r="H154" i="32" s="1"/>
  <c r="I154" i="32" s="1"/>
  <c r="J154" i="32" s="1"/>
  <c r="E154" i="32"/>
  <c r="P153" i="32"/>
  <c r="O153" i="32"/>
  <c r="N153" i="32"/>
  <c r="G153" i="32"/>
  <c r="H153" i="32" s="1"/>
  <c r="I153" i="32" s="1"/>
  <c r="J153" i="32" s="1"/>
  <c r="E153" i="32"/>
  <c r="P151" i="32"/>
  <c r="O151" i="32"/>
  <c r="N151" i="32"/>
  <c r="G151" i="32"/>
  <c r="H151" i="32" s="1"/>
  <c r="I151" i="32" s="1"/>
  <c r="J151" i="32" s="1"/>
  <c r="E151" i="32"/>
  <c r="P150" i="32"/>
  <c r="O150" i="32"/>
  <c r="N150" i="32"/>
  <c r="G150" i="32"/>
  <c r="H150" i="32" s="1"/>
  <c r="I150" i="32" s="1"/>
  <c r="J150" i="32" s="1"/>
  <c r="E150" i="32"/>
  <c r="P149" i="32"/>
  <c r="O149" i="32"/>
  <c r="N149" i="32"/>
  <c r="G149" i="32"/>
  <c r="H149" i="32" s="1"/>
  <c r="I149" i="32" s="1"/>
  <c r="J149" i="32" s="1"/>
  <c r="E149" i="32"/>
  <c r="P147" i="32"/>
  <c r="O147" i="32"/>
  <c r="N147" i="32"/>
  <c r="G147" i="32"/>
  <c r="H147" i="32" s="1"/>
  <c r="I147" i="32" s="1"/>
  <c r="J147" i="32" s="1"/>
  <c r="E147" i="32"/>
  <c r="P146" i="32"/>
  <c r="O146" i="32"/>
  <c r="N146" i="32"/>
  <c r="G146" i="32"/>
  <c r="H146" i="32" s="1"/>
  <c r="I146" i="32" s="1"/>
  <c r="J146" i="32" s="1"/>
  <c r="E146" i="32"/>
  <c r="P145" i="32"/>
  <c r="O145" i="32"/>
  <c r="N145" i="32"/>
  <c r="G145" i="32"/>
  <c r="H145" i="32" s="1"/>
  <c r="I145" i="32" s="1"/>
  <c r="J145" i="32" s="1"/>
  <c r="E145" i="32"/>
  <c r="P143" i="32"/>
  <c r="O143" i="32"/>
  <c r="N143" i="32"/>
  <c r="G143" i="32"/>
  <c r="H143" i="32" s="1"/>
  <c r="I143" i="32" s="1"/>
  <c r="J143" i="32" s="1"/>
  <c r="E143" i="32"/>
  <c r="P142" i="32"/>
  <c r="O142" i="32"/>
  <c r="N142" i="32"/>
  <c r="G142" i="32"/>
  <c r="H142" i="32" s="1"/>
  <c r="I142" i="32" s="1"/>
  <c r="J142" i="32" s="1"/>
  <c r="E142" i="32"/>
  <c r="P141" i="32"/>
  <c r="O141" i="32"/>
  <c r="N141" i="32"/>
  <c r="G141" i="32"/>
  <c r="H141" i="32" s="1"/>
  <c r="I141" i="32" s="1"/>
  <c r="J141" i="32" s="1"/>
  <c r="E141" i="32"/>
  <c r="P139" i="32"/>
  <c r="O139" i="32"/>
  <c r="N139" i="32"/>
  <c r="G139" i="32"/>
  <c r="H139" i="32" s="1"/>
  <c r="I139" i="32" s="1"/>
  <c r="J139" i="32" s="1"/>
  <c r="E139" i="32"/>
  <c r="P138" i="32"/>
  <c r="O138" i="32"/>
  <c r="N138" i="32"/>
  <c r="G138" i="32"/>
  <c r="H138" i="32" s="1"/>
  <c r="I138" i="32" s="1"/>
  <c r="J138" i="32" s="1"/>
  <c r="E138" i="32"/>
  <c r="P137" i="32"/>
  <c r="O137" i="32"/>
  <c r="N137" i="32"/>
  <c r="G137" i="32"/>
  <c r="H137" i="32" s="1"/>
  <c r="I137" i="32" s="1"/>
  <c r="J137" i="32" s="1"/>
  <c r="E137" i="32"/>
  <c r="P135" i="32"/>
  <c r="O135" i="32"/>
  <c r="N135" i="32"/>
  <c r="G135" i="32"/>
  <c r="H135" i="32" s="1"/>
  <c r="I135" i="32" s="1"/>
  <c r="J135" i="32" s="1"/>
  <c r="E135" i="32"/>
  <c r="P134" i="32"/>
  <c r="O134" i="32"/>
  <c r="N134" i="32"/>
  <c r="G134" i="32"/>
  <c r="H134" i="32" s="1"/>
  <c r="I134" i="32" s="1"/>
  <c r="J134" i="32" s="1"/>
  <c r="E134" i="32"/>
  <c r="P133" i="32"/>
  <c r="O133" i="32"/>
  <c r="N133" i="32"/>
  <c r="G133" i="32"/>
  <c r="H133" i="32" s="1"/>
  <c r="I133" i="32" s="1"/>
  <c r="J133" i="32" s="1"/>
  <c r="E133" i="32"/>
  <c r="P131" i="32"/>
  <c r="O131" i="32"/>
  <c r="N131" i="32"/>
  <c r="G131" i="32"/>
  <c r="H131" i="32" s="1"/>
  <c r="I131" i="32" s="1"/>
  <c r="J131" i="32" s="1"/>
  <c r="E131" i="32"/>
  <c r="P130" i="32"/>
  <c r="O130" i="32"/>
  <c r="N130" i="32"/>
  <c r="G130" i="32"/>
  <c r="H130" i="32" s="1"/>
  <c r="I130" i="32" s="1"/>
  <c r="J130" i="32" s="1"/>
  <c r="E130" i="32"/>
  <c r="P129" i="32"/>
  <c r="O129" i="32"/>
  <c r="N129" i="32"/>
  <c r="G129" i="32"/>
  <c r="H129" i="32" s="1"/>
  <c r="I129" i="32" s="1"/>
  <c r="J129" i="32" s="1"/>
  <c r="E129" i="32"/>
  <c r="P127" i="32"/>
  <c r="O127" i="32"/>
  <c r="N127" i="32"/>
  <c r="G127" i="32"/>
  <c r="H127" i="32" s="1"/>
  <c r="I127" i="32" s="1"/>
  <c r="J127" i="32" s="1"/>
  <c r="E127" i="32"/>
  <c r="P126" i="32"/>
  <c r="O126" i="32"/>
  <c r="N126" i="32"/>
  <c r="G126" i="32"/>
  <c r="H126" i="32" s="1"/>
  <c r="I126" i="32" s="1"/>
  <c r="J126" i="32" s="1"/>
  <c r="E126" i="32"/>
  <c r="P125" i="32"/>
  <c r="O125" i="32"/>
  <c r="N125" i="32"/>
  <c r="G125" i="32"/>
  <c r="H125" i="32" s="1"/>
  <c r="I125" i="32" s="1"/>
  <c r="J125" i="32" s="1"/>
  <c r="E125" i="32"/>
  <c r="P123" i="32"/>
  <c r="O123" i="32"/>
  <c r="N123" i="32"/>
  <c r="G123" i="32"/>
  <c r="H123" i="32" s="1"/>
  <c r="I123" i="32" s="1"/>
  <c r="J123" i="32" s="1"/>
  <c r="E123" i="32"/>
  <c r="P122" i="32"/>
  <c r="O122" i="32"/>
  <c r="N122" i="32"/>
  <c r="G122" i="32"/>
  <c r="H122" i="32" s="1"/>
  <c r="I122" i="32" s="1"/>
  <c r="J122" i="32" s="1"/>
  <c r="E122" i="32"/>
  <c r="P121" i="32"/>
  <c r="O121" i="32"/>
  <c r="N121" i="32"/>
  <c r="G121" i="32"/>
  <c r="H121" i="32" s="1"/>
  <c r="I121" i="32" s="1"/>
  <c r="J121" i="32" s="1"/>
  <c r="E121" i="32"/>
  <c r="P119" i="32"/>
  <c r="O119" i="32"/>
  <c r="N119" i="32"/>
  <c r="G119" i="32"/>
  <c r="H119" i="32" s="1"/>
  <c r="I119" i="32" s="1"/>
  <c r="J119" i="32" s="1"/>
  <c r="E119" i="32"/>
  <c r="P118" i="32"/>
  <c r="O118" i="32"/>
  <c r="N118" i="32"/>
  <c r="G118" i="32"/>
  <c r="H118" i="32" s="1"/>
  <c r="I118" i="32" s="1"/>
  <c r="J118" i="32" s="1"/>
  <c r="E118" i="32"/>
  <c r="P117" i="32"/>
  <c r="O117" i="32"/>
  <c r="N117" i="32"/>
  <c r="G117" i="32"/>
  <c r="H117" i="32" s="1"/>
  <c r="I117" i="32" s="1"/>
  <c r="J117" i="32" s="1"/>
  <c r="E117" i="32"/>
  <c r="P115" i="32"/>
  <c r="O115" i="32"/>
  <c r="N115" i="32"/>
  <c r="G115" i="32"/>
  <c r="H115" i="32" s="1"/>
  <c r="I115" i="32" s="1"/>
  <c r="J115" i="32" s="1"/>
  <c r="E115" i="32"/>
  <c r="P114" i="32"/>
  <c r="O114" i="32"/>
  <c r="N114" i="32"/>
  <c r="G114" i="32"/>
  <c r="H114" i="32" s="1"/>
  <c r="I114" i="32" s="1"/>
  <c r="J114" i="32" s="1"/>
  <c r="E114" i="32"/>
  <c r="P113" i="32"/>
  <c r="O113" i="32"/>
  <c r="N113" i="32"/>
  <c r="G113" i="32"/>
  <c r="H113" i="32" s="1"/>
  <c r="I113" i="32" s="1"/>
  <c r="J113" i="32" s="1"/>
  <c r="E113" i="32"/>
  <c r="P111" i="32"/>
  <c r="O111" i="32"/>
  <c r="N111" i="32"/>
  <c r="G111" i="32"/>
  <c r="H111" i="32" s="1"/>
  <c r="I111" i="32" s="1"/>
  <c r="J111" i="32" s="1"/>
  <c r="E111" i="32"/>
  <c r="P110" i="32"/>
  <c r="O110" i="32"/>
  <c r="N110" i="32"/>
  <c r="G110" i="32"/>
  <c r="H110" i="32" s="1"/>
  <c r="I110" i="32" s="1"/>
  <c r="J110" i="32" s="1"/>
  <c r="E110" i="32"/>
  <c r="P109" i="32"/>
  <c r="O109" i="32"/>
  <c r="N109" i="32"/>
  <c r="G109" i="32"/>
  <c r="H109" i="32" s="1"/>
  <c r="I109" i="32" s="1"/>
  <c r="J109" i="32" s="1"/>
  <c r="E109" i="32"/>
  <c r="P107" i="32"/>
  <c r="O107" i="32"/>
  <c r="N107" i="32"/>
  <c r="G107" i="32"/>
  <c r="H107" i="32" s="1"/>
  <c r="I107" i="32" s="1"/>
  <c r="J107" i="32" s="1"/>
  <c r="E107" i="32"/>
  <c r="P106" i="32"/>
  <c r="O106" i="32"/>
  <c r="N106" i="32"/>
  <c r="G106" i="32"/>
  <c r="H106" i="32" s="1"/>
  <c r="I106" i="32" s="1"/>
  <c r="J106" i="32" s="1"/>
  <c r="E106" i="32"/>
  <c r="P105" i="32"/>
  <c r="O105" i="32"/>
  <c r="N105" i="32"/>
  <c r="G105" i="32"/>
  <c r="H105" i="32" s="1"/>
  <c r="I105" i="32" s="1"/>
  <c r="J105" i="32" s="1"/>
  <c r="E105" i="32"/>
  <c r="P87" i="32"/>
  <c r="O87" i="32"/>
  <c r="N87" i="32"/>
  <c r="G87" i="32"/>
  <c r="H87" i="32" s="1"/>
  <c r="I87" i="32" s="1"/>
  <c r="J87" i="32" s="1"/>
  <c r="E87" i="32"/>
  <c r="P86" i="32"/>
  <c r="O86" i="32"/>
  <c r="N86" i="32"/>
  <c r="G86" i="32"/>
  <c r="H86" i="32" s="1"/>
  <c r="I86" i="32" s="1"/>
  <c r="J86" i="32" s="1"/>
  <c r="E86" i="32"/>
  <c r="P85" i="32"/>
  <c r="O85" i="32"/>
  <c r="N85" i="32"/>
  <c r="G85" i="32"/>
  <c r="H85" i="32" s="1"/>
  <c r="I85" i="32" s="1"/>
  <c r="J85" i="32" s="1"/>
  <c r="E85" i="32"/>
  <c r="P83" i="32"/>
  <c r="O83" i="32"/>
  <c r="N83" i="32"/>
  <c r="G83" i="32"/>
  <c r="H83" i="32" s="1"/>
  <c r="I83" i="32" s="1"/>
  <c r="J83" i="32" s="1"/>
  <c r="E83" i="32"/>
  <c r="P82" i="32"/>
  <c r="O82" i="32"/>
  <c r="N82" i="32"/>
  <c r="G82" i="32"/>
  <c r="H82" i="32" s="1"/>
  <c r="I82" i="32" s="1"/>
  <c r="J82" i="32" s="1"/>
  <c r="E82" i="32"/>
  <c r="P81" i="32"/>
  <c r="O81" i="32"/>
  <c r="N81" i="32"/>
  <c r="G81" i="32"/>
  <c r="H81" i="32" s="1"/>
  <c r="I81" i="32" s="1"/>
  <c r="J81" i="32" s="1"/>
  <c r="E81" i="32"/>
  <c r="P79" i="32"/>
  <c r="O79" i="32"/>
  <c r="N79" i="32"/>
  <c r="G79" i="32"/>
  <c r="H79" i="32" s="1"/>
  <c r="I79" i="32" s="1"/>
  <c r="J79" i="32" s="1"/>
  <c r="E79" i="32"/>
  <c r="P78" i="32"/>
  <c r="O78" i="32"/>
  <c r="N78" i="32"/>
  <c r="G78" i="32"/>
  <c r="H78" i="32" s="1"/>
  <c r="I78" i="32" s="1"/>
  <c r="J78" i="32" s="1"/>
  <c r="E78" i="32"/>
  <c r="P77" i="32"/>
  <c r="O77" i="32"/>
  <c r="N77" i="32"/>
  <c r="G77" i="32"/>
  <c r="H77" i="32" s="1"/>
  <c r="I77" i="32" s="1"/>
  <c r="J77" i="32" s="1"/>
  <c r="E77" i="32"/>
  <c r="P41" i="32" l="1"/>
  <c r="O41" i="32"/>
  <c r="N41" i="32"/>
  <c r="G41" i="32"/>
  <c r="H41" i="32" s="1"/>
  <c r="I41" i="32" s="1"/>
  <c r="J41" i="32" s="1"/>
  <c r="E41" i="32"/>
  <c r="P40" i="32"/>
  <c r="O40" i="32"/>
  <c r="N40" i="32"/>
  <c r="G40" i="32"/>
  <c r="H40" i="32" s="1"/>
  <c r="I40" i="32" s="1"/>
  <c r="J40" i="32" s="1"/>
  <c r="E40" i="32"/>
  <c r="P39" i="32"/>
  <c r="O39" i="32"/>
  <c r="N39" i="32"/>
  <c r="G39" i="32"/>
  <c r="H39" i="32" s="1"/>
  <c r="I39" i="32" s="1"/>
  <c r="J39" i="32" s="1"/>
  <c r="E39" i="32"/>
  <c r="P38" i="32"/>
  <c r="O38" i="32"/>
  <c r="N38" i="32"/>
  <c r="G38" i="32"/>
  <c r="H38" i="32" s="1"/>
  <c r="I38" i="32" s="1"/>
  <c r="J38" i="32" s="1"/>
  <c r="E38" i="32"/>
  <c r="P36" i="32"/>
  <c r="O36" i="32"/>
  <c r="N36" i="32"/>
  <c r="G36" i="32"/>
  <c r="H36" i="32" s="1"/>
  <c r="I36" i="32" s="1"/>
  <c r="J36" i="32" s="1"/>
  <c r="E36" i="32"/>
  <c r="P35" i="32"/>
  <c r="O35" i="32"/>
  <c r="N35" i="32"/>
  <c r="G35" i="32"/>
  <c r="H35" i="32" s="1"/>
  <c r="I35" i="32" s="1"/>
  <c r="J35" i="32" s="1"/>
  <c r="E35" i="32"/>
  <c r="P31" i="32"/>
  <c r="O31" i="32"/>
  <c r="N31" i="32"/>
  <c r="G31" i="32"/>
  <c r="H31" i="32" s="1"/>
  <c r="I31" i="32" s="1"/>
  <c r="J31" i="32" s="1"/>
  <c r="E31" i="32"/>
  <c r="P30" i="32"/>
  <c r="O30" i="32"/>
  <c r="N30" i="32"/>
  <c r="G30" i="32"/>
  <c r="H30" i="32" s="1"/>
  <c r="I30" i="32" s="1"/>
  <c r="J30" i="32" s="1"/>
  <c r="E30" i="32"/>
  <c r="P26" i="32"/>
  <c r="O26" i="32"/>
  <c r="N26" i="32"/>
  <c r="G26" i="32"/>
  <c r="H26" i="32" s="1"/>
  <c r="I26" i="32" s="1"/>
  <c r="J26" i="32" s="1"/>
  <c r="E26" i="32"/>
  <c r="P25" i="32"/>
  <c r="O25" i="32"/>
  <c r="N25" i="32"/>
  <c r="G25" i="32"/>
  <c r="H25" i="32" s="1"/>
  <c r="I25" i="32" s="1"/>
  <c r="J25" i="32" s="1"/>
  <c r="E25" i="32"/>
  <c r="P24" i="32"/>
  <c r="O24" i="32"/>
  <c r="N24" i="32"/>
  <c r="G24" i="32"/>
  <c r="H24" i="32" s="1"/>
  <c r="I24" i="32" s="1"/>
  <c r="J24" i="32" s="1"/>
  <c r="E24" i="32"/>
  <c r="P23" i="32"/>
  <c r="O23" i="32"/>
  <c r="N23" i="32"/>
  <c r="G23" i="32"/>
  <c r="H23" i="32" s="1"/>
  <c r="I23" i="32" s="1"/>
  <c r="J23" i="32" s="1"/>
  <c r="E23" i="32"/>
  <c r="P21" i="32"/>
  <c r="O21" i="32"/>
  <c r="N21" i="32"/>
  <c r="G21" i="32"/>
  <c r="H21" i="32" s="1"/>
  <c r="I21" i="32" s="1"/>
  <c r="J21" i="32" s="1"/>
  <c r="E21" i="32"/>
  <c r="P20" i="32"/>
  <c r="O20" i="32"/>
  <c r="N20" i="32"/>
  <c r="G20" i="32"/>
  <c r="H20" i="32" s="1"/>
  <c r="I20" i="32" s="1"/>
  <c r="J20" i="32" s="1"/>
  <c r="E20" i="32"/>
  <c r="P16" i="32"/>
  <c r="O16" i="32"/>
  <c r="N16" i="32"/>
  <c r="G16" i="32"/>
  <c r="H16" i="32" s="1"/>
  <c r="I16" i="32" s="1"/>
  <c r="J16" i="32" s="1"/>
  <c r="E16" i="32"/>
  <c r="P15" i="32"/>
  <c r="O15" i="32"/>
  <c r="N15" i="32"/>
  <c r="G15" i="32"/>
  <c r="H15" i="32" s="1"/>
  <c r="I15" i="32" s="1"/>
  <c r="J15" i="32" s="1"/>
  <c r="E15" i="32"/>
  <c r="P14" i="32"/>
  <c r="O14" i="32"/>
  <c r="N14" i="32"/>
  <c r="G14" i="32"/>
  <c r="H14" i="32" s="1"/>
  <c r="I14" i="32" s="1"/>
  <c r="J14" i="32" s="1"/>
  <c r="E14" i="32"/>
  <c r="P13" i="32"/>
  <c r="O13" i="32"/>
  <c r="N13" i="32"/>
  <c r="G13" i="32"/>
  <c r="H13" i="32" s="1"/>
  <c r="I13" i="32" s="1"/>
  <c r="J13" i="32" s="1"/>
  <c r="E13" i="32"/>
  <c r="P11" i="32"/>
  <c r="O11" i="32"/>
  <c r="N11" i="32"/>
  <c r="G11" i="32"/>
  <c r="H11" i="32" s="1"/>
  <c r="I11" i="32" s="1"/>
  <c r="J11" i="32" s="1"/>
  <c r="E11" i="32"/>
  <c r="P10" i="32"/>
  <c r="O10" i="32"/>
  <c r="N10" i="32"/>
  <c r="G10" i="32"/>
  <c r="H10" i="32" s="1"/>
  <c r="I10" i="32" s="1"/>
  <c r="J10" i="32" s="1"/>
  <c r="E10" i="32"/>
  <c r="E12" i="32"/>
  <c r="G12" i="32"/>
  <c r="H12" i="32" s="1"/>
  <c r="I12" i="32" s="1"/>
  <c r="J12" i="32" s="1"/>
  <c r="N12" i="32"/>
  <c r="O12" i="32"/>
  <c r="P12" i="32"/>
  <c r="E12" i="20"/>
  <c r="C12" i="20" s="1"/>
  <c r="E13" i="20"/>
  <c r="C13" i="20" s="1"/>
  <c r="H17" i="21" l="1"/>
  <c r="D17" i="21"/>
  <c r="C17" i="21"/>
  <c r="E6" i="32" l="1"/>
  <c r="G6" i="32"/>
  <c r="H6" i="32" s="1"/>
  <c r="I6" i="32" s="1"/>
  <c r="J6" i="32" s="1"/>
  <c r="N6" i="32"/>
  <c r="O6" i="32"/>
  <c r="P6" i="32"/>
  <c r="P9" i="32"/>
  <c r="O9" i="32"/>
  <c r="N9" i="32"/>
  <c r="G9" i="32"/>
  <c r="H9" i="32" s="1"/>
  <c r="I9" i="32" s="1"/>
  <c r="J9" i="32" s="1"/>
  <c r="E9" i="32"/>
  <c r="P8" i="32"/>
  <c r="O8" i="32"/>
  <c r="N8" i="32"/>
  <c r="G8" i="32"/>
  <c r="H8" i="32" s="1"/>
  <c r="I8" i="32" s="1"/>
  <c r="J8" i="32" s="1"/>
  <c r="E8" i="32"/>
  <c r="P29" i="32"/>
  <c r="O29" i="32"/>
  <c r="N29" i="32"/>
  <c r="G29" i="32"/>
  <c r="H29" i="32" s="1"/>
  <c r="I29" i="32" s="1"/>
  <c r="J29" i="32" s="1"/>
  <c r="E29" i="32"/>
  <c r="P28" i="32"/>
  <c r="O28" i="32"/>
  <c r="N28" i="32"/>
  <c r="G28" i="32"/>
  <c r="H28" i="32" s="1"/>
  <c r="I28" i="32" s="1"/>
  <c r="J28" i="32" s="1"/>
  <c r="E28" i="32"/>
  <c r="P34" i="32"/>
  <c r="O34" i="32"/>
  <c r="N34" i="32"/>
  <c r="G34" i="32"/>
  <c r="H34" i="32" s="1"/>
  <c r="I34" i="32" s="1"/>
  <c r="J34" i="32" s="1"/>
  <c r="E34" i="32"/>
  <c r="P33" i="32"/>
  <c r="O33" i="32"/>
  <c r="N33" i="32"/>
  <c r="G33" i="32"/>
  <c r="H33" i="32" s="1"/>
  <c r="I33" i="32" s="1"/>
  <c r="J33" i="32" s="1"/>
  <c r="E33" i="32"/>
  <c r="AM76" i="30"/>
  <c r="AM77" i="30" s="1"/>
  <c r="AM78" i="30" s="1"/>
  <c r="AM79" i="30" s="1"/>
  <c r="AM80" i="30" s="1"/>
  <c r="AM81" i="30" s="1"/>
  <c r="AM82" i="30" s="1"/>
  <c r="AM83" i="30" s="1"/>
  <c r="AM84" i="30" s="1"/>
  <c r="AM85" i="30" s="1"/>
  <c r="AM86" i="30" s="1"/>
  <c r="AM87" i="30" s="1"/>
  <c r="AM88" i="30" s="1"/>
  <c r="AM89" i="30" s="1"/>
  <c r="AM90" i="30" s="1"/>
  <c r="AM91" i="30" s="1"/>
  <c r="AM92" i="30" s="1"/>
  <c r="AM93" i="30" s="1"/>
  <c r="AM94" i="30" s="1"/>
  <c r="AM95" i="30" s="1"/>
  <c r="AM96" i="30" s="1"/>
  <c r="AL76" i="30"/>
  <c r="AL77" i="30" s="1"/>
  <c r="AL78" i="30" s="1"/>
  <c r="AL79" i="30" s="1"/>
  <c r="AL80" i="30" s="1"/>
  <c r="AL81" i="30" s="1"/>
  <c r="AL82" i="30" s="1"/>
  <c r="AL83" i="30" s="1"/>
  <c r="AL84" i="30" s="1"/>
  <c r="AL85" i="30" s="1"/>
  <c r="AL86" i="30" s="1"/>
  <c r="AL87" i="30" s="1"/>
  <c r="AL88" i="30" s="1"/>
  <c r="AL89" i="30" s="1"/>
  <c r="AL90" i="30" s="1"/>
  <c r="AL91" i="30" s="1"/>
  <c r="AL92" i="30" s="1"/>
  <c r="AL93" i="30" s="1"/>
  <c r="AL94" i="30" s="1"/>
  <c r="AL95" i="30" s="1"/>
  <c r="AL96" i="30" s="1"/>
  <c r="AK76" i="30"/>
  <c r="AK77" i="30" s="1"/>
  <c r="AK78" i="30" s="1"/>
  <c r="AK79" i="30" s="1"/>
  <c r="AK80" i="30" s="1"/>
  <c r="AK81" i="30" s="1"/>
  <c r="AK82" i="30" s="1"/>
  <c r="AK83" i="30" s="1"/>
  <c r="AK84" i="30" s="1"/>
  <c r="AK85" i="30" s="1"/>
  <c r="AK86" i="30" s="1"/>
  <c r="AK87" i="30" s="1"/>
  <c r="AK88" i="30" s="1"/>
  <c r="AK89" i="30" s="1"/>
  <c r="AK90" i="30" s="1"/>
  <c r="AK91" i="30" s="1"/>
  <c r="AK92" i="30" s="1"/>
  <c r="AK93" i="30" s="1"/>
  <c r="AK94" i="30" s="1"/>
  <c r="AK95" i="30" s="1"/>
  <c r="AK96" i="30" s="1"/>
  <c r="AD76" i="30"/>
  <c r="AD77" i="30" s="1"/>
  <c r="AD78" i="30" s="1"/>
  <c r="AD79" i="30" s="1"/>
  <c r="AD80" i="30" s="1"/>
  <c r="AD81" i="30" s="1"/>
  <c r="AD82" i="30" s="1"/>
  <c r="AD83" i="30" s="1"/>
  <c r="AD84" i="30" s="1"/>
  <c r="AD85" i="30" s="1"/>
  <c r="AD86" i="30" s="1"/>
  <c r="AD87" i="30" s="1"/>
  <c r="AD88" i="30" s="1"/>
  <c r="AD89" i="30" s="1"/>
  <c r="AD90" i="30" s="1"/>
  <c r="AD91" i="30" s="1"/>
  <c r="AD92" i="30" s="1"/>
  <c r="AD93" i="30" s="1"/>
  <c r="AD94" i="30" s="1"/>
  <c r="AD95" i="30" s="1"/>
  <c r="AD96" i="30" s="1"/>
  <c r="AC76" i="30"/>
  <c r="AC77" i="30" s="1"/>
  <c r="AC78" i="30" s="1"/>
  <c r="AC79" i="30" s="1"/>
  <c r="AC80" i="30" s="1"/>
  <c r="AC81" i="30" s="1"/>
  <c r="AC82" i="30" s="1"/>
  <c r="AC83" i="30" s="1"/>
  <c r="AC84" i="30" s="1"/>
  <c r="AC85" i="30" s="1"/>
  <c r="AC86" i="30" s="1"/>
  <c r="AC87" i="30" s="1"/>
  <c r="AC88" i="30" s="1"/>
  <c r="AC89" i="30" s="1"/>
  <c r="AC90" i="30" s="1"/>
  <c r="AC91" i="30" s="1"/>
  <c r="AC92" i="30" s="1"/>
  <c r="AC93" i="30" s="1"/>
  <c r="AC94" i="30" s="1"/>
  <c r="AC95" i="30" s="1"/>
  <c r="AC96" i="30" s="1"/>
  <c r="AB76" i="30"/>
  <c r="AB77" i="30" s="1"/>
  <c r="AB78" i="30" s="1"/>
  <c r="AB79" i="30" s="1"/>
  <c r="AB80" i="30" s="1"/>
  <c r="AB81" i="30" s="1"/>
  <c r="AB82" i="30" s="1"/>
  <c r="AB83" i="30" s="1"/>
  <c r="AB84" i="30" s="1"/>
  <c r="AB85" i="30" s="1"/>
  <c r="AB86" i="30" s="1"/>
  <c r="AB87" i="30" s="1"/>
  <c r="AB88" i="30" s="1"/>
  <c r="AB89" i="30" s="1"/>
  <c r="AB90" i="30" s="1"/>
  <c r="AB91" i="30" s="1"/>
  <c r="AB92" i="30" s="1"/>
  <c r="AB93" i="30" s="1"/>
  <c r="AB94" i="30" s="1"/>
  <c r="AB95" i="30" s="1"/>
  <c r="AB96" i="30" s="1"/>
  <c r="AI76" i="30"/>
  <c r="AI77" i="30" s="1"/>
  <c r="AI78" i="30" s="1"/>
  <c r="AI79" i="30" s="1"/>
  <c r="AI80" i="30" s="1"/>
  <c r="AI81" i="30" s="1"/>
  <c r="AI82" i="30" s="1"/>
  <c r="AI83" i="30" s="1"/>
  <c r="AI84" i="30" s="1"/>
  <c r="AI85" i="30" s="1"/>
  <c r="AI86" i="30" s="1"/>
  <c r="AI87" i="30" s="1"/>
  <c r="AI88" i="30" s="1"/>
  <c r="AI89" i="30" s="1"/>
  <c r="AI90" i="30" s="1"/>
  <c r="AI91" i="30" s="1"/>
  <c r="AI92" i="30" s="1"/>
  <c r="AI93" i="30" s="1"/>
  <c r="AI94" i="30" s="1"/>
  <c r="AI95" i="30" s="1"/>
  <c r="AI96" i="30" s="1"/>
  <c r="AH76" i="30"/>
  <c r="AH77" i="30" s="1"/>
  <c r="AH78" i="30" s="1"/>
  <c r="AH79" i="30" s="1"/>
  <c r="AH80" i="30" s="1"/>
  <c r="AH81" i="30" s="1"/>
  <c r="AH82" i="30" s="1"/>
  <c r="AH83" i="30" s="1"/>
  <c r="AH84" i="30" s="1"/>
  <c r="AH85" i="30" s="1"/>
  <c r="AH86" i="30" s="1"/>
  <c r="AH87" i="30" s="1"/>
  <c r="AH88" i="30" s="1"/>
  <c r="AH89" i="30" s="1"/>
  <c r="AH90" i="30" s="1"/>
  <c r="AH91" i="30" s="1"/>
  <c r="AH92" i="30" s="1"/>
  <c r="AH93" i="30" s="1"/>
  <c r="AH94" i="30" s="1"/>
  <c r="AH95" i="30" s="1"/>
  <c r="AH96" i="30" s="1"/>
  <c r="AG76" i="30"/>
  <c r="AG77" i="30" s="1"/>
  <c r="AG78" i="30" s="1"/>
  <c r="AG79" i="30" s="1"/>
  <c r="AG80" i="30" s="1"/>
  <c r="AG81" i="30" s="1"/>
  <c r="AG82" i="30" s="1"/>
  <c r="AG83" i="30" s="1"/>
  <c r="AG84" i="30" s="1"/>
  <c r="AG85" i="30" s="1"/>
  <c r="AG86" i="30" s="1"/>
  <c r="AG87" i="30" s="1"/>
  <c r="AG88" i="30" s="1"/>
  <c r="AG89" i="30" s="1"/>
  <c r="AG90" i="30" s="1"/>
  <c r="AG91" i="30" s="1"/>
  <c r="AG92" i="30" s="1"/>
  <c r="AG93" i="30" s="1"/>
  <c r="AG94" i="30" s="1"/>
  <c r="AG95" i="30" s="1"/>
  <c r="AG96" i="30" s="1"/>
  <c r="AF76" i="30"/>
  <c r="AF77" i="30" s="1"/>
  <c r="AF78" i="30" s="1"/>
  <c r="AF79" i="30" s="1"/>
  <c r="AF80" i="30" s="1"/>
  <c r="AF81" i="30" s="1"/>
  <c r="AF82" i="30" s="1"/>
  <c r="AF83" i="30" s="1"/>
  <c r="AF84" i="30" s="1"/>
  <c r="AF85" i="30" s="1"/>
  <c r="AF86" i="30" s="1"/>
  <c r="AF87" i="30" s="1"/>
  <c r="AF88" i="30" s="1"/>
  <c r="AF89" i="30" s="1"/>
  <c r="AF90" i="30" s="1"/>
  <c r="AF91" i="30" s="1"/>
  <c r="AF92" i="30" s="1"/>
  <c r="AF93" i="30" s="1"/>
  <c r="AF94" i="30" s="1"/>
  <c r="AF95" i="30" s="1"/>
  <c r="AF96" i="30" s="1"/>
  <c r="AR76" i="30"/>
  <c r="AR77" i="30" s="1"/>
  <c r="AR78" i="30" s="1"/>
  <c r="AR79" i="30" s="1"/>
  <c r="AR80" i="30" s="1"/>
  <c r="AR81" i="30" s="1"/>
  <c r="AR82" i="30" s="1"/>
  <c r="AR83" i="30" s="1"/>
  <c r="AR84" i="30" s="1"/>
  <c r="AR85" i="30" s="1"/>
  <c r="AR86" i="30" s="1"/>
  <c r="AR87" i="30" s="1"/>
  <c r="AR88" i="30" s="1"/>
  <c r="AR89" i="30" s="1"/>
  <c r="AR90" i="30" s="1"/>
  <c r="AR91" i="30" s="1"/>
  <c r="AR92" i="30" s="1"/>
  <c r="AR93" i="30" s="1"/>
  <c r="AR94" i="30" s="1"/>
  <c r="AR95" i="30" s="1"/>
  <c r="AR96" i="30" s="1"/>
  <c r="AQ76" i="30"/>
  <c r="AQ77" i="30" s="1"/>
  <c r="AQ78" i="30" s="1"/>
  <c r="AQ79" i="30" s="1"/>
  <c r="AQ80" i="30" s="1"/>
  <c r="AQ81" i="30" s="1"/>
  <c r="AQ82" i="30" s="1"/>
  <c r="AQ83" i="30" s="1"/>
  <c r="AQ84" i="30" s="1"/>
  <c r="AQ85" i="30" s="1"/>
  <c r="AQ86" i="30" s="1"/>
  <c r="AQ87" i="30" s="1"/>
  <c r="AQ88" i="30" s="1"/>
  <c r="AQ89" i="30" s="1"/>
  <c r="AQ90" i="30" s="1"/>
  <c r="AQ91" i="30" s="1"/>
  <c r="AQ92" i="30" s="1"/>
  <c r="AQ93" i="30" s="1"/>
  <c r="AQ94" i="30" s="1"/>
  <c r="AQ95" i="30" s="1"/>
  <c r="AQ96" i="30" s="1"/>
  <c r="AP76" i="30"/>
  <c r="AP77" i="30" s="1"/>
  <c r="AP78" i="30" s="1"/>
  <c r="AP79" i="30" s="1"/>
  <c r="AP80" i="30" s="1"/>
  <c r="AP81" i="30" s="1"/>
  <c r="AP82" i="30" s="1"/>
  <c r="AP83" i="30" s="1"/>
  <c r="AP84" i="30" s="1"/>
  <c r="AP85" i="30" s="1"/>
  <c r="AP86" i="30" s="1"/>
  <c r="AP87" i="30" s="1"/>
  <c r="AP88" i="30" s="1"/>
  <c r="AP89" i="30" s="1"/>
  <c r="AP90" i="30" s="1"/>
  <c r="AP91" i="30" s="1"/>
  <c r="AP92" i="30" s="1"/>
  <c r="AP93" i="30" s="1"/>
  <c r="AP94" i="30" s="1"/>
  <c r="AP95" i="30" s="1"/>
  <c r="AP96" i="30" s="1"/>
  <c r="AO76" i="30"/>
  <c r="AO77" i="30" s="1"/>
  <c r="AO78" i="30" s="1"/>
  <c r="AO79" i="30" s="1"/>
  <c r="AO80" i="30" s="1"/>
  <c r="AO81" i="30" s="1"/>
  <c r="AO82" i="30" s="1"/>
  <c r="AO83" i="30" s="1"/>
  <c r="AO84" i="30" s="1"/>
  <c r="AO85" i="30" s="1"/>
  <c r="AO86" i="30" s="1"/>
  <c r="AO87" i="30" s="1"/>
  <c r="AO88" i="30" s="1"/>
  <c r="AO89" i="30" s="1"/>
  <c r="AO90" i="30" s="1"/>
  <c r="AO91" i="30" s="1"/>
  <c r="AO92" i="30" s="1"/>
  <c r="AO93" i="30" s="1"/>
  <c r="AO94" i="30" s="1"/>
  <c r="AO95" i="30" s="1"/>
  <c r="AO96" i="30" s="1"/>
  <c r="AU76" i="30"/>
  <c r="AU77" i="30" s="1"/>
  <c r="AU78" i="30" s="1"/>
  <c r="AU79" i="30" s="1"/>
  <c r="AU80" i="30" s="1"/>
  <c r="AU81" i="30" s="1"/>
  <c r="AU82" i="30" s="1"/>
  <c r="AU83" i="30" s="1"/>
  <c r="AU84" i="30" s="1"/>
  <c r="AU85" i="30" s="1"/>
  <c r="AU86" i="30" s="1"/>
  <c r="AU87" i="30" s="1"/>
  <c r="AU88" i="30" s="1"/>
  <c r="AU89" i="30" s="1"/>
  <c r="AU90" i="30" s="1"/>
  <c r="AU91" i="30" s="1"/>
  <c r="AU92" i="30" s="1"/>
  <c r="AU93" i="30" s="1"/>
  <c r="AU94" i="30" s="1"/>
  <c r="AU95" i="30" s="1"/>
  <c r="AU96" i="30" s="1"/>
  <c r="AT76" i="30"/>
  <c r="AT77" i="30" s="1"/>
  <c r="AT78" i="30" s="1"/>
  <c r="AT79" i="30" s="1"/>
  <c r="AT80" i="30" s="1"/>
  <c r="AT81" i="30" s="1"/>
  <c r="AT82" i="30" s="1"/>
  <c r="AT83" i="30" s="1"/>
  <c r="AT84" i="30" s="1"/>
  <c r="AT85" i="30" s="1"/>
  <c r="AT86" i="30" s="1"/>
  <c r="AT87" i="30" s="1"/>
  <c r="AT88" i="30" s="1"/>
  <c r="AT89" i="30" s="1"/>
  <c r="AT90" i="30" s="1"/>
  <c r="AT91" i="30" s="1"/>
  <c r="AT92" i="30" s="1"/>
  <c r="AT93" i="30" s="1"/>
  <c r="AT94" i="30" s="1"/>
  <c r="AT95" i="30" s="1"/>
  <c r="AT96" i="30" s="1"/>
  <c r="AZ76" i="30"/>
  <c r="AZ77" i="30" s="1"/>
  <c r="AZ78" i="30" s="1"/>
  <c r="AZ79" i="30" s="1"/>
  <c r="AZ80" i="30" s="1"/>
  <c r="AZ81" i="30" s="1"/>
  <c r="AZ82" i="30" s="1"/>
  <c r="AZ83" i="30" s="1"/>
  <c r="AZ84" i="30" s="1"/>
  <c r="AZ85" i="30" s="1"/>
  <c r="AZ86" i="30" s="1"/>
  <c r="AZ87" i="30" s="1"/>
  <c r="AZ88" i="30" s="1"/>
  <c r="AZ89" i="30" s="1"/>
  <c r="AZ90" i="30" s="1"/>
  <c r="AZ91" i="30" s="1"/>
  <c r="AZ92" i="30" s="1"/>
  <c r="AZ93" i="30" s="1"/>
  <c r="AZ94" i="30" s="1"/>
  <c r="AZ95" i="30" s="1"/>
  <c r="AZ96" i="30" s="1"/>
  <c r="AN76" i="30"/>
  <c r="AN77" i="30" s="1"/>
  <c r="AN78" i="30" s="1"/>
  <c r="AN79" i="30" s="1"/>
  <c r="AN80" i="30" s="1"/>
  <c r="AN81" i="30" s="1"/>
  <c r="AN82" i="30" s="1"/>
  <c r="AN83" i="30" s="1"/>
  <c r="AN84" i="30" s="1"/>
  <c r="AN85" i="30" s="1"/>
  <c r="AN86" i="30" s="1"/>
  <c r="AN87" i="30" s="1"/>
  <c r="AN88" i="30" s="1"/>
  <c r="AN89" i="30" s="1"/>
  <c r="AN90" i="30" s="1"/>
  <c r="AN91" i="30" s="1"/>
  <c r="AN92" i="30" s="1"/>
  <c r="AN93" i="30" s="1"/>
  <c r="AN94" i="30" s="1"/>
  <c r="AN95" i="30" s="1"/>
  <c r="AN96" i="30" s="1"/>
  <c r="AE76" i="30"/>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M76" i="30"/>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V76" i="30"/>
  <c r="V77" i="30" s="1"/>
  <c r="V78" i="30" s="1"/>
  <c r="V79" i="30" s="1"/>
  <c r="V80" i="30" s="1"/>
  <c r="V81" i="30" s="1"/>
  <c r="V82" i="30" s="1"/>
  <c r="V83" i="30" s="1"/>
  <c r="V84" i="30" s="1"/>
  <c r="V85" i="30" s="1"/>
  <c r="V86" i="30" s="1"/>
  <c r="V87" i="30" s="1"/>
  <c r="V88" i="30" s="1"/>
  <c r="V89" i="30" s="1"/>
  <c r="V90" i="30" s="1"/>
  <c r="V91" i="30" s="1"/>
  <c r="V92" i="30" s="1"/>
  <c r="V93" i="30" s="1"/>
  <c r="V94" i="30" s="1"/>
  <c r="V95" i="30" s="1"/>
  <c r="V96" i="30" s="1"/>
  <c r="U76" i="30"/>
  <c r="U77" i="30" s="1"/>
  <c r="U78" i="30" s="1"/>
  <c r="U79" i="30" s="1"/>
  <c r="U80" i="30" s="1"/>
  <c r="U81" i="30" s="1"/>
  <c r="U82" i="30" s="1"/>
  <c r="U83" i="30" s="1"/>
  <c r="U84" i="30" s="1"/>
  <c r="U85" i="30" s="1"/>
  <c r="U86" i="30" s="1"/>
  <c r="U87" i="30" s="1"/>
  <c r="U88" i="30" s="1"/>
  <c r="U89" i="30" s="1"/>
  <c r="U90" i="30" s="1"/>
  <c r="U91" i="30" s="1"/>
  <c r="U92" i="30" s="1"/>
  <c r="U93" i="30" s="1"/>
  <c r="U94" i="30" s="1"/>
  <c r="U95" i="30" s="1"/>
  <c r="U96" i="30" s="1"/>
  <c r="P99" i="32" l="1"/>
  <c r="O99" i="32"/>
  <c r="N99" i="32"/>
  <c r="G99" i="32"/>
  <c r="H99" i="32" s="1"/>
  <c r="I99" i="32" s="1"/>
  <c r="J99" i="32" s="1"/>
  <c r="E99" i="32"/>
  <c r="P98" i="32"/>
  <c r="O98" i="32"/>
  <c r="N98" i="32"/>
  <c r="G98" i="32"/>
  <c r="H98" i="32" s="1"/>
  <c r="I98" i="32" s="1"/>
  <c r="J98" i="32" s="1"/>
  <c r="E98" i="32"/>
  <c r="P97" i="32"/>
  <c r="O97" i="32"/>
  <c r="N97" i="32"/>
  <c r="G97" i="32"/>
  <c r="H97" i="32" s="1"/>
  <c r="I97" i="32" s="1"/>
  <c r="J97" i="32" s="1"/>
  <c r="E97" i="32"/>
  <c r="P96" i="32"/>
  <c r="O96" i="32"/>
  <c r="N96" i="32"/>
  <c r="G96" i="32"/>
  <c r="H96" i="32" s="1"/>
  <c r="I96" i="32" s="1"/>
  <c r="J96" i="32" s="1"/>
  <c r="E96" i="32"/>
  <c r="P19" i="32" l="1"/>
  <c r="O19" i="32"/>
  <c r="N19" i="32"/>
  <c r="G19" i="32"/>
  <c r="H19" i="32" s="1"/>
  <c r="I19" i="32" s="1"/>
  <c r="J19" i="32" s="1"/>
  <c r="E19" i="32"/>
  <c r="P18" i="32"/>
  <c r="O18" i="32"/>
  <c r="N18" i="32"/>
  <c r="G18" i="32"/>
  <c r="H18" i="32" s="1"/>
  <c r="I18" i="32" s="1"/>
  <c r="J18" i="32" s="1"/>
  <c r="E18" i="32"/>
  <c r="C76" i="30" l="1"/>
  <c r="C77" i="30" s="1"/>
  <c r="C78" i="30" s="1"/>
  <c r="C79" i="30" s="1"/>
  <c r="C80" i="30" s="1"/>
  <c r="C81" i="30" s="1"/>
  <c r="C82" i="30" s="1"/>
  <c r="C83" i="30" s="1"/>
  <c r="C84" i="30" s="1"/>
  <c r="C85" i="30" s="1"/>
  <c r="C86" i="30" s="1"/>
  <c r="C87" i="30" s="1"/>
  <c r="C88" i="30" s="1"/>
  <c r="C89" i="30" s="1"/>
  <c r="C90" i="30" s="1"/>
  <c r="C91" i="30" s="1"/>
  <c r="C92" i="30" s="1"/>
  <c r="C93" i="30" s="1"/>
  <c r="C94" i="30" s="1"/>
  <c r="C95" i="30" s="1"/>
  <c r="C96" i="30" s="1"/>
  <c r="Q76" i="30"/>
  <c r="Q77" i="30" s="1"/>
  <c r="Q78" i="30" s="1"/>
  <c r="Q79" i="30" s="1"/>
  <c r="Q80" i="30" s="1"/>
  <c r="Q81" i="30" s="1"/>
  <c r="Q82" i="30" s="1"/>
  <c r="Q83" i="30" s="1"/>
  <c r="Q84" i="30" s="1"/>
  <c r="Q85" i="30" s="1"/>
  <c r="Q86" i="30" s="1"/>
  <c r="Q87" i="30" s="1"/>
  <c r="Q88" i="30" s="1"/>
  <c r="Q89" i="30" s="1"/>
  <c r="Q90" i="30" s="1"/>
  <c r="Q91" i="30" s="1"/>
  <c r="Q92" i="30" s="1"/>
  <c r="Q93" i="30" s="1"/>
  <c r="Q94" i="30" s="1"/>
  <c r="Q95" i="30" s="1"/>
  <c r="Q96" i="30" s="1"/>
  <c r="P76" i="30"/>
  <c r="P77" i="30" s="1"/>
  <c r="P78" i="30" s="1"/>
  <c r="P79" i="30" s="1"/>
  <c r="P80" i="30" s="1"/>
  <c r="P81" i="30" s="1"/>
  <c r="P82" i="30" s="1"/>
  <c r="P83" i="30" s="1"/>
  <c r="P84" i="30" s="1"/>
  <c r="P85" i="30" s="1"/>
  <c r="P86" i="30" s="1"/>
  <c r="P87" i="30" s="1"/>
  <c r="P88" i="30" s="1"/>
  <c r="P89" i="30" s="1"/>
  <c r="P90" i="30" s="1"/>
  <c r="P91" i="30" s="1"/>
  <c r="P92" i="30" s="1"/>
  <c r="P93" i="30" s="1"/>
  <c r="P94" i="30" s="1"/>
  <c r="P95" i="30" s="1"/>
  <c r="P96" i="30" s="1"/>
  <c r="K76" i="30"/>
  <c r="K77" i="30" s="1"/>
  <c r="K78" i="30" s="1"/>
  <c r="K79" i="30" s="1"/>
  <c r="K80" i="30" s="1"/>
  <c r="K81" i="30" s="1"/>
  <c r="K82" i="30" s="1"/>
  <c r="K83" i="30" s="1"/>
  <c r="K84" i="30" s="1"/>
  <c r="K85" i="30" s="1"/>
  <c r="K86" i="30" s="1"/>
  <c r="K87" i="30" s="1"/>
  <c r="K88" i="30" s="1"/>
  <c r="K89" i="30" s="1"/>
  <c r="K90" i="30" s="1"/>
  <c r="K91" i="30" s="1"/>
  <c r="K92" i="30" s="1"/>
  <c r="K93" i="30" s="1"/>
  <c r="K94" i="30" s="1"/>
  <c r="K95" i="30" s="1"/>
  <c r="K96" i="30" s="1"/>
  <c r="J76" i="30"/>
  <c r="J77" i="30" s="1"/>
  <c r="J78" i="30" s="1"/>
  <c r="J79" i="30" s="1"/>
  <c r="J80" i="30" s="1"/>
  <c r="J81" i="30" s="1"/>
  <c r="J82" i="30" s="1"/>
  <c r="J83" i="30" s="1"/>
  <c r="J84" i="30" s="1"/>
  <c r="J85" i="30" s="1"/>
  <c r="J86" i="30" s="1"/>
  <c r="J87" i="30" s="1"/>
  <c r="J88" i="30" s="1"/>
  <c r="J89" i="30" s="1"/>
  <c r="J90" i="30" s="1"/>
  <c r="J91" i="30" s="1"/>
  <c r="J92" i="30" s="1"/>
  <c r="J93" i="30" s="1"/>
  <c r="J94" i="30" s="1"/>
  <c r="J95" i="30" s="1"/>
  <c r="J96" i="30" s="1"/>
  <c r="I76" i="30"/>
  <c r="I77" i="30" s="1"/>
  <c r="I78" i="30" s="1"/>
  <c r="I79" i="30" s="1"/>
  <c r="I80" i="30" s="1"/>
  <c r="I81" i="30" s="1"/>
  <c r="I82" i="30" s="1"/>
  <c r="I83" i="30" s="1"/>
  <c r="I84" i="30" s="1"/>
  <c r="I85" i="30" s="1"/>
  <c r="I86" i="30" s="1"/>
  <c r="I87" i="30" s="1"/>
  <c r="I88" i="30" s="1"/>
  <c r="I89" i="30" s="1"/>
  <c r="I90" i="30" s="1"/>
  <c r="I91" i="30" s="1"/>
  <c r="I92" i="30" s="1"/>
  <c r="I93" i="30" s="1"/>
  <c r="I94" i="30" s="1"/>
  <c r="I95" i="30" s="1"/>
  <c r="I96" i="30" s="1"/>
  <c r="H76" i="30"/>
  <c r="H77" i="30" s="1"/>
  <c r="H78" i="30" s="1"/>
  <c r="H79" i="30" s="1"/>
  <c r="H80" i="30" s="1"/>
  <c r="H81" i="30" s="1"/>
  <c r="H82" i="30" s="1"/>
  <c r="H83" i="30" s="1"/>
  <c r="H84" i="30" s="1"/>
  <c r="H85" i="30" s="1"/>
  <c r="H86" i="30" s="1"/>
  <c r="H87" i="30" s="1"/>
  <c r="H88" i="30" s="1"/>
  <c r="H89" i="30" s="1"/>
  <c r="H90" i="30" s="1"/>
  <c r="H91" i="30" s="1"/>
  <c r="H92" i="30" s="1"/>
  <c r="H93" i="30" s="1"/>
  <c r="H94" i="30" s="1"/>
  <c r="H95" i="30" s="1"/>
  <c r="H96" i="30" s="1"/>
  <c r="G76" i="30"/>
  <c r="G77" i="30" s="1"/>
  <c r="G78" i="30" s="1"/>
  <c r="G79" i="30" s="1"/>
  <c r="G80" i="30" s="1"/>
  <c r="G81" i="30" s="1"/>
  <c r="G82" i="30" s="1"/>
  <c r="G83" i="30" s="1"/>
  <c r="G84" i="30" s="1"/>
  <c r="G85" i="30" s="1"/>
  <c r="G86" i="30" s="1"/>
  <c r="G87" i="30" s="1"/>
  <c r="G88" i="30" s="1"/>
  <c r="G89" i="30" s="1"/>
  <c r="G90" i="30" s="1"/>
  <c r="G91" i="30" s="1"/>
  <c r="G92" i="30" s="1"/>
  <c r="G93" i="30" s="1"/>
  <c r="G94" i="30" s="1"/>
  <c r="G95" i="30" s="1"/>
  <c r="G96" i="30" s="1"/>
  <c r="F76" i="30"/>
  <c r="F77" i="30" s="1"/>
  <c r="F78" i="30" s="1"/>
  <c r="F79" i="30" s="1"/>
  <c r="F80" i="30" s="1"/>
  <c r="F81" i="30" s="1"/>
  <c r="F82" i="30" s="1"/>
  <c r="F83" i="30" s="1"/>
  <c r="F84" i="30" s="1"/>
  <c r="F85" i="30" s="1"/>
  <c r="F86" i="30" s="1"/>
  <c r="F87" i="30" s="1"/>
  <c r="F88" i="30" s="1"/>
  <c r="F89" i="30" s="1"/>
  <c r="F90" i="30" s="1"/>
  <c r="F91" i="30" s="1"/>
  <c r="F92" i="30" s="1"/>
  <c r="F93" i="30" s="1"/>
  <c r="F94" i="30" s="1"/>
  <c r="F95" i="30" s="1"/>
  <c r="F96" i="30" s="1"/>
  <c r="E76" i="30"/>
  <c r="E77" i="30" s="1"/>
  <c r="E78" i="30" s="1"/>
  <c r="E79" i="30" s="1"/>
  <c r="E80" i="30" s="1"/>
  <c r="E81" i="30" s="1"/>
  <c r="E82" i="30" s="1"/>
  <c r="E83" i="30" s="1"/>
  <c r="E84" i="30" s="1"/>
  <c r="E85" i="30" s="1"/>
  <c r="E86" i="30" s="1"/>
  <c r="E87" i="30" s="1"/>
  <c r="E88" i="30" s="1"/>
  <c r="E89" i="30" s="1"/>
  <c r="E90" i="30" s="1"/>
  <c r="E91" i="30" s="1"/>
  <c r="E92" i="30" s="1"/>
  <c r="E93" i="30" s="1"/>
  <c r="E94" i="30" s="1"/>
  <c r="E95" i="30" s="1"/>
  <c r="E96" i="30" s="1"/>
  <c r="G335" i="32"/>
  <c r="H335" i="32" s="1"/>
  <c r="I335" i="32" s="1"/>
  <c r="J335" i="32" s="1"/>
  <c r="G334" i="32"/>
  <c r="H334" i="32" s="1"/>
  <c r="I334" i="32" s="1"/>
  <c r="J334" i="32" s="1"/>
  <c r="G330" i="32"/>
  <c r="H330" i="32" s="1"/>
  <c r="I330" i="32" s="1"/>
  <c r="J330" i="32" s="1"/>
  <c r="G329" i="32"/>
  <c r="H329" i="32" s="1"/>
  <c r="I329" i="32" s="1"/>
  <c r="J329" i="32" s="1"/>
  <c r="G328" i="32"/>
  <c r="H328" i="32" s="1"/>
  <c r="I328" i="32" s="1"/>
  <c r="J328" i="32" s="1"/>
  <c r="N325" i="32"/>
  <c r="G323" i="32"/>
  <c r="H323" i="32" s="1"/>
  <c r="I323" i="32" s="1"/>
  <c r="J323" i="32" s="1"/>
  <c r="G317" i="32"/>
  <c r="H317" i="32" s="1"/>
  <c r="I317" i="32" s="1"/>
  <c r="J317" i="32" s="1"/>
  <c r="G316" i="32"/>
  <c r="H316" i="32" s="1"/>
  <c r="I316" i="32" s="1"/>
  <c r="J316" i="32" s="1"/>
  <c r="G315" i="32"/>
  <c r="H315" i="32" s="1"/>
  <c r="I315" i="32" s="1"/>
  <c r="J315" i="32" s="1"/>
  <c r="G314" i="32"/>
  <c r="H314" i="32" s="1"/>
  <c r="I314" i="32" s="1"/>
  <c r="J314" i="32" s="1"/>
  <c r="G313" i="32"/>
  <c r="H313" i="32" s="1"/>
  <c r="I313" i="32" s="1"/>
  <c r="J313" i="32" s="1"/>
  <c r="N304" i="32"/>
  <c r="G296" i="32"/>
  <c r="H296" i="32" s="1"/>
  <c r="I296" i="32" s="1"/>
  <c r="J296" i="32" s="1"/>
  <c r="G284" i="32"/>
  <c r="H284" i="32" s="1"/>
  <c r="I284" i="32" s="1"/>
  <c r="J284" i="32" s="1"/>
  <c r="G280" i="32"/>
  <c r="H280" i="32" s="1"/>
  <c r="I280" i="32" s="1"/>
  <c r="J280" i="32" s="1"/>
  <c r="G276" i="32"/>
  <c r="H276" i="32" s="1"/>
  <c r="I276" i="32" s="1"/>
  <c r="J276" i="32" s="1"/>
  <c r="G272" i="32"/>
  <c r="H272" i="32" s="1"/>
  <c r="I272" i="32" s="1"/>
  <c r="J272" i="32" s="1"/>
  <c r="G268" i="32"/>
  <c r="H268" i="32" s="1"/>
  <c r="I268" i="32" s="1"/>
  <c r="J268" i="32" s="1"/>
  <c r="N256" i="32"/>
  <c r="G248" i="32"/>
  <c r="H248" i="32" s="1"/>
  <c r="I248" i="32" s="1"/>
  <c r="J248" i="32" s="1"/>
  <c r="G236" i="32"/>
  <c r="H236" i="32" s="1"/>
  <c r="I236" i="32" s="1"/>
  <c r="J236" i="32" s="1"/>
  <c r="G232" i="32"/>
  <c r="H232" i="32" s="1"/>
  <c r="I232" i="32" s="1"/>
  <c r="J232" i="32" s="1"/>
  <c r="G228" i="32"/>
  <c r="H228" i="32" s="1"/>
  <c r="I228" i="32" s="1"/>
  <c r="J228" i="32" s="1"/>
  <c r="G224" i="32"/>
  <c r="H224" i="32" s="1"/>
  <c r="I224" i="32" s="1"/>
  <c r="J224" i="32" s="1"/>
  <c r="G220" i="32"/>
  <c r="H220" i="32" s="1"/>
  <c r="I220" i="32" s="1"/>
  <c r="J220" i="32" s="1"/>
  <c r="N208" i="32"/>
  <c r="G200" i="32"/>
  <c r="H200" i="32" s="1"/>
  <c r="I200" i="32" s="1"/>
  <c r="J200" i="32" s="1"/>
  <c r="G188" i="32"/>
  <c r="H188" i="32" s="1"/>
  <c r="I188" i="32" s="1"/>
  <c r="J188" i="32" s="1"/>
  <c r="G184" i="32"/>
  <c r="H184" i="32" s="1"/>
  <c r="I184" i="32" s="1"/>
  <c r="J184" i="32" s="1"/>
  <c r="G180" i="32"/>
  <c r="H180" i="32" s="1"/>
  <c r="I180" i="32" s="1"/>
  <c r="J180" i="32" s="1"/>
  <c r="G176" i="32"/>
  <c r="H176" i="32" s="1"/>
  <c r="I176" i="32" s="1"/>
  <c r="J176" i="32" s="1"/>
  <c r="N172" i="32"/>
  <c r="N160" i="32"/>
  <c r="G152" i="32"/>
  <c r="H152" i="32" s="1"/>
  <c r="I152" i="32" s="1"/>
  <c r="J152" i="32" s="1"/>
  <c r="G140" i="32"/>
  <c r="H140" i="32" s="1"/>
  <c r="I140" i="32" s="1"/>
  <c r="J140" i="32" s="1"/>
  <c r="G136" i="32"/>
  <c r="H136" i="32" s="1"/>
  <c r="I136" i="32" s="1"/>
  <c r="J136" i="32" s="1"/>
  <c r="G132" i="32"/>
  <c r="H132" i="32" s="1"/>
  <c r="I132" i="32" s="1"/>
  <c r="J132" i="32" s="1"/>
  <c r="G128" i="32"/>
  <c r="H128" i="32" s="1"/>
  <c r="I128" i="32" s="1"/>
  <c r="J128" i="32" s="1"/>
  <c r="G124" i="32"/>
  <c r="H124" i="32" s="1"/>
  <c r="I124" i="32" s="1"/>
  <c r="J124" i="32" s="1"/>
  <c r="N112" i="32"/>
  <c r="G104" i="32"/>
  <c r="H104" i="32" s="1"/>
  <c r="I104" i="32" s="1"/>
  <c r="J104" i="32" s="1"/>
  <c r="G101" i="32"/>
  <c r="H101" i="32" s="1"/>
  <c r="I101" i="32" s="1"/>
  <c r="J101" i="32" s="1"/>
  <c r="G100" i="32"/>
  <c r="H100" i="32" s="1"/>
  <c r="I100" i="32" s="1"/>
  <c r="J100" i="32" s="1"/>
  <c r="N95" i="32"/>
  <c r="N92" i="32"/>
  <c r="G90" i="32"/>
  <c r="H90" i="32" s="1"/>
  <c r="I90" i="32" s="1"/>
  <c r="J90" i="32" s="1"/>
  <c r="G84" i="32"/>
  <c r="H84" i="32" s="1"/>
  <c r="I84" i="32" s="1"/>
  <c r="J84" i="32" s="1"/>
  <c r="G80" i="32"/>
  <c r="H80" i="32" s="1"/>
  <c r="I80" i="32" s="1"/>
  <c r="J80" i="32" s="1"/>
  <c r="G76" i="32"/>
  <c r="H76" i="32" s="1"/>
  <c r="I76" i="32" s="1"/>
  <c r="J76" i="32" s="1"/>
  <c r="G75" i="32"/>
  <c r="H75" i="32" s="1"/>
  <c r="I75" i="32" s="1"/>
  <c r="J75" i="32" s="1"/>
  <c r="N74" i="32"/>
  <c r="N71" i="32"/>
  <c r="G69" i="32"/>
  <c r="H69" i="32" s="1"/>
  <c r="I69" i="32" s="1"/>
  <c r="J69" i="32" s="1"/>
  <c r="G66" i="32"/>
  <c r="H66" i="32" s="1"/>
  <c r="I66" i="32" s="1"/>
  <c r="J66" i="32" s="1"/>
  <c r="G65" i="32"/>
  <c r="H65" i="32" s="1"/>
  <c r="I65" i="32" s="1"/>
  <c r="J65" i="32" s="1"/>
  <c r="G64" i="32"/>
  <c r="H64" i="32" s="1"/>
  <c r="I64" i="32" s="1"/>
  <c r="J64" i="32" s="1"/>
  <c r="G63" i="32"/>
  <c r="H63" i="32" s="1"/>
  <c r="I63" i="32" s="1"/>
  <c r="J63" i="32" s="1"/>
  <c r="G62" i="32"/>
  <c r="H62" i="32" s="1"/>
  <c r="I62" i="32" s="1"/>
  <c r="J62" i="32" s="1"/>
  <c r="N59" i="32"/>
  <c r="N51" i="32"/>
  <c r="G49" i="32"/>
  <c r="H49" i="32" s="1"/>
  <c r="I49" i="32" s="1"/>
  <c r="J49" i="32" s="1"/>
  <c r="G48" i="32"/>
  <c r="H48" i="32" s="1"/>
  <c r="I48" i="32" s="1"/>
  <c r="J48" i="32" s="1"/>
  <c r="G47" i="32"/>
  <c r="H47" i="32" s="1"/>
  <c r="I47" i="32" s="1"/>
  <c r="J47" i="32" s="1"/>
  <c r="G46" i="32"/>
  <c r="H46" i="32" s="1"/>
  <c r="I46" i="32" s="1"/>
  <c r="J46" i="32" s="1"/>
  <c r="G45" i="32"/>
  <c r="H45" i="32" s="1"/>
  <c r="I45" i="32" s="1"/>
  <c r="J45" i="32" s="1"/>
  <c r="G44" i="32"/>
  <c r="H44" i="32" s="1"/>
  <c r="I44" i="32" s="1"/>
  <c r="J44" i="32" s="1"/>
  <c r="G43" i="32"/>
  <c r="H43" i="32" s="1"/>
  <c r="I43" i="32" s="1"/>
  <c r="J43" i="32" s="1"/>
  <c r="N42" i="32"/>
  <c r="N27" i="32"/>
  <c r="G17" i="32"/>
  <c r="H17" i="32" s="1"/>
  <c r="I17" i="32" s="1"/>
  <c r="J17" i="32" s="1"/>
  <c r="G7" i="32"/>
  <c r="H7" i="32" s="1"/>
  <c r="I7" i="32" s="1"/>
  <c r="J7" i="32" s="1"/>
  <c r="N336" i="32"/>
  <c r="N335" i="32"/>
  <c r="N334" i="32"/>
  <c r="N327" i="32"/>
  <c r="N326" i="32"/>
  <c r="N324" i="32"/>
  <c r="N323" i="32"/>
  <c r="N319" i="32"/>
  <c r="N318" i="32"/>
  <c r="N317" i="32"/>
  <c r="N316" i="32"/>
  <c r="N312" i="32"/>
  <c r="N308" i="32"/>
  <c r="N300" i="32"/>
  <c r="N296" i="32"/>
  <c r="N292" i="32"/>
  <c r="N288" i="32"/>
  <c r="N284" i="32"/>
  <c r="N280" i="32"/>
  <c r="N264" i="32"/>
  <c r="N260" i="32"/>
  <c r="N252" i="32"/>
  <c r="N248" i="32"/>
  <c r="N244" i="32"/>
  <c r="N240" i="32"/>
  <c r="N236" i="32"/>
  <c r="N232" i="32"/>
  <c r="N216" i="32"/>
  <c r="N212" i="32"/>
  <c r="N204" i="32"/>
  <c r="N200" i="32"/>
  <c r="N196" i="32"/>
  <c r="N192" i="32"/>
  <c r="N188" i="32"/>
  <c r="N184" i="32"/>
  <c r="N168" i="32"/>
  <c r="N164" i="32"/>
  <c r="N156" i="32"/>
  <c r="N152" i="32"/>
  <c r="N148" i="32"/>
  <c r="N144" i="32"/>
  <c r="N140" i="32"/>
  <c r="N136" i="32"/>
  <c r="N120" i="32"/>
  <c r="N116" i="32"/>
  <c r="N108" i="32"/>
  <c r="N104" i="32"/>
  <c r="N103" i="32"/>
  <c r="N102" i="32"/>
  <c r="N101" i="32"/>
  <c r="N94" i="32"/>
  <c r="N93" i="32"/>
  <c r="N91" i="32"/>
  <c r="N90" i="32"/>
  <c r="N89" i="32"/>
  <c r="N88" i="32"/>
  <c r="N84" i="32"/>
  <c r="N80" i="32"/>
  <c r="N73" i="32"/>
  <c r="N72" i="32"/>
  <c r="N70" i="32"/>
  <c r="N69" i="32"/>
  <c r="N68" i="32"/>
  <c r="N67" i="32"/>
  <c r="N66" i="32"/>
  <c r="N65" i="32"/>
  <c r="N61" i="32"/>
  <c r="N60" i="32"/>
  <c r="N58" i="32"/>
  <c r="N52" i="32"/>
  <c r="N50" i="32"/>
  <c r="N49" i="32"/>
  <c r="N48" i="32"/>
  <c r="N47" i="32"/>
  <c r="N46" i="32"/>
  <c r="N45" i="32"/>
  <c r="N37" i="32"/>
  <c r="N32" i="32"/>
  <c r="N22" i="32"/>
  <c r="N17" i="32"/>
  <c r="N7" i="32"/>
  <c r="N5" i="32"/>
  <c r="N337" i="32"/>
  <c r="G337" i="32"/>
  <c r="H337" i="32" s="1"/>
  <c r="I337" i="32" s="1"/>
  <c r="J337" i="32" s="1"/>
  <c r="G336" i="32"/>
  <c r="H336" i="32" s="1"/>
  <c r="I336" i="32" s="1"/>
  <c r="J336" i="32" s="1"/>
  <c r="G327" i="32"/>
  <c r="H327" i="32" s="1"/>
  <c r="I327" i="32" s="1"/>
  <c r="J327" i="32" s="1"/>
  <c r="G326" i="32"/>
  <c r="H326" i="32" s="1"/>
  <c r="I326" i="32" s="1"/>
  <c r="J326" i="32" s="1"/>
  <c r="G325" i="32"/>
  <c r="H325" i="32" s="1"/>
  <c r="I325" i="32" s="1"/>
  <c r="J325" i="32" s="1"/>
  <c r="G324" i="32"/>
  <c r="H324" i="32" s="1"/>
  <c r="I324" i="32" s="1"/>
  <c r="J324" i="32" s="1"/>
  <c r="G319" i="32"/>
  <c r="H319" i="32" s="1"/>
  <c r="I319" i="32" s="1"/>
  <c r="J319" i="32" s="1"/>
  <c r="G318" i="32"/>
  <c r="H318" i="32" s="1"/>
  <c r="I318" i="32" s="1"/>
  <c r="J318" i="32" s="1"/>
  <c r="G312" i="32"/>
  <c r="H312" i="32" s="1"/>
  <c r="I312" i="32" s="1"/>
  <c r="J312" i="32" s="1"/>
  <c r="G308" i="32"/>
  <c r="H308" i="32" s="1"/>
  <c r="I308" i="32" s="1"/>
  <c r="J308" i="32" s="1"/>
  <c r="G304" i="32"/>
  <c r="H304" i="32" s="1"/>
  <c r="I304" i="32" s="1"/>
  <c r="J304" i="32" s="1"/>
  <c r="G300" i="32"/>
  <c r="H300" i="32" s="1"/>
  <c r="I300" i="32" s="1"/>
  <c r="J300" i="32" s="1"/>
  <c r="G292" i="32"/>
  <c r="H292" i="32" s="1"/>
  <c r="I292" i="32" s="1"/>
  <c r="J292" i="32" s="1"/>
  <c r="G288" i="32"/>
  <c r="H288" i="32" s="1"/>
  <c r="I288" i="32" s="1"/>
  <c r="J288" i="32" s="1"/>
  <c r="G264" i="32"/>
  <c r="H264" i="32" s="1"/>
  <c r="I264" i="32" s="1"/>
  <c r="J264" i="32" s="1"/>
  <c r="G260" i="32"/>
  <c r="H260" i="32" s="1"/>
  <c r="I260" i="32" s="1"/>
  <c r="J260" i="32" s="1"/>
  <c r="G256" i="32"/>
  <c r="H256" i="32" s="1"/>
  <c r="I256" i="32" s="1"/>
  <c r="J256" i="32" s="1"/>
  <c r="G252" i="32"/>
  <c r="H252" i="32" s="1"/>
  <c r="I252" i="32" s="1"/>
  <c r="J252" i="32" s="1"/>
  <c r="G244" i="32"/>
  <c r="H244" i="32" s="1"/>
  <c r="I244" i="32" s="1"/>
  <c r="J244" i="32" s="1"/>
  <c r="G240" i="32"/>
  <c r="H240" i="32" s="1"/>
  <c r="I240" i="32" s="1"/>
  <c r="J240" i="32" s="1"/>
  <c r="G216" i="32"/>
  <c r="H216" i="32" s="1"/>
  <c r="I216" i="32" s="1"/>
  <c r="J216" i="32" s="1"/>
  <c r="G212" i="32"/>
  <c r="H212" i="32" s="1"/>
  <c r="I212" i="32" s="1"/>
  <c r="J212" i="32" s="1"/>
  <c r="G208" i="32"/>
  <c r="H208" i="32" s="1"/>
  <c r="I208" i="32" s="1"/>
  <c r="J208" i="32" s="1"/>
  <c r="G204" i="32"/>
  <c r="H204" i="32" s="1"/>
  <c r="I204" i="32" s="1"/>
  <c r="J204" i="32" s="1"/>
  <c r="G196" i="32"/>
  <c r="H196" i="32" s="1"/>
  <c r="I196" i="32" s="1"/>
  <c r="J196" i="32" s="1"/>
  <c r="G192" i="32"/>
  <c r="H192" i="32" s="1"/>
  <c r="I192" i="32" s="1"/>
  <c r="J192" i="32" s="1"/>
  <c r="G168" i="32"/>
  <c r="H168" i="32" s="1"/>
  <c r="I168" i="32" s="1"/>
  <c r="J168" i="32" s="1"/>
  <c r="G164" i="32"/>
  <c r="H164" i="32" s="1"/>
  <c r="I164" i="32" s="1"/>
  <c r="J164" i="32" s="1"/>
  <c r="G160" i="32"/>
  <c r="H160" i="32" s="1"/>
  <c r="I160" i="32" s="1"/>
  <c r="J160" i="32" s="1"/>
  <c r="G156" i="32"/>
  <c r="H156" i="32" s="1"/>
  <c r="I156" i="32" s="1"/>
  <c r="J156" i="32" s="1"/>
  <c r="G148" i="32"/>
  <c r="H148" i="32" s="1"/>
  <c r="I148" i="32" s="1"/>
  <c r="J148" i="32" s="1"/>
  <c r="G144" i="32"/>
  <c r="H144" i="32" s="1"/>
  <c r="I144" i="32" s="1"/>
  <c r="J144" i="32" s="1"/>
  <c r="G120" i="32"/>
  <c r="H120" i="32" s="1"/>
  <c r="I120" i="32" s="1"/>
  <c r="J120" i="32" s="1"/>
  <c r="G116" i="32"/>
  <c r="H116" i="32" s="1"/>
  <c r="I116" i="32" s="1"/>
  <c r="J116" i="32" s="1"/>
  <c r="G112" i="32"/>
  <c r="H112" i="32" s="1"/>
  <c r="I112" i="32" s="1"/>
  <c r="J112" i="32" s="1"/>
  <c r="G108" i="32"/>
  <c r="H108" i="32" s="1"/>
  <c r="I108" i="32" s="1"/>
  <c r="J108" i="32" s="1"/>
  <c r="G103" i="32"/>
  <c r="H103" i="32" s="1"/>
  <c r="I103" i="32" s="1"/>
  <c r="J103" i="32" s="1"/>
  <c r="G102" i="32"/>
  <c r="H102" i="32" s="1"/>
  <c r="I102" i="32" s="1"/>
  <c r="J102" i="32" s="1"/>
  <c r="G94" i="32"/>
  <c r="H94" i="32" s="1"/>
  <c r="I94" i="32" s="1"/>
  <c r="J94" i="32" s="1"/>
  <c r="G93" i="32"/>
  <c r="H93" i="32" s="1"/>
  <c r="I93" i="32" s="1"/>
  <c r="J93" i="32" s="1"/>
  <c r="G92" i="32"/>
  <c r="H92" i="32" s="1"/>
  <c r="I92" i="32" s="1"/>
  <c r="J92" i="32" s="1"/>
  <c r="G91" i="32"/>
  <c r="H91" i="32" s="1"/>
  <c r="I91" i="32" s="1"/>
  <c r="J91" i="32" s="1"/>
  <c r="G89" i="32"/>
  <c r="H89" i="32" s="1"/>
  <c r="I89" i="32" s="1"/>
  <c r="J89" i="32" s="1"/>
  <c r="G88" i="32"/>
  <c r="H88" i="32" s="1"/>
  <c r="I88" i="32" s="1"/>
  <c r="J88" i="32" s="1"/>
  <c r="G73" i="32"/>
  <c r="H73" i="32" s="1"/>
  <c r="I73" i="32" s="1"/>
  <c r="J73" i="32" s="1"/>
  <c r="G72" i="32"/>
  <c r="H72" i="32" s="1"/>
  <c r="I72" i="32" s="1"/>
  <c r="J72" i="32" s="1"/>
  <c r="G71" i="32"/>
  <c r="H71" i="32" s="1"/>
  <c r="I71" i="32" s="1"/>
  <c r="J71" i="32" s="1"/>
  <c r="G70" i="32"/>
  <c r="H70" i="32" s="1"/>
  <c r="I70" i="32" s="1"/>
  <c r="J70" i="32" s="1"/>
  <c r="G68" i="32"/>
  <c r="H68" i="32" s="1"/>
  <c r="I68" i="32" s="1"/>
  <c r="J68" i="32" s="1"/>
  <c r="G67" i="32"/>
  <c r="H67" i="32" s="1"/>
  <c r="I67" i="32" s="1"/>
  <c r="J67" i="32" s="1"/>
  <c r="G61" i="32"/>
  <c r="H61" i="32" s="1"/>
  <c r="I61" i="32" s="1"/>
  <c r="J61" i="32" s="1"/>
  <c r="G60" i="32"/>
  <c r="H60" i="32" s="1"/>
  <c r="I60" i="32" s="1"/>
  <c r="J60" i="32" s="1"/>
  <c r="G59" i="32"/>
  <c r="H59" i="32" s="1"/>
  <c r="I59" i="32" s="1"/>
  <c r="J59" i="32" s="1"/>
  <c r="G58" i="32"/>
  <c r="H58" i="32" s="1"/>
  <c r="I58" i="32" s="1"/>
  <c r="J58" i="32" s="1"/>
  <c r="G52" i="32"/>
  <c r="H52" i="32" s="1"/>
  <c r="I52" i="32" s="1"/>
  <c r="J52" i="32" s="1"/>
  <c r="G51" i="32"/>
  <c r="H51" i="32" s="1"/>
  <c r="I51" i="32" s="1"/>
  <c r="J51" i="32" s="1"/>
  <c r="G50" i="32"/>
  <c r="H50" i="32" s="1"/>
  <c r="I50" i="32" s="1"/>
  <c r="J50" i="32" s="1"/>
  <c r="G37" i="32"/>
  <c r="H37" i="32" s="1"/>
  <c r="I37" i="32" s="1"/>
  <c r="J37" i="32" s="1"/>
  <c r="G32" i="32"/>
  <c r="H32" i="32" s="1"/>
  <c r="I32" i="32" s="1"/>
  <c r="J32" i="32" s="1"/>
  <c r="G27" i="32"/>
  <c r="H27" i="32" s="1"/>
  <c r="I27" i="32" s="1"/>
  <c r="J27" i="32" s="1"/>
  <c r="G22" i="32"/>
  <c r="H22" i="32" s="1"/>
  <c r="I22" i="32" s="1"/>
  <c r="J22" i="32" s="1"/>
  <c r="G5" i="32"/>
  <c r="H5" i="32" s="1"/>
  <c r="I5" i="32" s="1"/>
  <c r="J5" i="32" s="1"/>
  <c r="P337" i="32"/>
  <c r="P336" i="32"/>
  <c r="P335" i="32"/>
  <c r="P334" i="32"/>
  <c r="P330" i="32"/>
  <c r="P329" i="32"/>
  <c r="P328" i="32"/>
  <c r="P327" i="32"/>
  <c r="P326" i="32"/>
  <c r="P325" i="32"/>
  <c r="P324" i="32"/>
  <c r="P323" i="32"/>
  <c r="P319" i="32"/>
  <c r="P318" i="32"/>
  <c r="P317" i="32"/>
  <c r="P316" i="32"/>
  <c r="P315" i="32"/>
  <c r="P314" i="32"/>
  <c r="P313" i="32"/>
  <c r="P312" i="32"/>
  <c r="P308" i="32"/>
  <c r="P304" i="32"/>
  <c r="P300" i="32"/>
  <c r="P296" i="32"/>
  <c r="P292" i="32"/>
  <c r="P288" i="32"/>
  <c r="P284" i="32"/>
  <c r="P280" i="32"/>
  <c r="P276" i="32"/>
  <c r="P272" i="32"/>
  <c r="P268" i="32"/>
  <c r="P264" i="32"/>
  <c r="P260" i="32"/>
  <c r="P256" i="32"/>
  <c r="P252" i="32"/>
  <c r="P248" i="32"/>
  <c r="P244" i="32"/>
  <c r="P240" i="32"/>
  <c r="P236" i="32"/>
  <c r="P232" i="32"/>
  <c r="P228" i="32"/>
  <c r="P224" i="32"/>
  <c r="P220" i="32"/>
  <c r="P216" i="32"/>
  <c r="P212" i="32"/>
  <c r="P208" i="32"/>
  <c r="P204" i="32"/>
  <c r="P200" i="32"/>
  <c r="P196" i="32"/>
  <c r="P192" i="32"/>
  <c r="P188" i="32"/>
  <c r="P184" i="32"/>
  <c r="P180" i="32"/>
  <c r="P176" i="32"/>
  <c r="P172" i="32"/>
  <c r="P168" i="32"/>
  <c r="P164" i="32"/>
  <c r="P160" i="32"/>
  <c r="P156" i="32"/>
  <c r="P152" i="32"/>
  <c r="P148" i="32"/>
  <c r="P144" i="32"/>
  <c r="P140" i="32"/>
  <c r="P136" i="32"/>
  <c r="P132" i="32"/>
  <c r="P128" i="32"/>
  <c r="P124" i="32"/>
  <c r="P120" i="32"/>
  <c r="P116" i="32"/>
  <c r="P112" i="32"/>
  <c r="P108" i="32"/>
  <c r="P104" i="32"/>
  <c r="P103" i="32"/>
  <c r="P102" i="32"/>
  <c r="P101" i="32"/>
  <c r="P100" i="32"/>
  <c r="P95" i="32"/>
  <c r="P94" i="32"/>
  <c r="P93" i="32"/>
  <c r="P92" i="32"/>
  <c r="P91" i="32"/>
  <c r="P90" i="32"/>
  <c r="P89" i="32"/>
  <c r="P88" i="32"/>
  <c r="P84" i="32"/>
  <c r="P80" i="32"/>
  <c r="P76" i="32"/>
  <c r="P75" i="32"/>
  <c r="P74" i="32"/>
  <c r="P73" i="32"/>
  <c r="P72" i="32"/>
  <c r="P71" i="32"/>
  <c r="P70" i="32"/>
  <c r="P69" i="32"/>
  <c r="P68" i="32"/>
  <c r="P67" i="32"/>
  <c r="P66" i="32"/>
  <c r="P65" i="32"/>
  <c r="P64" i="32"/>
  <c r="P63" i="32"/>
  <c r="P62" i="32"/>
  <c r="P61" i="32"/>
  <c r="P60" i="32"/>
  <c r="P59" i="32"/>
  <c r="P58" i="32"/>
  <c r="P52" i="32"/>
  <c r="P51" i="32"/>
  <c r="P50" i="32"/>
  <c r="P49" i="32"/>
  <c r="P48" i="32"/>
  <c r="P47" i="32"/>
  <c r="P46" i="32"/>
  <c r="P45" i="32"/>
  <c r="P44" i="32"/>
  <c r="P43" i="32"/>
  <c r="P42" i="32"/>
  <c r="P37" i="32"/>
  <c r="P32" i="32"/>
  <c r="P27" i="32"/>
  <c r="P22" i="32"/>
  <c r="P17" i="32"/>
  <c r="P7" i="32"/>
  <c r="P5" i="32"/>
  <c r="O337" i="32"/>
  <c r="O336" i="32"/>
  <c r="O335" i="32"/>
  <c r="O334" i="32"/>
  <c r="O330" i="32"/>
  <c r="O329" i="32"/>
  <c r="O328" i="32"/>
  <c r="O327" i="32"/>
  <c r="O326" i="32"/>
  <c r="O325" i="32"/>
  <c r="O324" i="32"/>
  <c r="O323" i="32"/>
  <c r="O319" i="32"/>
  <c r="O318" i="32"/>
  <c r="O317" i="32"/>
  <c r="O316" i="32"/>
  <c r="O315" i="32"/>
  <c r="O314" i="32"/>
  <c r="O313" i="32"/>
  <c r="O312" i="32"/>
  <c r="O308" i="32"/>
  <c r="O304" i="32"/>
  <c r="O300" i="32"/>
  <c r="O296" i="32"/>
  <c r="O292" i="32"/>
  <c r="O288" i="32"/>
  <c r="O284" i="32"/>
  <c r="O280" i="32"/>
  <c r="O276" i="32"/>
  <c r="O272" i="32"/>
  <c r="O268" i="32"/>
  <c r="O264" i="32"/>
  <c r="O260" i="32"/>
  <c r="O256" i="32"/>
  <c r="O252" i="32"/>
  <c r="O248" i="32"/>
  <c r="O244" i="32"/>
  <c r="O240" i="32"/>
  <c r="O236" i="32"/>
  <c r="O232" i="32"/>
  <c r="O228" i="32"/>
  <c r="O224" i="32"/>
  <c r="O220" i="32"/>
  <c r="O216" i="32"/>
  <c r="O212" i="32"/>
  <c r="O208" i="32"/>
  <c r="O204" i="32"/>
  <c r="O200" i="32"/>
  <c r="O196" i="32"/>
  <c r="O192" i="32"/>
  <c r="O188" i="32"/>
  <c r="O184" i="32"/>
  <c r="O180" i="32"/>
  <c r="O176" i="32"/>
  <c r="O172" i="32"/>
  <c r="O168" i="32"/>
  <c r="O164" i="32"/>
  <c r="O160" i="32"/>
  <c r="O156" i="32"/>
  <c r="O152" i="32"/>
  <c r="O148" i="32"/>
  <c r="O144" i="32"/>
  <c r="O140" i="32"/>
  <c r="O136" i="32"/>
  <c r="O132" i="32"/>
  <c r="O128" i="32"/>
  <c r="O124" i="32"/>
  <c r="O120" i="32"/>
  <c r="O116" i="32"/>
  <c r="O112" i="32"/>
  <c r="O108" i="32"/>
  <c r="O104" i="32"/>
  <c r="O103" i="32"/>
  <c r="O102" i="32"/>
  <c r="O101" i="32"/>
  <c r="O100" i="32"/>
  <c r="O95" i="32"/>
  <c r="O94" i="32"/>
  <c r="O93" i="32"/>
  <c r="O92" i="32"/>
  <c r="O91" i="32"/>
  <c r="O90" i="32"/>
  <c r="O89" i="32"/>
  <c r="O88" i="32"/>
  <c r="O84" i="32"/>
  <c r="O80" i="32"/>
  <c r="O76" i="32"/>
  <c r="O75" i="32"/>
  <c r="O74" i="32"/>
  <c r="O73" i="32"/>
  <c r="O72" i="32"/>
  <c r="O71" i="32"/>
  <c r="O70" i="32"/>
  <c r="O69" i="32"/>
  <c r="O68" i="32"/>
  <c r="O67" i="32"/>
  <c r="O66" i="32"/>
  <c r="O65" i="32"/>
  <c r="O64" i="32"/>
  <c r="O63" i="32"/>
  <c r="O62" i="32"/>
  <c r="O61" i="32"/>
  <c r="O60" i="32"/>
  <c r="O59" i="32"/>
  <c r="O58" i="32"/>
  <c r="O52" i="32"/>
  <c r="O51" i="32"/>
  <c r="O50" i="32"/>
  <c r="O49" i="32"/>
  <c r="O48" i="32"/>
  <c r="O47" i="32"/>
  <c r="O46" i="32"/>
  <c r="O45" i="32"/>
  <c r="O44" i="32"/>
  <c r="O43" i="32"/>
  <c r="O42" i="32"/>
  <c r="O37" i="32"/>
  <c r="O32" i="32"/>
  <c r="O27" i="32"/>
  <c r="O22" i="32"/>
  <c r="O17" i="32"/>
  <c r="O7" i="32"/>
  <c r="O5" i="32"/>
  <c r="E337" i="32"/>
  <c r="E336" i="32"/>
  <c r="E335" i="32"/>
  <c r="E334" i="32"/>
  <c r="E330" i="32"/>
  <c r="E329" i="32"/>
  <c r="E328" i="32"/>
  <c r="E327" i="32"/>
  <c r="E326" i="32"/>
  <c r="E325" i="32"/>
  <c r="E324" i="32"/>
  <c r="E323" i="32"/>
  <c r="E319" i="32"/>
  <c r="E318" i="32"/>
  <c r="E317" i="32"/>
  <c r="E316" i="32"/>
  <c r="E315" i="32"/>
  <c r="E314" i="32"/>
  <c r="E313" i="32"/>
  <c r="E312" i="32"/>
  <c r="E308" i="32"/>
  <c r="E304" i="32"/>
  <c r="E300" i="32"/>
  <c r="E296" i="32"/>
  <c r="E292" i="32"/>
  <c r="E288" i="32"/>
  <c r="E284" i="32"/>
  <c r="E280" i="32"/>
  <c r="E276" i="32"/>
  <c r="E272" i="32"/>
  <c r="E268" i="32"/>
  <c r="E264" i="32"/>
  <c r="E260" i="32"/>
  <c r="E256" i="32"/>
  <c r="E252" i="32"/>
  <c r="E248" i="32"/>
  <c r="E244" i="32"/>
  <c r="E240" i="32"/>
  <c r="E236" i="32"/>
  <c r="E232" i="32"/>
  <c r="E228" i="32"/>
  <c r="E224" i="32"/>
  <c r="E220" i="32"/>
  <c r="E216" i="32"/>
  <c r="E212" i="32"/>
  <c r="E208" i="32"/>
  <c r="E204" i="32"/>
  <c r="E200" i="32"/>
  <c r="E196" i="32"/>
  <c r="E192" i="32"/>
  <c r="E188" i="32"/>
  <c r="E184" i="32"/>
  <c r="E180" i="32"/>
  <c r="E176" i="32"/>
  <c r="E172" i="32"/>
  <c r="E168" i="32"/>
  <c r="E164" i="32"/>
  <c r="E160" i="32"/>
  <c r="E156" i="32"/>
  <c r="E152" i="32"/>
  <c r="E148" i="32"/>
  <c r="E144" i="32"/>
  <c r="E140" i="32"/>
  <c r="E136" i="32"/>
  <c r="E132" i="32"/>
  <c r="E128" i="32"/>
  <c r="E124" i="32"/>
  <c r="E120" i="32"/>
  <c r="E116" i="32"/>
  <c r="E112" i="32"/>
  <c r="E108" i="32"/>
  <c r="E104" i="32"/>
  <c r="E103" i="32"/>
  <c r="E102" i="32"/>
  <c r="E101" i="32"/>
  <c r="E100" i="32"/>
  <c r="E95" i="32"/>
  <c r="E94" i="32"/>
  <c r="E93" i="32"/>
  <c r="E92" i="32"/>
  <c r="E91" i="32"/>
  <c r="E90" i="32"/>
  <c r="E89" i="32"/>
  <c r="E88" i="32"/>
  <c r="E84" i="32"/>
  <c r="E80" i="32"/>
  <c r="E76" i="32"/>
  <c r="E75" i="32"/>
  <c r="E74" i="32"/>
  <c r="E73" i="32"/>
  <c r="E72" i="32"/>
  <c r="E71" i="32"/>
  <c r="E70" i="32"/>
  <c r="E69" i="32"/>
  <c r="E68" i="32"/>
  <c r="E67" i="32"/>
  <c r="E66" i="32"/>
  <c r="E65" i="32"/>
  <c r="E64" i="32"/>
  <c r="E63" i="32"/>
  <c r="E62" i="32"/>
  <c r="E61" i="32"/>
  <c r="E60" i="32"/>
  <c r="E59" i="32"/>
  <c r="E58" i="32"/>
  <c r="E52" i="32"/>
  <c r="E51" i="32"/>
  <c r="E50" i="32"/>
  <c r="E49" i="32"/>
  <c r="E48" i="32"/>
  <c r="E47" i="32"/>
  <c r="E46" i="32"/>
  <c r="E45" i="32"/>
  <c r="E44" i="32"/>
  <c r="E43" i="32"/>
  <c r="E42" i="32"/>
  <c r="E37" i="32"/>
  <c r="E32" i="32"/>
  <c r="E27" i="32"/>
  <c r="E22" i="32"/>
  <c r="E17" i="32"/>
  <c r="E7" i="32"/>
  <c r="E5" i="32"/>
  <c r="G42" i="32" l="1"/>
  <c r="H42" i="32" s="1"/>
  <c r="I42" i="32" s="1"/>
  <c r="J42" i="32" s="1"/>
  <c r="G74" i="32"/>
  <c r="H74" i="32" s="1"/>
  <c r="I74" i="32" s="1"/>
  <c r="J74" i="32" s="1"/>
  <c r="G172" i="32"/>
  <c r="H172" i="32" s="1"/>
  <c r="I172" i="32" s="1"/>
  <c r="J172" i="32" s="1"/>
  <c r="N124" i="32"/>
  <c r="N220" i="32"/>
  <c r="N313" i="32"/>
  <c r="N328" i="32"/>
  <c r="N43" i="32"/>
  <c r="N63" i="32"/>
  <c r="N75" i="32"/>
  <c r="N128" i="32"/>
  <c r="N176" i="32"/>
  <c r="N224" i="32"/>
  <c r="N272" i="32"/>
  <c r="N314" i="32"/>
  <c r="N329" i="32"/>
  <c r="G95" i="32"/>
  <c r="H95" i="32" s="1"/>
  <c r="I95" i="32" s="1"/>
  <c r="J95" i="32" s="1"/>
  <c r="N62" i="32"/>
  <c r="N268" i="32"/>
  <c r="N44" i="32"/>
  <c r="N64" i="32"/>
  <c r="N76" i="32"/>
  <c r="N100" i="32"/>
  <c r="N132" i="32"/>
  <c r="N180" i="32"/>
  <c r="N228" i="32"/>
  <c r="N276" i="32"/>
  <c r="N315" i="32"/>
  <c r="N330" i="32"/>
  <c r="CT111" i="20" l="1"/>
  <c r="CR111" i="20"/>
  <c r="CP111" i="20"/>
  <c r="CN111" i="20"/>
  <c r="BP53" i="30" l="1"/>
  <c r="BQ53" i="30" s="1"/>
  <c r="BR53" i="30" s="1"/>
  <c r="BS53" i="30" s="1"/>
  <c r="BT53" i="30" s="1"/>
  <c r="BU53" i="30" s="1"/>
  <c r="BV53" i="30" s="1"/>
  <c r="BW53" i="30" s="1"/>
  <c r="BX53" i="30" s="1"/>
  <c r="BY53" i="30" s="1"/>
  <c r="BZ53" i="30" s="1"/>
  <c r="CA53" i="30" s="1"/>
  <c r="CB53" i="30" s="1"/>
  <c r="CC53" i="30" s="1"/>
  <c r="CD53" i="30" s="1"/>
  <c r="CE53" i="30" s="1"/>
  <c r="CF53" i="30" s="1"/>
  <c r="CG53" i="30" s="1"/>
  <c r="CH53" i="30" s="1"/>
  <c r="B7" i="30"/>
  <c r="B3" i="24"/>
  <c r="B3" i="21"/>
  <c r="B3" i="23"/>
  <c r="B48" i="20"/>
  <c r="B3" i="22"/>
  <c r="B41" i="21"/>
  <c r="B3" i="16"/>
  <c r="B184" i="20"/>
  <c r="B132" i="20"/>
  <c r="B162" i="17"/>
  <c r="B3" i="17"/>
  <c r="B149" i="17"/>
  <c r="B179" i="20"/>
  <c r="B116" i="17"/>
  <c r="B57" i="16"/>
  <c r="B154" i="20"/>
  <c r="B3" i="27"/>
  <c r="B135" i="17"/>
  <c r="B3" i="18"/>
  <c r="B47" i="16"/>
  <c r="B195" i="20"/>
  <c r="B104" i="17"/>
  <c r="B3" i="28"/>
  <c r="B3" i="15"/>
  <c r="B3" i="30"/>
  <c r="B113" i="20"/>
  <c r="B67" i="20"/>
  <c r="B68" i="17"/>
  <c r="B74" i="17"/>
  <c r="B3" i="19"/>
  <c r="B3" i="25"/>
  <c r="B143" i="20"/>
  <c r="B86" i="17"/>
  <c r="B3" i="14"/>
  <c r="B122" i="17"/>
  <c r="B156" i="17"/>
  <c r="B42" i="20"/>
  <c r="B141" i="17"/>
  <c r="B80" i="17"/>
  <c r="B214" i="20"/>
  <c r="B98" i="17"/>
  <c r="B178" i="17"/>
  <c r="B138" i="20"/>
  <c r="B92" i="17"/>
  <c r="B3" i="26"/>
  <c r="B50" i="21"/>
  <c r="B62" i="17"/>
  <c r="B173" i="20"/>
  <c r="B219" i="20"/>
  <c r="B77" i="22"/>
  <c r="B66" i="22"/>
  <c r="B3" i="20"/>
  <c r="B110" i="17"/>
  <c r="B149" i="20"/>
  <c r="B128" i="17"/>
  <c r="B190" i="20"/>
  <c r="I65" i="20" l="1"/>
  <c r="D65" i="20"/>
  <c r="C65" i="20"/>
  <c r="J65" i="20"/>
  <c r="E65" i="20"/>
  <c r="G65" i="20"/>
  <c r="H65" i="20"/>
  <c r="K65" i="20"/>
  <c r="T111" i="20" l="1"/>
  <c r="R111" i="20"/>
  <c r="P111" i="20"/>
  <c r="N111" i="20"/>
  <c r="L111" i="20"/>
  <c r="H111" i="20"/>
  <c r="F111" i="20"/>
  <c r="D111" i="20"/>
  <c r="F65" i="20" l="1"/>
  <c r="AQ65" i="20"/>
  <c r="W65" i="20"/>
  <c r="AR65" i="20"/>
  <c r="AN65" i="20"/>
  <c r="AI65" i="20"/>
  <c r="P65" i="20"/>
  <c r="AO65" i="20"/>
  <c r="V65" i="20"/>
  <c r="AD65" i="20"/>
  <c r="O65" i="20"/>
  <c r="AS65" i="20"/>
  <c r="AG65" i="20"/>
  <c r="N65" i="20"/>
  <c r="U65" i="20"/>
  <c r="S65" i="20"/>
  <c r="BG65" i="20"/>
  <c r="Y65" i="20"/>
  <c r="AJ65" i="20"/>
  <c r="AF65" i="20"/>
  <c r="AP65" i="20"/>
  <c r="AA65" i="20"/>
  <c r="Z65" i="20"/>
  <c r="T65" i="20"/>
  <c r="BH65" i="20"/>
  <c r="AT65" i="20"/>
  <c r="BI65" i="20"/>
  <c r="L65" i="20"/>
  <c r="AB65" i="20"/>
  <c r="Q65" i="20"/>
  <c r="AE65" i="20"/>
  <c r="BE65" i="20"/>
  <c r="AM65" i="20"/>
  <c r="BF65" i="20"/>
  <c r="AK65" i="20"/>
  <c r="M65" i="20"/>
  <c r="AC65" i="20"/>
  <c r="AH65" i="20"/>
  <c r="AL65" i="20"/>
  <c r="X65" i="20"/>
  <c r="BJ65" i="20"/>
  <c r="R65" i="20"/>
  <c r="DP111" i="20" l="1"/>
  <c r="DR111" i="20"/>
  <c r="DN111" i="20"/>
  <c r="DJ111" i="20"/>
  <c r="DL111" i="20"/>
  <c r="DH111" i="20"/>
  <c r="CJ111" i="20"/>
  <c r="CH111" i="20"/>
  <c r="CF111" i="20"/>
  <c r="CL111" i="20"/>
  <c r="BF111" i="20"/>
  <c r="BV111" i="20"/>
  <c r="AV111" i="20"/>
  <c r="BD111" i="20"/>
  <c r="BJ111" i="20"/>
  <c r="CB111" i="20"/>
  <c r="BL111" i="20"/>
  <c r="AT111" i="20"/>
  <c r="AZ111" i="20"/>
  <c r="BR111" i="20"/>
  <c r="BB111" i="20"/>
  <c r="BT111" i="20"/>
  <c r="AR111" i="20"/>
  <c r="CD111" i="20"/>
  <c r="BZ111" i="20"/>
  <c r="BN111" i="20"/>
  <c r="AX111" i="20"/>
  <c r="BP111" i="20"/>
  <c r="BX111" i="20"/>
  <c r="BH111" i="20"/>
  <c r="AP111" i="20"/>
  <c r="AN111" i="20"/>
  <c r="AL111" i="20"/>
  <c r="AJ111" i="20"/>
  <c r="AH111" i="20"/>
  <c r="AD111" i="20"/>
  <c r="AF111" i="20"/>
  <c r="AB111" i="20"/>
  <c r="Z111" i="20"/>
  <c r="X111" i="20"/>
  <c r="V111" i="20"/>
  <c r="J111" i="20"/>
</calcChain>
</file>

<file path=xl/sharedStrings.xml><?xml version="1.0" encoding="utf-8"?>
<sst xmlns="http://schemas.openxmlformats.org/spreadsheetml/2006/main" count="6394" uniqueCount="1117">
  <si>
    <t>VarID</t>
  </si>
  <si>
    <t>#</t>
  </si>
  <si>
    <t>Date</t>
  </si>
  <si>
    <t>Name</t>
  </si>
  <si>
    <t>Comments</t>
  </si>
  <si>
    <t>No</t>
  </si>
  <si>
    <t>NONE</t>
  </si>
  <si>
    <t>Table of Contents</t>
  </si>
  <si>
    <t>Default</t>
  </si>
  <si>
    <t>Go to TOC</t>
  </si>
  <si>
    <t>assump_set_id</t>
  </si>
  <si>
    <t>mkt_val_calc_freq</t>
  </si>
  <si>
    <t>mkt_val_calc_freq_yrs</t>
  </si>
  <si>
    <t>mkt_val_calc_freq_sale</t>
  </si>
  <si>
    <t>mkt_val_calc_freq_sec_net_yld</t>
  </si>
  <si>
    <t>asset_mkt_sprd_use_defn</t>
  </si>
  <si>
    <t>proxy_bond_defn</t>
  </si>
  <si>
    <t>asset_detail_rpt_pv_defn</t>
  </si>
  <si>
    <t>asset_detail_rpt_inv_strat_defn</t>
  </si>
  <si>
    <t>asset_detail_rpt_sum_asset_defn</t>
  </si>
  <si>
    <t>asset_detail_rpt_cusip_id</t>
  </si>
  <si>
    <t>asset_detail_rpt_start_period</t>
  </si>
  <si>
    <t>asset_detail_rpt_final_period</t>
  </si>
  <si>
    <t>adco_history_directory</t>
  </si>
  <si>
    <t>adco_historical_loan_size_effect_defn</t>
  </si>
  <si>
    <t>adco_asset_detail_rpt_defn</t>
  </si>
  <si>
    <t>adco_asset_detail_rpt_cusip_id</t>
  </si>
  <si>
    <t>adco_asset_detail_rpt_start_period</t>
  </si>
  <si>
    <t>adco_asset_detail_rpt_final_period</t>
  </si>
  <si>
    <t>intex_defn</t>
  </si>
  <si>
    <t>intex_cmo_dll</t>
  </si>
  <si>
    <t>intex_cusip_deal_translation_path</t>
  </si>
  <si>
    <t>intex_asset_detail_rpt_defn</t>
  </si>
  <si>
    <t>intex_asset_detail_rpt_asset_id</t>
  </si>
  <si>
    <t>intex_asset_detail_rpt_start_period</t>
  </si>
  <si>
    <t>intex_asset_detail_rpt_final_period</t>
  </si>
  <si>
    <t>Effective Duration</t>
  </si>
  <si>
    <t>At Asset Frequency</t>
  </si>
  <si>
    <t>Hold Level</t>
  </si>
  <si>
    <t>Not Applicable</t>
  </si>
  <si>
    <t>&lt;*global*&gt;adco\ppmodel\</t>
  </si>
  <si>
    <t>Yes</t>
  </si>
  <si>
    <t>&lt;*global*&gt;cmosub32.dll</t>
  </si>
  <si>
    <t>&lt;*global*&gt;intex\cmo_cdu\</t>
  </si>
  <si>
    <t>Investment input page – Asset Run Control</t>
  </si>
  <si>
    <t>Beginning and End of Projection</t>
  </si>
  <si>
    <t>Bond</t>
  </si>
  <si>
    <t>Equity</t>
  </si>
  <si>
    <t>Investment</t>
  </si>
  <si>
    <t>ALL</t>
  </si>
  <si>
    <t>Both</t>
  </si>
  <si>
    <t>Available for Sale</t>
  </si>
  <si>
    <t>Govt</t>
  </si>
  <si>
    <t>purch_bond_category_id</t>
  </si>
  <si>
    <t>purch_bond_port_defn</t>
  </si>
  <si>
    <t>purch_bond_sale_class</t>
  </si>
  <si>
    <t>purch_bond_yrs_to_maturity</t>
  </si>
  <si>
    <t>purch_bond_rate_defn</t>
  </si>
  <si>
    <t>purch_bond_pmt_mode</t>
  </si>
  <si>
    <t>purch_bond_rate_diff</t>
  </si>
  <si>
    <t>purch_bond_adj_scen_yr</t>
  </si>
  <si>
    <t>purch_bond_adj_scen_mult</t>
  </si>
  <si>
    <t>purch_bond_adj_addn_renewal</t>
  </si>
  <si>
    <t>purch_bond_adj_reset_mths</t>
  </si>
  <si>
    <t>purch_bond_adj_max_above_init</t>
  </si>
  <si>
    <t>purch_bond_adj_max_below_init</t>
  </si>
  <si>
    <t>purch_bond_adj_max_reset_incr</t>
  </si>
  <si>
    <t>purch_bond_adj_max_reset_decr</t>
  </si>
  <si>
    <t>purch_bond_call_price_defn</t>
  </si>
  <si>
    <t>purch_bond_call_protect_yrs</t>
  </si>
  <si>
    <t>purch_bond_call_defn</t>
  </si>
  <si>
    <t>purch_bond_yld_maint_addn</t>
  </si>
  <si>
    <t>purch_bond_call_prem_mult</t>
  </si>
  <si>
    <t>purch_bond_call_prem_addn</t>
  </si>
  <si>
    <t>purch_bond_first_par_call_yr</t>
  </si>
  <si>
    <t>purch_bond_put_price_defn</t>
  </si>
  <si>
    <t>purch_bond_put_protect_yrs</t>
  </si>
  <si>
    <t>purch_bond_put_defn</t>
  </si>
  <si>
    <t>purch_bond_put_prem_mult</t>
  </si>
  <si>
    <t>purch_bond_put_prem_addn</t>
  </si>
  <si>
    <t>purch_bond_first_par_put_yr</t>
  </si>
  <si>
    <t>purch_bond_sinking_fund_defn</t>
  </si>
  <si>
    <t>purch_bond_avr_contribn_pct</t>
  </si>
  <si>
    <t>purch_bond_avr_max_pct</t>
  </si>
  <si>
    <t>purch_bond_avr_obj_pct</t>
  </si>
  <si>
    <t>purch_bond_rbc_c1_pct</t>
  </si>
  <si>
    <t>Refinancing Rate</t>
  </si>
  <si>
    <t>Semi-Annual</t>
  </si>
  <si>
    <t>Price Schedule</t>
  </si>
  <si>
    <t>purch_asset_id</t>
  </si>
  <si>
    <t>CallPct</t>
  </si>
  <si>
    <t>mths_since_issue</t>
  </si>
  <si>
    <t>purch_mtg_category_id</t>
  </si>
  <si>
    <t>purch_mtg_port_defn</t>
  </si>
  <si>
    <t>purch_mtg_sale_class</t>
  </si>
  <si>
    <t>purch_mtg_yrs_to_maturity</t>
  </si>
  <si>
    <t>purch_mtg_amortzn_yrs</t>
  </si>
  <si>
    <t>purch_mtg_rate_defn</t>
  </si>
  <si>
    <t>purch_mtg_pmt_mode</t>
  </si>
  <si>
    <t>purch_mtg_servicing_fee</t>
  </si>
  <si>
    <t>purch_mtg_rate_diff</t>
  </si>
  <si>
    <t>purch_mtg_adj_scen_yr</t>
  </si>
  <si>
    <t>purch_mtg_adj_scen_mult</t>
  </si>
  <si>
    <t>purch_mtg_adj_addn_init</t>
  </si>
  <si>
    <t>purch_mtg_adj_addn_renewal</t>
  </si>
  <si>
    <t>purch_mtg_adj_reset_mths</t>
  </si>
  <si>
    <t>purch_mtg_adj_max_above_init</t>
  </si>
  <si>
    <t>purch_mtg_adj_max_below_init</t>
  </si>
  <si>
    <t>purch_mtg_adj_max_reset_incr</t>
  </si>
  <si>
    <t>purch_mtg_adj_max_reset_decr</t>
  </si>
  <si>
    <t>purch_mtg_prepmt_penalty_defn</t>
  </si>
  <si>
    <t>purch_mtg_prepmt_protect_yrs</t>
  </si>
  <si>
    <t>purch_mtg_yld_maint_addn</t>
  </si>
  <si>
    <t>purch_mtg_prepmt_penalty_mult</t>
  </si>
  <si>
    <t>purch_mtg_prepmt_penalty_addn</t>
  </si>
  <si>
    <t>purch_mtg_first_par_prepmt_yr</t>
  </si>
  <si>
    <t>purch_mtg_yrs_to_balloon</t>
  </si>
  <si>
    <t>purch_mtg_avr_contribn_pct</t>
  </si>
  <si>
    <t>purch_mtg_avr_max_pct</t>
  </si>
  <si>
    <t>purch_mtg_avr_obj_pct</t>
  </si>
  <si>
    <t>purch_mtg_rbc_c1_pct</t>
  </si>
  <si>
    <t>Monthly</t>
  </si>
  <si>
    <t>Quarterly</t>
  </si>
  <si>
    <t>purch_sec_category_id</t>
  </si>
  <si>
    <t>purch_sec_sale_class</t>
  </si>
  <si>
    <t>purch_sec_tranche_owned</t>
  </si>
  <si>
    <t>purch_sec_io_po_defn</t>
  </si>
  <si>
    <t>purch_sec_tranche_rate_defn</t>
  </si>
  <si>
    <t>purch_sec_tranche_rate_scen_yr</t>
  </si>
  <si>
    <t>purch_sec_tranche_rate_scen_mult</t>
  </si>
  <si>
    <t>purch_sec_tranche_rate_addn</t>
  </si>
  <si>
    <t>purch_sec_tranche_rate_max_decr_from_init</t>
  </si>
  <si>
    <t>purch_sec_tranche_rate_max_incr_from_init</t>
  </si>
  <si>
    <t>purch_sec_tranche_a_pct</t>
  </si>
  <si>
    <t>purch_sec_tranche_b_pct</t>
  </si>
  <si>
    <t>purch_sec_tranche_c_pct</t>
  </si>
  <si>
    <t>purch_sec_tranche_z_pct</t>
  </si>
  <si>
    <t>purch_sec_tranche_z_defn</t>
  </si>
  <si>
    <t>purch_sec_tranche_z_jump_speed</t>
  </si>
  <si>
    <t>purch_sec_tranche_z_prepmt_priority_bef_jump</t>
  </si>
  <si>
    <t>purch_sec_tranche_z_addn</t>
  </si>
  <si>
    <t>purch_sec_pac1z_accrual_addn</t>
  </si>
  <si>
    <t>purch_sec_pac2_accrual_defn</t>
  </si>
  <si>
    <t>purch_sec_pac2_z_accrual_addn</t>
  </si>
  <si>
    <t>purch_sec_pac3_z_accrual_addn</t>
  </si>
  <si>
    <t>purch_sec_avr_contribn_pct</t>
  </si>
  <si>
    <t>purch_sec_avr_max_pct</t>
  </si>
  <si>
    <t>purch_sec_avr_obj_pct</t>
  </si>
  <si>
    <t>purch_sec_rbc_c1_pct</t>
  </si>
  <si>
    <t>DEFAULT</t>
  </si>
  <si>
    <t>Tranche B</t>
  </si>
  <si>
    <t>Fixed Rate</t>
  </si>
  <si>
    <t>Accrual Only</t>
  </si>
  <si>
    <t>Before PAC2</t>
  </si>
  <si>
    <t>Non Accrual</t>
  </si>
  <si>
    <t>purch_ird_category_id</t>
  </si>
  <si>
    <t>purch_ird_port_defn</t>
  </si>
  <si>
    <t>purch_ird_sale_class</t>
  </si>
  <si>
    <t>purch_ird_pmt_defn</t>
  </si>
  <si>
    <t>purch_ird_rate_1_pmt_mode</t>
  </si>
  <si>
    <t>purch_ird_rate_2_pmt_mode</t>
  </si>
  <si>
    <t>purch_ird_mths_to_first_reset</t>
  </si>
  <si>
    <t>purch_ird_yrs_to_maturity</t>
  </si>
  <si>
    <t>purch_ird_rate_1_defn</t>
  </si>
  <si>
    <t>purch_ird_rate_1_scen_yr</t>
  </si>
  <si>
    <t>purch_ird_rate_1_scen_mult</t>
  </si>
  <si>
    <t>purch_ird_rate_1_addn</t>
  </si>
  <si>
    <t>purch_ird_rate_2_defn</t>
  </si>
  <si>
    <t>purch_ird_rate_2_scen_yr</t>
  </si>
  <si>
    <t>purch_ird_rate_2_scen_mult</t>
  </si>
  <si>
    <t>purch_ird_rate_2_addn</t>
  </si>
  <si>
    <t>purch_ird_avr_contribn_pct</t>
  </si>
  <si>
    <t>purch_ird_avr_max_pct</t>
  </si>
  <si>
    <t>purch_ird_avr_obj_pct</t>
  </si>
  <si>
    <t>purch_ird_rbc_c1_pct</t>
  </si>
  <si>
    <t>Always</t>
  </si>
  <si>
    <t>purch_re_asset_index</t>
  </si>
  <si>
    <t>purch_re_category_id</t>
  </si>
  <si>
    <t>purch_re_sale_class</t>
  </si>
  <si>
    <t>purch_re_mkt_growth_scen_mult</t>
  </si>
  <si>
    <t>purch_re_mkt_growth_addn</t>
  </si>
  <si>
    <t>purch_re_depreciation_yrs</t>
  </si>
  <si>
    <t>purch_re_pmt_mode</t>
  </si>
  <si>
    <t>purch_re_rent_rate_scen_mult</t>
  </si>
  <si>
    <t>purch_re_rent_rate_scen_addn</t>
  </si>
  <si>
    <t>purch_re_rental_growth</t>
  </si>
  <si>
    <t>purch_re_avr_contribn_pct</t>
  </si>
  <si>
    <t>purch_re_avr_max_pct</t>
  </si>
  <si>
    <t>purch_re_avr_obj_pct</t>
  </si>
  <si>
    <t>purch_re_rbc_c1_pct</t>
  </si>
  <si>
    <t>RE</t>
  </si>
  <si>
    <t>purch_eqt_asset_index</t>
  </si>
  <si>
    <t>purch_eqt_category_id</t>
  </si>
  <si>
    <t>purch_eqt_sale_class</t>
  </si>
  <si>
    <t>purch_eqt_pmt_mode</t>
  </si>
  <si>
    <t>purch_eqt_div_yld_scen_mult</t>
  </si>
  <si>
    <t>purch_eqt_div_yld_addn</t>
  </si>
  <si>
    <t>purch_eqt_mkt_growth_scen_mult</t>
  </si>
  <si>
    <t>purch_eqt_mkt_growth_addn</t>
  </si>
  <si>
    <t>purch_eqt_avr_contribn_pct</t>
  </si>
  <si>
    <t>purch_eqt_avr_max_pct</t>
  </si>
  <si>
    <t>purch_eqt_avr_obj_pct</t>
  </si>
  <si>
    <t>purch_eqt_rbc_c1_pct</t>
  </si>
  <si>
    <t>purch_eio_asset_index</t>
  </si>
  <si>
    <t>purch_eio_category_id</t>
  </si>
  <si>
    <t>purch_eio_port_defn</t>
  </si>
  <si>
    <t>purch_eio_sale_class</t>
  </si>
  <si>
    <t>purch_eio_opt_defn</t>
  </si>
  <si>
    <t>purch_eio_opt_strike_price</t>
  </si>
  <si>
    <t>purch_eio_payout_index_max</t>
  </si>
  <si>
    <t>purch_eio_yrs_to_maturity</t>
  </si>
  <si>
    <t>purch_eio_index_scen_mult</t>
  </si>
  <si>
    <t>purch_eio_index_scen_addn</t>
  </si>
  <si>
    <t>purch_eio_lookback_defn</t>
  </si>
  <si>
    <t>purch_eio_lookback_sampling_interval</t>
  </si>
  <si>
    <t>purch_eio_lookback_yrs</t>
  </si>
  <si>
    <t>purch_eio_div_yld_scen_mult</t>
  </si>
  <si>
    <t>purch_eio_div_yld_addn</t>
  </si>
  <si>
    <t>purch_eio_avr_contribn_pct</t>
  </si>
  <si>
    <t>purch_eio_avr_max_pct</t>
  </si>
  <si>
    <t>purch_eio_avr_obj_pct</t>
  </si>
  <si>
    <t>purch_eio_rbc_c1_pct</t>
  </si>
  <si>
    <t>US</t>
  </si>
  <si>
    <t>Call</t>
  </si>
  <si>
    <t>None</t>
  </si>
  <si>
    <t>Annual</t>
  </si>
  <si>
    <t>Investment input page – Purchase Assets Definitions</t>
  </si>
  <si>
    <t>Investment input page – Decrements</t>
  </si>
  <si>
    <t>refinancing_cost_pct</t>
  </si>
  <si>
    <t>bond_refinancing_rate_defn</t>
  </si>
  <si>
    <t>mtg_refinancing_rate_defn</t>
  </si>
  <si>
    <t>refinancing_rate_scen_yr</t>
  </si>
  <si>
    <t>refinancing_rate_scen_mult</t>
  </si>
  <si>
    <t>refinancing_rate_scen_addn</t>
  </si>
  <si>
    <t>opt_int_diff_defn</t>
  </si>
  <si>
    <t>Category Yield to WAL + Option Spread</t>
  </si>
  <si>
    <t>Coupon Rate</t>
  </si>
  <si>
    <t>CallExercisePct</t>
  </si>
  <si>
    <t>PutExercisePct</t>
  </si>
  <si>
    <t>date</t>
  </si>
  <si>
    <t>dflt_rate_scen_mult</t>
  </si>
  <si>
    <t>dflt_rate_bef_maturity_defn</t>
  </si>
  <si>
    <t>Maturity Date</t>
  </si>
  <si>
    <t>refinance_rate_scen_mult</t>
  </si>
  <si>
    <t>restructure_rate_scen_mult</t>
  </si>
  <si>
    <t>restructure_write_down_pct</t>
  </si>
  <si>
    <t>foreclosure_rate_scen_mult</t>
  </si>
  <si>
    <t>foreclosure_write_down_pct</t>
  </si>
  <si>
    <t>prepmt_model_defn</t>
  </si>
  <si>
    <t>USLMS</t>
  </si>
  <si>
    <t>prepmt_defn</t>
  </si>
  <si>
    <t>Absolute Percentage</t>
  </si>
  <si>
    <t>prepmt_int_diff_defn</t>
  </si>
  <si>
    <t>Gross Interest Rate</t>
  </si>
  <si>
    <t>prepmt_nonfinancial_pct</t>
  </si>
  <si>
    <t>prepmt_seasoning_since_issue_mult</t>
  </si>
  <si>
    <t>Amortized Cost</t>
  </si>
  <si>
    <t>Straight-Line Amortization</t>
  </si>
  <si>
    <t>Straight-Line Depreciation</t>
  </si>
  <si>
    <t>Market Value</t>
  </si>
  <si>
    <t>To Maturity</t>
  </si>
  <si>
    <t>Cost Basis</t>
  </si>
  <si>
    <t>refinance_inv_id</t>
  </si>
  <si>
    <t>restructure_inv_id</t>
  </si>
  <si>
    <t>foreclosure_inv_id</t>
  </si>
  <si>
    <t>restructure_int_pmt_mult</t>
  </si>
  <si>
    <t>restructure_prin_pmt_mult</t>
  </si>
  <si>
    <t>foreclosure_int_pmt_mult</t>
  </si>
  <si>
    <t>foreclosure_prin_pmt_mult</t>
  </si>
  <si>
    <t>inv_amt_min</t>
  </si>
  <si>
    <t>yrs_to_inv_mthly</t>
  </si>
  <si>
    <t>yrs_to_inv_qtrly</t>
  </si>
  <si>
    <t>inv_strat_economic_tests</t>
  </si>
  <si>
    <t>purch_bond_assets_selected</t>
  </si>
  <si>
    <t>purch_mtg_assets_selected</t>
  </si>
  <si>
    <t>purch_sec_assets_selected</t>
  </si>
  <si>
    <t>purch_ird_assets_selected</t>
  </si>
  <si>
    <t>purch_re_assets_selected</t>
  </si>
  <si>
    <t>purch_eqt_assets_selected</t>
  </si>
  <si>
    <t>purch_eio_assets_selected</t>
  </si>
  <si>
    <t>seg_id</t>
  </si>
  <si>
    <t>Investment input page – Strategy</t>
  </si>
  <si>
    <t>inv_strat_id</t>
  </si>
  <si>
    <t>inv_strat_cash_tgt_pct</t>
  </si>
  <si>
    <t>inv_strat_distribn_defn</t>
  </si>
  <si>
    <t>Cash</t>
  </si>
  <si>
    <t>inv_strat_planned</t>
  </si>
  <si>
    <t>inv_strat_planned_shorter</t>
  </si>
  <si>
    <t>inv_strat_planned_shortest</t>
  </si>
  <si>
    <t>inv_strat_planned_longer</t>
  </si>
  <si>
    <t>inv_strat_planned_longest</t>
  </si>
  <si>
    <t>inv_strat_economic_test_num</t>
  </si>
  <si>
    <t>inv_strat_economic_test_defn</t>
  </si>
  <si>
    <t>inv_strat_economic_mths</t>
  </si>
  <si>
    <t>inv_strat_economic_test_calc_defn</t>
  </si>
  <si>
    <t>inv_strat_economic_rate_1_term</t>
  </si>
  <si>
    <t>inv_strat_economic_rate_2_term</t>
  </si>
  <si>
    <t>inv_strat_economic_lag_mths</t>
  </si>
  <si>
    <t>inv_strat_economic_compare_defn</t>
  </si>
  <si>
    <t>inv_strat_economic_planned</t>
  </si>
  <si>
    <t>inv_strat_economic_shorter</t>
  </si>
  <si>
    <t>inv_strat_economic_shortest</t>
  </si>
  <si>
    <t>inv_strat_economic_longer</t>
  </si>
  <si>
    <t>inv_strat_economic_longest</t>
  </si>
  <si>
    <t>Average Rate</t>
  </si>
  <si>
    <t>Subtraction</t>
  </si>
  <si>
    <t>Greater Than</t>
  </si>
  <si>
    <t>rebal_freq</t>
  </si>
  <si>
    <t>rebal_sale_selection_defn</t>
  </si>
  <si>
    <t>Pro Rata</t>
  </si>
  <si>
    <t>rebal_dur_match_defn</t>
  </si>
  <si>
    <t>Borrow</t>
  </si>
  <si>
    <t>Reduce Cash Balance To Threshold</t>
  </si>
  <si>
    <t>inv_strat_economic_fixed_test_val</t>
  </si>
  <si>
    <t>inv_strat_economic_dur_match_tgt_incr</t>
  </si>
  <si>
    <t>inv_strat_economic_dur_match_tolerance_incr</t>
  </si>
  <si>
    <t>dur_match_tgt</t>
  </si>
  <si>
    <t>category_id</t>
  </si>
  <si>
    <t>Asset Run Control</t>
  </si>
  <si>
    <t>Decrements</t>
  </si>
  <si>
    <t>Refinance Foreclosure Restructure</t>
  </si>
  <si>
    <t>Strategy</t>
  </si>
  <si>
    <t>Purchase Asset Definitions</t>
  </si>
  <si>
    <t>Asset Run Control: ADCo</t>
  </si>
  <si>
    <t>Asset Run Control: Intex</t>
  </si>
  <si>
    <t>cash_rate_mult</t>
  </si>
  <si>
    <t>cash_rate_addn</t>
  </si>
  <si>
    <t>borrowing_rate_qual</t>
  </si>
  <si>
    <t>interim_cash_rate_defn</t>
  </si>
  <si>
    <t>Cash Account Rate</t>
  </si>
  <si>
    <t>Asset Run Control : ADCo</t>
  </si>
  <si>
    <t>Asset Run Control : Intex</t>
  </si>
  <si>
    <t>ADCo</t>
  </si>
  <si>
    <t>Decrements: Default/Refinance/Foreclosure/Restructure</t>
  </si>
  <si>
    <t>refinance_rate_pct</t>
  </si>
  <si>
    <t>refinance_rate_mult_since_issue</t>
  </si>
  <si>
    <t>refinance_rate_mult_bef_maturity</t>
  </si>
  <si>
    <t>foreclosure_rate_pct</t>
  </si>
  <si>
    <t>foreclosure_rate_mult_since_issue</t>
  </si>
  <si>
    <t>foreclosure_rate_mult_bef_maturity</t>
  </si>
  <si>
    <t>restructure_rate_pct</t>
  </si>
  <si>
    <t>restructure_rate_mult_since_issue</t>
  </si>
  <si>
    <t>restructure_rate_mult_bef_maturity</t>
  </si>
  <si>
    <t>Decrements: Sinking Fund Payments</t>
  </si>
  <si>
    <t>sinking_fund_prin_pmt_pct</t>
  </si>
  <si>
    <t>Decrements: Call/Puts/Prepayments</t>
  </si>
  <si>
    <t>call_price_pct</t>
  </si>
  <si>
    <t>put_price_pct</t>
  </si>
  <si>
    <t>prepmt_penalty_pct</t>
  </si>
  <si>
    <t>call_opt_exercise_pct</t>
  </si>
  <si>
    <t>put_opt_exercise_pct</t>
  </si>
  <si>
    <t>prepmt_exercise_pct</t>
  </si>
  <si>
    <t>prepmt_nonfinancial_seasonality_addn</t>
  </si>
  <si>
    <t>prepmt_nonfinancial_adj</t>
  </si>
  <si>
    <t>Decrements : ADCo</t>
  </si>
  <si>
    <t>adco_category_id</t>
  </si>
  <si>
    <t>adco_adj_rate_defn</t>
  </si>
  <si>
    <t>adco_collateral_defn</t>
  </si>
  <si>
    <t>adco_subprime_defn</t>
  </si>
  <si>
    <t>adco_abs_mh_defn</t>
  </si>
  <si>
    <t>adco_abs_mh_vintage_defn</t>
  </si>
  <si>
    <t>adco_abs_mh_width_defn</t>
  </si>
  <si>
    <t>Non Convertible</t>
  </si>
  <si>
    <t>FNMA</t>
  </si>
  <si>
    <t>Prime Collateral</t>
  </si>
  <si>
    <t>Unknown</t>
  </si>
  <si>
    <t>opt_defn</t>
  </si>
  <si>
    <t>int_rate_diff</t>
  </si>
  <si>
    <t>Back to Main</t>
  </si>
  <si>
    <t>[See below]</t>
  </si>
  <si>
    <t>cal_mth</t>
  </si>
  <si>
    <t>mths_bef_maturity</t>
  </si>
  <si>
    <t>Investment input page – Balance Sheet</t>
  </si>
  <si>
    <t>Balance Sheet</t>
  </si>
  <si>
    <t>bond_cost_basis_defn</t>
  </si>
  <si>
    <t>bond_amortzd_cost_period_defn</t>
  </si>
  <si>
    <t>bond_bk_val_defn</t>
  </si>
  <si>
    <t>mtg_cost_basis_defn</t>
  </si>
  <si>
    <t>mtg_amortzd_cost_period_defn</t>
  </si>
  <si>
    <t>mtg_bk_val_defn</t>
  </si>
  <si>
    <t>sec_cost_basis_defn</t>
  </si>
  <si>
    <t>sec_bk_val_defn</t>
  </si>
  <si>
    <t>ird_cost_basis_defn</t>
  </si>
  <si>
    <t>ird_bk_val_defn</t>
  </si>
  <si>
    <t>re_cost_basis_defn</t>
  </si>
  <si>
    <t>re_bk_val_defn</t>
  </si>
  <si>
    <t>eqt_bk_val_defn</t>
  </si>
  <si>
    <t>eio_cost_basis_defn</t>
  </si>
  <si>
    <t>eio_bk_val_defn</t>
  </si>
  <si>
    <t>To Next Rate Reset</t>
  </si>
  <si>
    <t>Default/Refinance/Restructure/Foreclosure</t>
  </si>
  <si>
    <t>Sinking Fund Payments</t>
  </si>
  <si>
    <t>Call/Put/Prepayments</t>
  </si>
  <si>
    <t>asset_id</t>
  </si>
  <si>
    <t>CallPricePct</t>
  </si>
  <si>
    <t>PutPricePct</t>
  </si>
  <si>
    <t>Investment input page – Refinance Foreclosure Restructure Investments</t>
  </si>
  <si>
    <t>Refinance/Foreclosure/Restructure Investments</t>
  </si>
  <si>
    <t>Refinance Restructure Foreclosure Investments</t>
  </si>
  <si>
    <t>Strategy : Control</t>
  </si>
  <si>
    <t>Strategy : Definitions</t>
  </si>
  <si>
    <t>Strategy : Planned</t>
  </si>
  <si>
    <t>Strategy : Economic</t>
  </si>
  <si>
    <t>Seg</t>
  </si>
  <si>
    <t>Back To Main</t>
  </si>
  <si>
    <t>var_defn</t>
  </si>
  <si>
    <t>InvSec</t>
  </si>
  <si>
    <t>InvIrd</t>
  </si>
  <si>
    <t>InvEqt</t>
  </si>
  <si>
    <t>InvRe</t>
  </si>
  <si>
    <t>Total</t>
  </si>
  <si>
    <t>Investment input page – Purchase Index Option Definitions</t>
  </si>
  <si>
    <t>Investment input page – Purchase Equity Definitions</t>
  </si>
  <si>
    <t>Investment input page – Purchase Real Estate Definitions</t>
  </si>
  <si>
    <t>Investment input page – Purchase Interest Rate Derivative Definitions</t>
  </si>
  <si>
    <t>Investment input page – Purchase Securitized Asset Definitions</t>
  </si>
  <si>
    <t>purch_sec_pac1_std_sch</t>
  </si>
  <si>
    <t>purch_sec_pac1z_sch</t>
  </si>
  <si>
    <t>purch_sec_pac2a_sch</t>
  </si>
  <si>
    <t>purch_sec_pac2b_sch</t>
  </si>
  <si>
    <t>purch_sec_pac3_sch</t>
  </si>
  <si>
    <t>Investment input page – Securitized Asset Cash Flows</t>
  </si>
  <si>
    <t>pac_type</t>
  </si>
  <si>
    <t>Pac1s</t>
  </si>
  <si>
    <t>Pac1z</t>
  </si>
  <si>
    <t>Pac2a</t>
  </si>
  <si>
    <t>Pac2b</t>
  </si>
  <si>
    <t>Pac3</t>
  </si>
  <si>
    <t>purch_mtg_prepmt_penalty_pct</t>
  </si>
  <si>
    <t>Investment input page – Purchase Mortgage Definitions</t>
  </si>
  <si>
    <t>purch_bond_call_price_pct</t>
  </si>
  <si>
    <t>purch_bond_sinking_fund_prin_pmt_pct</t>
  </si>
  <si>
    <t>purch_bond_put_price_pct</t>
  </si>
  <si>
    <t>PutPct</t>
  </si>
  <si>
    <t>Purchased Bond Definitions</t>
  </si>
  <si>
    <t>Purchase Mortgage Definitions</t>
  </si>
  <si>
    <t>Purchase Securitized Asset Definitions</t>
  </si>
  <si>
    <t>Purchase Interest Rate Derivative Definitions</t>
  </si>
  <si>
    <t>Purchase Real Estate Definitions</t>
  </si>
  <si>
    <t>Purchase Equity Definitions</t>
  </si>
  <si>
    <t>Purchase Index Option Definitions</t>
  </si>
  <si>
    <t>Sec1</t>
  </si>
  <si>
    <t>Securitized Asset Cash Flows</t>
  </si>
  <si>
    <t>Mtg1</t>
  </si>
  <si>
    <t>Mtg2</t>
  </si>
  <si>
    <t>dur_match_tolerance</t>
  </si>
  <si>
    <t>&lt;*global*&gt;x64\cmosub64.dll</t>
  </si>
  <si>
    <t>intex_cmo_dll_64</t>
  </si>
  <si>
    <t>Investment input page – Cash</t>
  </si>
  <si>
    <t>Baseline</t>
  </si>
  <si>
    <t>Bnd1</t>
  </si>
  <si>
    <t>Bnd2</t>
  </si>
  <si>
    <t>Bnd3</t>
  </si>
  <si>
    <t>Bnd4</t>
  </si>
  <si>
    <t>Bnd5</t>
  </si>
  <si>
    <t>nonfinancial_int_rate_diff</t>
  </si>
  <si>
    <t>Whenever Needed</t>
  </si>
  <si>
    <t>A</t>
  </si>
  <si>
    <t>PTPDC</t>
  </si>
  <si>
    <t>PTPDP</t>
  </si>
  <si>
    <t>EIA_INDEX</t>
  </si>
  <si>
    <t>PTPDCUS</t>
  </si>
  <si>
    <t>PTPDPUS</t>
  </si>
  <si>
    <t>MADCUS</t>
  </si>
  <si>
    <t>MADPUS</t>
  </si>
  <si>
    <t>IndexOptions</t>
  </si>
  <si>
    <t>Hedging</t>
  </si>
  <si>
    <t>Asian</t>
  </si>
  <si>
    <t>AA</t>
  </si>
  <si>
    <t>AAA</t>
  </si>
  <si>
    <t>B</t>
  </si>
  <si>
    <t>BAA</t>
  </si>
  <si>
    <t>ANew</t>
  </si>
  <si>
    <t>AANew</t>
  </si>
  <si>
    <t>PPAY</t>
  </si>
  <si>
    <t>PPAY3</t>
  </si>
  <si>
    <t>PPAY4</t>
  </si>
  <si>
    <t>PPAY5</t>
  </si>
  <si>
    <t>PPAY6</t>
  </si>
  <si>
    <t>GNMA</t>
  </si>
  <si>
    <t>CPMTG</t>
  </si>
  <si>
    <t>Mortgage</t>
  </si>
  <si>
    <t>Purchased</t>
  </si>
  <si>
    <t>BNDAA1001</t>
  </si>
  <si>
    <t>BNDAAA2002</t>
  </si>
  <si>
    <t>Bonds</t>
  </si>
  <si>
    <t>Andrew Davidson</t>
  </si>
  <si>
    <t>&lt;*global*&gt;</t>
  </si>
  <si>
    <t>Asset Sub Portfolios</t>
  </si>
  <si>
    <t>Asset Sub Portfolios: Control</t>
  </si>
  <si>
    <t>Asset Sub Portfolios: Definitions</t>
  </si>
  <si>
    <t>Investment input page – Asset Sub Portfolios</t>
  </si>
  <si>
    <t>Asset Sub Portfolios : Control</t>
  </si>
  <si>
    <t>Asset Sub Portfolios : Definitions</t>
  </si>
  <si>
    <t>asset_sub_ports_selected</t>
  </si>
  <si>
    <t>asset_sub_port_assign_dur_defn</t>
  </si>
  <si>
    <t>asset_sub_port_id</t>
  </si>
  <si>
    <t>asset_sub_port_asset_type</t>
  </si>
  <si>
    <t>asset_sub_port_port_defn</t>
  </si>
  <si>
    <t>asset_sub_port_categories</t>
  </si>
  <si>
    <t>asset_sub_port_existing_or_purch_defn</t>
  </si>
  <si>
    <t>asset_sub_port_dur_min</t>
  </si>
  <si>
    <t>asset_sub_port_dur_max</t>
  </si>
  <si>
    <t>asset_sub_port_min_size</t>
  </si>
  <si>
    <t>asset_sub_port_dur_match_defn</t>
  </si>
  <si>
    <t>asset_sub_port_sale_priority</t>
  </si>
  <si>
    <t>asset_sub_port_rebal_tolerance_pct</t>
  </si>
  <si>
    <t>asset_sub_port_rebal_pct_max</t>
  </si>
  <si>
    <t>asset_sub_port_rebal_pct_min</t>
  </si>
  <si>
    <t>asset_sub_port_inv_exp_pct</t>
  </si>
  <si>
    <t>asset_sub_port_proxy_bond_category</t>
  </si>
  <si>
    <t>asset_sub_port_proxy_bond_sale_class</t>
  </si>
  <si>
    <t>purch_bond_adj_category_id</t>
  </si>
  <si>
    <t>purch_mtg_adj_category_id</t>
  </si>
  <si>
    <t>SubPortID</t>
  </si>
  <si>
    <t>WgthWithinSubPort</t>
  </si>
  <si>
    <t>purch_bond_grp_id</t>
  </si>
  <si>
    <t>purch_mtg_grp_id</t>
  </si>
  <si>
    <t>purch_sec_grp_id</t>
  </si>
  <si>
    <t>purch_ird_grp_id</t>
  </si>
  <si>
    <t>purch_re_grp_id</t>
  </si>
  <si>
    <t>purch_eqt_grp_id</t>
  </si>
  <si>
    <t>purch_eio_grp_id</t>
  </si>
  <si>
    <t>purch_ird_rate_1_category_id</t>
  </si>
  <si>
    <t>purch_ird_rate_2_category_id</t>
  </si>
  <si>
    <t>COLLAT</t>
  </si>
  <si>
    <t>purch_sec_cp_asset_id</t>
  </si>
  <si>
    <t>purch_sec_cp_category_id</t>
  </si>
  <si>
    <t>purch_sec_tranche_rate_category_id</t>
  </si>
  <si>
    <t>purch_sec_cp_yrs_to_maturity</t>
  </si>
  <si>
    <t>purch_sec_cp_amortzn_yrs</t>
  </si>
  <si>
    <t>purch_sec_cp_rate_defn</t>
  </si>
  <si>
    <t>purch_sec_cp_rate_diff</t>
  </si>
  <si>
    <t>purch_sec_cp_pmt_mode</t>
  </si>
  <si>
    <t>purch_sec_cp_servicing_fee</t>
  </si>
  <si>
    <t>purch_sec_cp_adj_category_id</t>
  </si>
  <si>
    <t>purch_sec_cp_adj_scen_yr</t>
  </si>
  <si>
    <t>purch_sec_cp_adj_scen_mult</t>
  </si>
  <si>
    <t>purch_sec_cp_adj_addn_init</t>
  </si>
  <si>
    <t>purch_sec_cp_adj_addn_renewal</t>
  </si>
  <si>
    <t>purch_sec_cp_adj_reset_mths</t>
  </si>
  <si>
    <t>purch_sec_cp_adj_max_above_init</t>
  </si>
  <si>
    <t>purch_sec_cp_adj_max_below_init</t>
  </si>
  <si>
    <t>purch_sec_cp_adj_max_reset_incr</t>
  </si>
  <si>
    <t>purch_sec_cp_adj_max_reset_decr</t>
  </si>
  <si>
    <t>purch_sec_cp_prepmt_penalty_defn</t>
  </si>
  <si>
    <t>purch_sec_cp_prepmt_protect_yrs</t>
  </si>
  <si>
    <t>purch_sec_cp_prepmt_penalty_pct</t>
  </si>
  <si>
    <t>purch_sec_cp_yld_maint_addn</t>
  </si>
  <si>
    <t>purch_sec_cp_prepmt_penalty_mult</t>
  </si>
  <si>
    <t>purch_sec_cp_prepmt_penalty_addn</t>
  </si>
  <si>
    <t>purch_sec_cp_first_par_prepmt_yr</t>
  </si>
  <si>
    <t>purch_sec_cp_yrs_to_balloon</t>
  </si>
  <si>
    <t>purch_bond_taxable_pct</t>
  </si>
  <si>
    <t>cash_rate_qual</t>
  </si>
  <si>
    <t>cash_rate_term</t>
  </si>
  <si>
    <t>Borrowing</t>
  </si>
  <si>
    <t>borrowing_rate_term</t>
  </si>
  <si>
    <t>borrowing_rate_mult</t>
  </si>
  <si>
    <t>borrowing_rate_addn</t>
  </si>
  <si>
    <t>Interim Cash</t>
  </si>
  <si>
    <t>purch_mtg_balloon_defn</t>
  </si>
  <si>
    <t>purch_mtg_balloon_prin_pmt_pct</t>
  </si>
  <si>
    <t>InvMtg1</t>
  </si>
  <si>
    <t>neg_cash_flow_strat_planned</t>
  </si>
  <si>
    <t>neg_cash_flow_strat_economic_tests</t>
  </si>
  <si>
    <t>inv_strat_economic</t>
  </si>
  <si>
    <t>neg_cash_flow_strat_economic</t>
  </si>
  <si>
    <t>Strategy : Rebalance Sales</t>
  </si>
  <si>
    <t>rebal_sale_priority_avail_for_sale</t>
  </si>
  <si>
    <t>rebal_sale_priority_trading</t>
  </si>
  <si>
    <t>rebal_sale_priority_held_to_maturity</t>
  </si>
  <si>
    <t>rebal_sale_priority_not_assigned</t>
  </si>
  <si>
    <t>neg_cash_flow_strat_planned_cash_bal_defn</t>
  </si>
  <si>
    <t>neg_cash_flow_strat_planned_cash_thresh_pct</t>
  </si>
  <si>
    <t>neg_cash_flow_strat_planned_cash_thresh_addn</t>
  </si>
  <si>
    <t>neg_cash_flow_strat_planned_neg_assets</t>
  </si>
  <si>
    <t>neg_cash_flow_strat_planned_sale_selection_defn</t>
  </si>
  <si>
    <t>neg_cash_flow_strat_planned_sale_priority_avail_for_sale</t>
  </si>
  <si>
    <t>neg_cash_flow_strat_planned_sale_priority_trading</t>
  </si>
  <si>
    <t>neg_cash_flow_strat_planned_sale_priority_held_to_maturity</t>
  </si>
  <si>
    <t>neg_cash_flow_strat_planned_sale_priority_not_assigned</t>
  </si>
  <si>
    <t>neg_cash_flow_strat_economic_test_num</t>
  </si>
  <si>
    <t>neg_cash_flow_strat_economic_test_defn</t>
  </si>
  <si>
    <t>neg_cash_flow_strat_economic_mths</t>
  </si>
  <si>
    <t>neg_cash_flow_strat_economic_test_calc_defn</t>
  </si>
  <si>
    <t>neg_cash_flow_strat_economic_rate_1_term</t>
  </si>
  <si>
    <t>neg_cash_flow_strat_economic_rate_2_term</t>
  </si>
  <si>
    <t>neg_cash_flow_strat_economic_lag_mths</t>
  </si>
  <si>
    <t>neg_cash_flow_strat_economic_compare_defn</t>
  </si>
  <si>
    <t>neg_cash_flow_strat_economic_fixed_test_val</t>
  </si>
  <si>
    <t>neg_cash_flow_strat_economic_cash_bal_defn</t>
  </si>
  <si>
    <t>neg_cash_flow_strat_economic_cash_thresh_pct</t>
  </si>
  <si>
    <t>neg_cash_flow_strat_economic_cash_thresh_addn</t>
  </si>
  <si>
    <t>neg_cash_flow_strat_economic_neg_assets</t>
  </si>
  <si>
    <t>neg_cash_flow_strat_economic_sale_selection_defn</t>
  </si>
  <si>
    <t>neg_cash_flow_strat_economic_sale_priority_avail_for_sale</t>
  </si>
  <si>
    <t>neg_cash_flow_strat_economic_sale_priority_trading</t>
  </si>
  <si>
    <t>neg_cash_flow_strat_economic_sale_priority_held_to_maturity</t>
  </si>
  <si>
    <t>neg_cash_flow_strat_economic_sale_priority_not_assigned</t>
  </si>
  <si>
    <t>Decrements: Balloon Payments</t>
  </si>
  <si>
    <t>balloon_prin_pmt_pct</t>
  </si>
  <si>
    <t>coupon_freq_defn_aig</t>
  </si>
  <si>
    <t>pol_yr</t>
  </si>
  <si>
    <t>cash_flow_pct_input_vector_aig</t>
  </si>
  <si>
    <t>Investment input page – AIG Purchase Assets Definitions</t>
  </si>
  <si>
    <t>gmwb_ind</t>
  </si>
  <si>
    <t>surr_chg_period2_aig</t>
  </si>
  <si>
    <t>BBB</t>
  </si>
  <si>
    <t>PC_A</t>
  </si>
  <si>
    <t>PC_BBB</t>
  </si>
  <si>
    <t>CML</t>
  </si>
  <si>
    <t>PC_AAA</t>
  </si>
  <si>
    <t>PC_AA</t>
  </si>
  <si>
    <t>BB</t>
  </si>
  <si>
    <t>PC_BB</t>
  </si>
  <si>
    <t>PC_B</t>
  </si>
  <si>
    <t>RML</t>
  </si>
  <si>
    <t>3Y_Public Corp_A</t>
  </si>
  <si>
    <t>3Y_Public Corp_AAA</t>
  </si>
  <si>
    <t>3Y_Public Corp_BBB</t>
  </si>
  <si>
    <t>5Y_Public Corp_A</t>
  </si>
  <si>
    <t>5Y_Public Corp_AA</t>
  </si>
  <si>
    <t>5Y_Public Corp_B</t>
  </si>
  <si>
    <t>5Y_Public Corp_BB</t>
  </si>
  <si>
    <t>5Y_Public Corp_BBB</t>
  </si>
  <si>
    <t>7Y_Public Corp_A</t>
  </si>
  <si>
    <t>7Y_Public Corp_BB</t>
  </si>
  <si>
    <t>7Y_Public Corp_BBB</t>
  </si>
  <si>
    <t>10Y_Public Corp_A</t>
  </si>
  <si>
    <t>10Y_Public Corp_BB</t>
  </si>
  <si>
    <t>10Y_Public Corp_BBB</t>
  </si>
  <si>
    <t>30Y_Public Corp_A</t>
  </si>
  <si>
    <t>30Y_Public Corp_BBB</t>
  </si>
  <si>
    <t>3Y_CML</t>
  </si>
  <si>
    <t>5Y_CML</t>
  </si>
  <si>
    <t>10Y_CML</t>
  </si>
  <si>
    <t>2Y_I</t>
  </si>
  <si>
    <t>3Y_I</t>
  </si>
  <si>
    <t>5Y_I</t>
  </si>
  <si>
    <t>7Y_I</t>
  </si>
  <si>
    <t>9Y_I</t>
  </si>
  <si>
    <t>10Y_I</t>
  </si>
  <si>
    <t>12Y_I</t>
  </si>
  <si>
    <t>20Y_I</t>
  </si>
  <si>
    <t>30Y_I</t>
  </si>
  <si>
    <t>10Y_Public Corp_AAA</t>
  </si>
  <si>
    <t>PC_CCC</t>
  </si>
  <si>
    <t>CCC</t>
  </si>
  <si>
    <t>t</t>
  </si>
  <si>
    <t>inv_strat</t>
  </si>
  <si>
    <t>planned</t>
  </si>
  <si>
    <t>shorter</t>
  </si>
  <si>
    <t>shortest</t>
  </si>
  <si>
    <t>longer</t>
  </si>
  <si>
    <t>longest</t>
  </si>
  <si>
    <t>tolerance</t>
  </si>
  <si>
    <t>Category Yield to Maturity</t>
  </si>
  <si>
    <t>*Changed this to use Category YTM</t>
  </si>
  <si>
    <t>Sell Assets To Cover Negative Cash Balance</t>
  </si>
  <si>
    <t>5Y_RML</t>
  </si>
  <si>
    <t>Yes On Single Period</t>
  </si>
  <si>
    <t>purch_bond_adj_scen_addn_init</t>
  </si>
  <si>
    <t>Borrow To Threshold</t>
  </si>
  <si>
    <t>PVDetails</t>
  </si>
  <si>
    <t>ia_prod_v3_rsd_2_aig</t>
  </si>
  <si>
    <t>ia_prod_v3_rsd_2_defer_cf_aig</t>
  </si>
  <si>
    <t>rbc_c4_method</t>
  </si>
  <si>
    <t>Use RBC C4</t>
  </si>
  <si>
    <t>v0</t>
  </si>
  <si>
    <t>v2</t>
  </si>
  <si>
    <t>v1</t>
  </si>
  <si>
    <t>CDSC+2</t>
  </si>
  <si>
    <t>PrivCorp_A</t>
  </si>
  <si>
    <t>PrivCorp_BBB</t>
  </si>
  <si>
    <t>4Y_TgtDur</t>
  </si>
  <si>
    <t>5Y_TgtDur</t>
  </si>
  <si>
    <t>6Y_TgtDur</t>
  </si>
  <si>
    <t>7Y_TgtDur</t>
  </si>
  <si>
    <t>8Y_TgtDur</t>
  </si>
  <si>
    <t>9Y_TgtDur</t>
  </si>
  <si>
    <t>10Y_TgtDur</t>
  </si>
  <si>
    <t>11Y_TgtDur</t>
  </si>
  <si>
    <t>12Y_TgtDur</t>
  </si>
  <si>
    <t>13Y_TgtDur</t>
  </si>
  <si>
    <t>14Y_TgtDur</t>
  </si>
  <si>
    <t>WF5</t>
  </si>
  <si>
    <t>PI5P</t>
  </si>
  <si>
    <t>P5P</t>
  </si>
  <si>
    <t>NYIA</t>
  </si>
  <si>
    <t>NYIAG</t>
  </si>
  <si>
    <t>NYIA5</t>
  </si>
  <si>
    <t>PIPREF</t>
  </si>
  <si>
    <t>WF7</t>
  </si>
  <si>
    <t>PIP</t>
  </si>
  <si>
    <t>P7P</t>
  </si>
  <si>
    <t>VALIC</t>
  </si>
  <si>
    <t>ADV7</t>
  </si>
  <si>
    <t>PRIM7</t>
  </si>
  <si>
    <t>PRIM10</t>
  </si>
  <si>
    <t>AG10</t>
  </si>
  <si>
    <t>GSIA</t>
  </si>
  <si>
    <t>P10P</t>
  </si>
  <si>
    <t>PS</t>
  </si>
  <si>
    <t>BASE</t>
  </si>
  <si>
    <t>LIP</t>
  </si>
  <si>
    <t>LIPM</t>
  </si>
  <si>
    <t>Product Code</t>
  </si>
  <si>
    <t>GLB Status</t>
  </si>
  <si>
    <t>ANNGEN</t>
  </si>
  <si>
    <t>TgtDur</t>
  </si>
  <si>
    <t>CDSC Period</t>
  </si>
  <si>
    <t>ALMBased</t>
  </si>
  <si>
    <t>CDSC/CDSC+5</t>
  </si>
  <si>
    <t>plan_code</t>
  </si>
  <si>
    <t>Chase5</t>
  </si>
  <si>
    <t>AE7</t>
  </si>
  <si>
    <t>HSBC5</t>
  </si>
  <si>
    <t>Chase3</t>
  </si>
  <si>
    <t>Chase4</t>
  </si>
  <si>
    <t>AP3</t>
  </si>
  <si>
    <t>AP4</t>
  </si>
  <si>
    <t>HSBC3</t>
  </si>
  <si>
    <t>PNC5</t>
  </si>
  <si>
    <t>PNC7</t>
  </si>
  <si>
    <t>WF4</t>
  </si>
  <si>
    <t>Chase7</t>
  </si>
  <si>
    <t>Chase3NG</t>
  </si>
  <si>
    <t>Chase5NG</t>
  </si>
  <si>
    <t>Chase7NG</t>
  </si>
  <si>
    <t>EJ4</t>
  </si>
  <si>
    <t>EJ10</t>
  </si>
  <si>
    <t>EJ7</t>
  </si>
  <si>
    <t>EJ5</t>
  </si>
  <si>
    <t>WF5G</t>
  </si>
  <si>
    <t>WF5NG</t>
  </si>
  <si>
    <t>WF5MVAG</t>
  </si>
  <si>
    <t>WF5MVANG</t>
  </si>
  <si>
    <t>SMYG6</t>
  </si>
  <si>
    <t>SMYG5</t>
  </si>
  <si>
    <t>SMYG7</t>
  </si>
  <si>
    <t>WNL1</t>
  </si>
  <si>
    <t>WNL2</t>
  </si>
  <si>
    <t>WNL3</t>
  </si>
  <si>
    <t>WNL4</t>
  </si>
  <si>
    <t>WNL5</t>
  </si>
  <si>
    <t>WNL6</t>
  </si>
  <si>
    <t>WNL7</t>
  </si>
  <si>
    <t>WNL8</t>
  </si>
  <si>
    <t>WNL9</t>
  </si>
  <si>
    <t>WNL10</t>
  </si>
  <si>
    <t>WNL11</t>
  </si>
  <si>
    <t>WNL12</t>
  </si>
  <si>
    <t>WNL13</t>
  </si>
  <si>
    <t>WNL14</t>
  </si>
  <si>
    <t>WNL15</t>
  </si>
  <si>
    <t>WNL16</t>
  </si>
  <si>
    <t>WNL17</t>
  </si>
  <si>
    <t>WNL18</t>
  </si>
  <si>
    <t>APA3</t>
  </si>
  <si>
    <t>APA5</t>
  </si>
  <si>
    <t>APA7</t>
  </si>
  <si>
    <t>PNC3</t>
  </si>
  <si>
    <t>PF5</t>
  </si>
  <si>
    <t>AE7NY</t>
  </si>
  <si>
    <t>AEP7</t>
  </si>
  <si>
    <t>AE10IMO</t>
  </si>
  <si>
    <t>AE7ADV</t>
  </si>
  <si>
    <t>VAL1</t>
  </si>
  <si>
    <t>VAL11</t>
  </si>
  <si>
    <t>VALAE</t>
  </si>
  <si>
    <t>CPC1</t>
  </si>
  <si>
    <t>CPC2</t>
  </si>
  <si>
    <t>CPC3</t>
  </si>
  <si>
    <t>CPC4</t>
  </si>
  <si>
    <t>CPC5</t>
  </si>
  <si>
    <t>CPC6</t>
  </si>
  <si>
    <t>CPC7</t>
  </si>
  <si>
    <t>CPC8</t>
  </si>
  <si>
    <t>CPC9</t>
  </si>
  <si>
    <t>CPC10</t>
  </si>
  <si>
    <t>CPC11</t>
  </si>
  <si>
    <t>CPC12</t>
  </si>
  <si>
    <t>CPC13</t>
  </si>
  <si>
    <t>CPC14</t>
  </si>
  <si>
    <t>CPC15</t>
  </si>
  <si>
    <t>CPC16</t>
  </si>
  <si>
    <t>CPC17</t>
  </si>
  <si>
    <t>CPC18</t>
  </si>
  <si>
    <t>CPC19</t>
  </si>
  <si>
    <t>CPC20</t>
  </si>
  <si>
    <t>CPCP1_USL</t>
  </si>
  <si>
    <t>CPCP2_USL</t>
  </si>
  <si>
    <t>CPCP3_USL</t>
  </si>
  <si>
    <t>CPCP4_USL</t>
  </si>
  <si>
    <t>CPCP5_USL</t>
  </si>
  <si>
    <t>CPCP6_USL</t>
  </si>
  <si>
    <t>CPCP7_USL</t>
  </si>
  <si>
    <t>CPCP8_USL</t>
  </si>
  <si>
    <t>CPCP9_USL</t>
  </si>
  <si>
    <t>CPCP10_USL</t>
  </si>
  <si>
    <t>CPCP11_USL</t>
  </si>
  <si>
    <t>CPCP12_USL</t>
  </si>
  <si>
    <t>CPCP13_USL</t>
  </si>
  <si>
    <t>CPCP14_USL</t>
  </si>
  <si>
    <t>CPCP15_USL</t>
  </si>
  <si>
    <t>CPCP16_USL</t>
  </si>
  <si>
    <t>CPCF1_USL</t>
  </si>
  <si>
    <t>CPCF2_USL</t>
  </si>
  <si>
    <t>CPCF3_USL</t>
  </si>
  <si>
    <t>CPCF4_USL</t>
  </si>
  <si>
    <t>CPCF5_USL</t>
  </si>
  <si>
    <t>CPCF6_USL</t>
  </si>
  <si>
    <t>CPCF7_USL</t>
  </si>
  <si>
    <t>CPCF8_USL</t>
  </si>
  <si>
    <t>CPCF9_USL</t>
  </si>
  <si>
    <t>CPCF10_USL</t>
  </si>
  <si>
    <t>CPCF11_USL</t>
  </si>
  <si>
    <t>CPCF12_USL</t>
  </si>
  <si>
    <t>CPCF13_USL</t>
  </si>
  <si>
    <t>CPCF14_USL</t>
  </si>
  <si>
    <t>CPCF15_USL</t>
  </si>
  <si>
    <t>CPCF16_USL</t>
  </si>
  <si>
    <t>CPC1_VAL</t>
  </si>
  <si>
    <t>CPC2_VAL</t>
  </si>
  <si>
    <t>CPC3_VAL</t>
  </si>
  <si>
    <t>CPC4_VAL</t>
  </si>
  <si>
    <t>CPC5_VAL</t>
  </si>
  <si>
    <t>CPC6_VAL</t>
  </si>
  <si>
    <t>CPC7_VAL</t>
  </si>
  <si>
    <t>CPC8_VAL</t>
  </si>
  <si>
    <t>CPC9_VAL</t>
  </si>
  <si>
    <t>CPC10_VAL</t>
  </si>
  <si>
    <t>CPC11_VAL</t>
  </si>
  <si>
    <t>CPC12_VAL</t>
  </si>
  <si>
    <t>CPC13_VAL</t>
  </si>
  <si>
    <t>CPC14_VAL</t>
  </si>
  <si>
    <t>CPC15_VAL</t>
  </si>
  <si>
    <t>CPC16_VAL</t>
  </si>
  <si>
    <t>CPC17_VAL</t>
  </si>
  <si>
    <t>CPC18_VAL</t>
  </si>
  <si>
    <t>CPC19_VAL</t>
  </si>
  <si>
    <t>CPC20_VAL</t>
  </si>
  <si>
    <t>3GROP</t>
  </si>
  <si>
    <t>4GROP</t>
  </si>
  <si>
    <t>5GROP</t>
  </si>
  <si>
    <t>7GROP</t>
  </si>
  <si>
    <t>3MVANG</t>
  </si>
  <si>
    <t>4MVANG</t>
  </si>
  <si>
    <t>5NGROP</t>
  </si>
  <si>
    <t>5MVANG</t>
  </si>
  <si>
    <t>7NGROP</t>
  </si>
  <si>
    <t>7MVANG</t>
  </si>
  <si>
    <t>10MVANG</t>
  </si>
  <si>
    <t>3APA</t>
  </si>
  <si>
    <t>5APA</t>
  </si>
  <si>
    <t>7APA</t>
  </si>
  <si>
    <t>3APAUSL</t>
  </si>
  <si>
    <t>5APAUSL</t>
  </si>
  <si>
    <t>7APAUSL</t>
  </si>
  <si>
    <t>3APAVAL</t>
  </si>
  <si>
    <t>5APAVAL</t>
  </si>
  <si>
    <t>7APAVAL</t>
  </si>
  <si>
    <t>Dummy1</t>
  </si>
  <si>
    <t>Dummy2</t>
  </si>
  <si>
    <t>Dummy3</t>
  </si>
  <si>
    <t>Dummy4</t>
  </si>
  <si>
    <t>Dummy5</t>
  </si>
  <si>
    <t>Dummy6</t>
  </si>
  <si>
    <t>Dummy7</t>
  </si>
  <si>
    <t>Dummy8</t>
  </si>
  <si>
    <t>Dummy9</t>
  </si>
  <si>
    <t>Dummy10</t>
  </si>
  <si>
    <t>AE</t>
  </si>
  <si>
    <t>AENY</t>
  </si>
  <si>
    <t>AEP</t>
  </si>
  <si>
    <t>VAP4</t>
  </si>
  <si>
    <t>VAP7</t>
  </si>
  <si>
    <t>VAP7MVA</t>
  </si>
  <si>
    <t>KM Updates</t>
  </si>
  <si>
    <t>AEIB</t>
  </si>
  <si>
    <t>AEIBNY</t>
  </si>
  <si>
    <t>AE765</t>
  </si>
  <si>
    <t>AE7NY65</t>
  </si>
  <si>
    <t>AEP765</t>
  </si>
  <si>
    <t>AE10IMO65</t>
  </si>
  <si>
    <t>15Y_TgtDur</t>
  </si>
  <si>
    <t>7Y_Public Corp_AAA</t>
  </si>
  <si>
    <t>7Y_CML</t>
  </si>
  <si>
    <t>Chase3H</t>
  </si>
  <si>
    <t>Chase3J</t>
  </si>
  <si>
    <t>Chase3L</t>
  </si>
  <si>
    <t>Chase3M</t>
  </si>
  <si>
    <t>Chase4H</t>
  </si>
  <si>
    <t>Chase4J</t>
  </si>
  <si>
    <t>Chase4L</t>
  </si>
  <si>
    <t>Chase4M</t>
  </si>
  <si>
    <t>Chase5H</t>
  </si>
  <si>
    <t>Chase5J</t>
  </si>
  <si>
    <t>Chase5L</t>
  </si>
  <si>
    <t>Chase5M</t>
  </si>
  <si>
    <t>Chase7H</t>
  </si>
  <si>
    <t>Chase7J</t>
  </si>
  <si>
    <t>Chase7L</t>
  </si>
  <si>
    <t>Chase7M</t>
  </si>
  <si>
    <t>Chase3NGH</t>
  </si>
  <si>
    <t>Chase3NGJ</t>
  </si>
  <si>
    <t>Chase3NGL</t>
  </si>
  <si>
    <t>Chase3NGM</t>
  </si>
  <si>
    <t>Chase5NGH</t>
  </si>
  <si>
    <t>Chase5NGJ</t>
  </si>
  <si>
    <t>Chase5NGL</t>
  </si>
  <si>
    <t>Chase5NGM</t>
  </si>
  <si>
    <t>Chase7NGH</t>
  </si>
  <si>
    <t>Chase7NGJ</t>
  </si>
  <si>
    <t>Chase7NGL</t>
  </si>
  <si>
    <t>Chase7NGM</t>
  </si>
  <si>
    <t>APA3_J</t>
  </si>
  <si>
    <t>APA3_H</t>
  </si>
  <si>
    <t>APA3_L</t>
  </si>
  <si>
    <t>APA5_J</t>
  </si>
  <si>
    <t>APA5_H</t>
  </si>
  <si>
    <t>APA5_L</t>
  </si>
  <si>
    <t>APA7_J</t>
  </si>
  <si>
    <t>APA7_H</t>
  </si>
  <si>
    <t>APA7_L</t>
  </si>
  <si>
    <t>CPC1_J</t>
  </si>
  <si>
    <t>CPC1_H</t>
  </si>
  <si>
    <t>CPC1_L</t>
  </si>
  <si>
    <t>CPC2_J</t>
  </si>
  <si>
    <t>CPC2_H</t>
  </si>
  <si>
    <t>CPC2_L</t>
  </si>
  <si>
    <t>CPC3_J</t>
  </si>
  <si>
    <t>CPC3_H</t>
  </si>
  <si>
    <t>CPC3_L</t>
  </si>
  <si>
    <t>CPC4_J</t>
  </si>
  <si>
    <t>CPC4_H</t>
  </si>
  <si>
    <t>CPC4_L</t>
  </si>
  <si>
    <t>CPC5_J</t>
  </si>
  <si>
    <t>CPC5_H</t>
  </si>
  <si>
    <t>CPC5_L</t>
  </si>
  <si>
    <t>CPC6_J</t>
  </si>
  <si>
    <t>CPC6_H</t>
  </si>
  <si>
    <t>CPC6_L</t>
  </si>
  <si>
    <t>CPC7_J</t>
  </si>
  <si>
    <t>CPC7_H</t>
  </si>
  <si>
    <t>CPC7_L</t>
  </si>
  <si>
    <t>CPC8_J</t>
  </si>
  <si>
    <t>CPC8_H</t>
  </si>
  <si>
    <t>CPC8_L</t>
  </si>
  <si>
    <t>CPC9_J</t>
  </si>
  <si>
    <t>CPC9_H</t>
  </si>
  <si>
    <t>CPC9_L</t>
  </si>
  <si>
    <t>CPC10_J</t>
  </si>
  <si>
    <t>CPC10_H</t>
  </si>
  <si>
    <t>CPC10_L</t>
  </si>
  <si>
    <t>CPC11_J</t>
  </si>
  <si>
    <t>CPC11_H</t>
  </si>
  <si>
    <t>CPC11_L</t>
  </si>
  <si>
    <t>CPC12_J</t>
  </si>
  <si>
    <t>CPC12_H</t>
  </si>
  <si>
    <t>CPC12_L</t>
  </si>
  <si>
    <t>CPC13_J</t>
  </si>
  <si>
    <t>CPC13_H</t>
  </si>
  <si>
    <t>CPC13_L</t>
  </si>
  <si>
    <t>CPC14_J</t>
  </si>
  <si>
    <t>CPC14_H</t>
  </si>
  <si>
    <t>CPC14_L</t>
  </si>
  <si>
    <t>CPC15_J</t>
  </si>
  <si>
    <t>CPC15_H</t>
  </si>
  <si>
    <t>CPC15_L</t>
  </si>
  <si>
    <t>CPC16_J</t>
  </si>
  <si>
    <t>CPC16_H</t>
  </si>
  <si>
    <t>CPC16_L</t>
  </si>
  <si>
    <t>CPC17_J</t>
  </si>
  <si>
    <t>CPC17_H</t>
  </si>
  <si>
    <t>CPC17_L</t>
  </si>
  <si>
    <t>CPC18_J</t>
  </si>
  <si>
    <t>CPC18_H</t>
  </si>
  <si>
    <t>CPC18_L</t>
  </si>
  <si>
    <t>CPC19_J</t>
  </si>
  <si>
    <t>CPC19_H</t>
  </si>
  <si>
    <t>CPC19_L</t>
  </si>
  <si>
    <t>CPC20_J</t>
  </si>
  <si>
    <t>CPC20_H</t>
  </si>
  <si>
    <t>CPC20_L</t>
  </si>
  <si>
    <t>CPC8_VAL_J</t>
  </si>
  <si>
    <t>CPC8_VAL_H</t>
  </si>
  <si>
    <t>CPC8_VAL_L</t>
  </si>
  <si>
    <t>CPC16_VAL_J</t>
  </si>
  <si>
    <t>CPC16_VAL_H</t>
  </si>
  <si>
    <t>CPC16_VAL_L</t>
  </si>
  <si>
    <t>CPCP1_USL_J</t>
  </si>
  <si>
    <t>CPCP1_USL_H</t>
  </si>
  <si>
    <t>CPCP1_USL_L</t>
  </si>
  <si>
    <t>CPCP2_USL_J</t>
  </si>
  <si>
    <t>CPCP2_USL_H</t>
  </si>
  <si>
    <t>CPCP2_USL_L</t>
  </si>
  <si>
    <t>CPCP3_USL_J</t>
  </si>
  <si>
    <t>CPCP3_USL_H</t>
  </si>
  <si>
    <t>CPCP3_USL_L</t>
  </si>
  <si>
    <t>CPCP4_USL_J</t>
  </si>
  <si>
    <t>CPCP4_USL_H</t>
  </si>
  <si>
    <t>CPCP4_USL_L</t>
  </si>
  <si>
    <t>CPCP5_USL_J</t>
  </si>
  <si>
    <t>CPCP5_USL_H</t>
  </si>
  <si>
    <t>CPCP5_USL_L</t>
  </si>
  <si>
    <t>CPCP6_USL_J</t>
  </si>
  <si>
    <t>CPCP6_USL_H</t>
  </si>
  <si>
    <t>CPCP6_USL_L</t>
  </si>
  <si>
    <t>CPCP7_USL_J</t>
  </si>
  <si>
    <t>CPCP7_USL_H</t>
  </si>
  <si>
    <t>CPCP7_USL_L</t>
  </si>
  <si>
    <t>CPCP8_USL_J</t>
  </si>
  <si>
    <t>CPCP8_USL_H</t>
  </si>
  <si>
    <t>CPCP8_USL_L</t>
  </si>
  <si>
    <t>CPCP9_USL_J</t>
  </si>
  <si>
    <t>CPCP9_USL_H</t>
  </si>
  <si>
    <t>CPCP9_USL_L</t>
  </si>
  <si>
    <t>CPCP10_USL_J</t>
  </si>
  <si>
    <t>CPCP10_USL_H</t>
  </si>
  <si>
    <t>CPCP10_USL_L</t>
  </si>
  <si>
    <t>CPCP11_USL_J</t>
  </si>
  <si>
    <t>CPCP11_USL_H</t>
  </si>
  <si>
    <t>CPCP11_USL_L</t>
  </si>
  <si>
    <t>CPCP12_USL_J</t>
  </si>
  <si>
    <t>CPCP12_USL_H</t>
  </si>
  <si>
    <t>CPCP12_USL_L</t>
  </si>
  <si>
    <t>CPCP13_USL_J</t>
  </si>
  <si>
    <t>CPCP13_USL_H</t>
  </si>
  <si>
    <t>CPCP13_USL_L</t>
  </si>
  <si>
    <t>CPCP14_USL_J</t>
  </si>
  <si>
    <t>CPCP14_USL_H</t>
  </si>
  <si>
    <t>CPCP14_USL_L</t>
  </si>
  <si>
    <t>CPCP15_USL_J</t>
  </si>
  <si>
    <t>CPCP15_USL_H</t>
  </si>
  <si>
    <t>CPCP15_USL_L</t>
  </si>
  <si>
    <t>CPCP16_USL_J</t>
  </si>
  <si>
    <t>CPCP16_USL_H</t>
  </si>
  <si>
    <t>CPCP16_USL_L</t>
  </si>
  <si>
    <t>CPCF1_USL_J</t>
  </si>
  <si>
    <t>CPCF1_USL_H</t>
  </si>
  <si>
    <t>CPCF1_USL_L</t>
  </si>
  <si>
    <t>CPCF2_USL_J</t>
  </si>
  <si>
    <t>CPCF2_USL_H</t>
  </si>
  <si>
    <t>CPCF2_USL_L</t>
  </si>
  <si>
    <t>CPCF3_USL_J</t>
  </si>
  <si>
    <t>CPCF3_USL_H</t>
  </si>
  <si>
    <t>CPCF3_USL_L</t>
  </si>
  <si>
    <t>CPCF4_USL_J</t>
  </si>
  <si>
    <t>CPCF4_USL_H</t>
  </si>
  <si>
    <t>CPCF4_USL_L</t>
  </si>
  <si>
    <t>CPCF5_USL_J</t>
  </si>
  <si>
    <t>CPCF5_USL_H</t>
  </si>
  <si>
    <t>CPCF5_USL_L</t>
  </si>
  <si>
    <t>CPCF6_USL_J</t>
  </si>
  <si>
    <t>CPCF6_USL_H</t>
  </si>
  <si>
    <t>CPCF6_USL_L</t>
  </si>
  <si>
    <t>CPCF7_USL_J</t>
  </si>
  <si>
    <t>CPCF7_USL_H</t>
  </si>
  <si>
    <t>CPCF7_USL_L</t>
  </si>
  <si>
    <t>CPCF8_USL_J</t>
  </si>
  <si>
    <t>CPCF8_USL_H</t>
  </si>
  <si>
    <t>CPCF8_USL_L</t>
  </si>
  <si>
    <t>CPCF9_USL_J</t>
  </si>
  <si>
    <t>CPCF9_USL_H</t>
  </si>
  <si>
    <t>CPCF9_USL_L</t>
  </si>
  <si>
    <t>CPCF10_USL_J</t>
  </si>
  <si>
    <t>CPCF10_USL_H</t>
  </si>
  <si>
    <t>CPCF10_USL_L</t>
  </si>
  <si>
    <t>CPCF11_USL_J</t>
  </si>
  <si>
    <t>CPCF11_USL_H</t>
  </si>
  <si>
    <t>CPCF11_USL_L</t>
  </si>
  <si>
    <t>CPCF12_USL_J</t>
  </si>
  <si>
    <t>CPCF12_USL_H</t>
  </si>
  <si>
    <t>CPCF12_USL_L</t>
  </si>
  <si>
    <t>CPCF13_USL_J</t>
  </si>
  <si>
    <t>CPCF13_USL_H</t>
  </si>
  <si>
    <t>CPCF13_USL_L</t>
  </si>
  <si>
    <t>CPCF14_USL_J</t>
  </si>
  <si>
    <t>CPCF14_USL_H</t>
  </si>
  <si>
    <t>CPCF14_USL_L</t>
  </si>
  <si>
    <t>CPCF15_USL_J</t>
  </si>
  <si>
    <t>CPCF15_USL_H</t>
  </si>
  <si>
    <t>CPCF15_USL_L</t>
  </si>
  <si>
    <t>CPCF16_USL_J</t>
  </si>
  <si>
    <t>CPCF16_USL_H</t>
  </si>
  <si>
    <t>CPCF16_USL_L</t>
  </si>
  <si>
    <t>ADV5</t>
  </si>
  <si>
    <t>ADVMSG</t>
  </si>
  <si>
    <t>VALIC5</t>
  </si>
  <si>
    <t>PrivCorp_AA</t>
  </si>
  <si>
    <t>PrivCorp_AAA</t>
  </si>
  <si>
    <t>PrivCorp_BB</t>
  </si>
  <si>
    <t>3Y_Public Corp_AA</t>
  </si>
  <si>
    <t>7Y_Public Corp_AA</t>
  </si>
  <si>
    <t>10Y_Public Corp_AA</t>
  </si>
  <si>
    <t>20Y_Public Corp_BBB</t>
  </si>
  <si>
    <t>7Y_RML</t>
  </si>
  <si>
    <t>5Y_Private Corp_A</t>
  </si>
  <si>
    <t>7Y_Private Corp_A</t>
  </si>
  <si>
    <t>10Y_Private Corp_A</t>
  </si>
  <si>
    <t>30Y_Private Corp_A</t>
  </si>
  <si>
    <t>10Y_Private Corp_AA</t>
  </si>
  <si>
    <t>10Y_Private Corp_AAA</t>
  </si>
  <si>
    <t>5Y_Private Corp_BB</t>
  </si>
  <si>
    <t>7Y_Private Corp_BB</t>
  </si>
  <si>
    <t>5Y_Private Corp_BBB</t>
  </si>
  <si>
    <t>7Y_Private Corp_BBB</t>
  </si>
  <si>
    <t>10Y_Private Corp_BBB</t>
  </si>
  <si>
    <t>30Y_Private Corp_BBB</t>
  </si>
  <si>
    <t>AICO</t>
  </si>
  <si>
    <t>VMYG4</t>
  </si>
  <si>
    <t>VMYG5</t>
  </si>
  <si>
    <t>VMYG6</t>
  </si>
  <si>
    <t>VMYG7</t>
  </si>
  <si>
    <t>VMYG10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</si>
</sst>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000"/>
    <numFmt numFmtId="165" formatCode="0.0000%"/>
    <numFmt numFmtId="166" formatCode="0.00000%"/>
    <numFmt numFmtId="167" formatCode="0.0%"/>
    <numFmt numFmtId="168" formatCode="0.000%"/>
    <numFmt numFmtId="169" formatCode="0.0000000000000%"/>
  </numFmts>
  <fonts count="20" x14ac:knownFonts="1">
    <font>
      <sz val="10"/>
      <color theme="1"/>
      <name val="Arial"/>
      <family val="2"/>
    </font>
    <font>
      <b/>
      <sz val="10"/>
      <color theme="1"/>
      <name val="Arial"/>
      <family val="2"/>
    </font>
    <font>
      <b/>
      <sz val="8"/>
      <color indexed="64"/>
      <name val="Tahoma"/>
      <family val="2"/>
    </font>
    <font>
      <sz val="8"/>
      <color indexed="12"/>
      <name val="Tahoma"/>
      <family val="2"/>
    </font>
    <font>
      <sz val="8"/>
      <color indexed="64"/>
      <name val="Tahoma"/>
      <family val="2"/>
    </font>
    <font>
      <sz val="8"/>
      <color indexed="17"/>
      <name val="Tahoma"/>
      <family val="2"/>
    </font>
    <font>
      <sz val="8"/>
      <color indexed="17"/>
      <name val="Tahoma"/>
      <family val="2"/>
    </font>
    <font>
      <u/>
      <sz val="10"/>
      <color theme="10"/>
      <name val="Arial"/>
      <family val="2"/>
    </font>
    <font>
      <sz val="10"/>
      <name val="Arial"/>
      <family val="2"/>
    </font>
    <font>
      <b/>
      <sz val="18"/>
      <color theme="1"/>
      <name val="Arial"/>
      <family val="2"/>
    </font>
    <font>
      <b/>
      <sz val="12"/>
      <color theme="1"/>
      <name val="Arial"/>
      <family val="2"/>
    </font>
    <font>
      <i/>
      <sz val="10"/>
      <color theme="1"/>
      <name val="Arial"/>
      <family val="2"/>
    </font>
    <font>
      <b/>
      <sz val="10"/>
      <name val="Arial"/>
      <family val="2"/>
    </font>
    <font>
      <sz val="10"/>
      <color theme="1"/>
      <name val="Arial"/>
      <family val="2"/>
    </font>
    <font>
      <sz val="10"/>
      <color rgb="FF0000FF"/>
      <name val="Arial"/>
      <family val="2"/>
    </font>
    <font>
      <sz val="11"/>
      <color indexed="8"/>
      <name val="Calibri"/>
      <family val="2"/>
    </font>
    <font>
      <i/>
      <sz val="10"/>
      <color rgb="FFFF0000"/>
      <name val="Arial"/>
      <family val="2"/>
    </font>
    <font>
      <sz val="10"/>
      <color rgb="FFFF0000"/>
      <name val="Arial"/>
      <family val="2"/>
    </font>
    <font>
      <strike/>
      <sz val="10"/>
      <color rgb="FFFF0000"/>
      <name val="Arial"/>
      <family val="2"/>
    </font>
    <font>
      <sz val="11"/>
      <color rgb="FF0000FF"/>
      <name val="Calibri"/>
      <family val="2"/>
    </font>
  </fonts>
  <fills count="17">
    <fill>
      <patternFill patternType="none"/>
    </fill>
    <fill>
      <patternFill patternType="gray125"/>
    </fill>
    <fill>
      <patternFill patternType="solid">
        <fgColor theme="6" tint="0.39997558519241921"/>
        <bgColor indexed="64"/>
      </patternFill>
    </fill>
    <fill>
      <patternFill patternType="solid">
        <fgColor indexed="22"/>
        <bgColor indexed="64"/>
      </patternFill>
    </fill>
    <fill>
      <patternFill patternType="solid">
        <fgColor indexed="9"/>
        <bgColor indexed="64"/>
      </patternFill>
    </fill>
    <fill>
      <patternFill patternType="gray0625">
        <fgColor indexed="9"/>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C000"/>
        <bgColor indexed="64"/>
      </patternFill>
    </fill>
    <fill>
      <patternFill patternType="solid">
        <fgColor rgb="FFDEC8EE"/>
        <bgColor indexed="64"/>
      </patternFill>
    </fill>
    <fill>
      <patternFill patternType="solid">
        <fgColor rgb="FFEADCF4"/>
        <bgColor indexed="64"/>
      </patternFill>
    </fill>
    <fill>
      <patternFill patternType="solid">
        <fgColor theme="9"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medium">
        <color indexed="64"/>
      </left>
      <right/>
      <top/>
      <bottom/>
      <diagonal/>
    </border>
    <border>
      <left style="thin">
        <color rgb="FFA6A6A6"/>
      </left>
      <right style="thin">
        <color rgb="FFA6A6A6"/>
      </right>
      <top style="thin">
        <color rgb="FFA6A6A6"/>
      </top>
      <bottom/>
      <diagonal/>
    </border>
    <border>
      <left style="thin">
        <color rgb="FFA6A6A6"/>
      </left>
      <right style="thin">
        <color rgb="FFA6A6A6"/>
      </right>
      <top/>
      <bottom/>
      <diagonal/>
    </border>
    <border>
      <left style="thin">
        <color rgb="FFA6A6A6"/>
      </left>
      <right style="thin">
        <color rgb="FFA6A6A6"/>
      </right>
      <top/>
      <bottom style="thin">
        <color rgb="FFA6A6A6"/>
      </bottom>
      <diagonal/>
    </border>
  </borders>
  <cellStyleXfs count="21">
    <xf numFmtId="0" fontId="0" fillId="0" borderId="0"/>
    <xf numFmtId="0" fontId="2" fillId="3" borderId="0">
      <alignment horizontal="left" vertical="top" wrapText="1"/>
    </xf>
    <xf numFmtId="0" fontId="2" fillId="3" borderId="0">
      <alignment horizontal="left" vertical="top" wrapText="1"/>
    </xf>
    <xf numFmtId="0" fontId="3" fillId="4" borderId="0">
      <alignment horizontal="left" vertical="top" wrapText="1"/>
    </xf>
    <xf numFmtId="0" fontId="4" fillId="4" borderId="0">
      <alignment horizontal="left" vertical="top" wrapText="1"/>
    </xf>
    <xf numFmtId="0" fontId="3"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5" fillId="4" borderId="0">
      <alignment horizontal="left" vertical="top" wrapText="1"/>
    </xf>
    <xf numFmtId="0" fontId="6" fillId="4" borderId="0">
      <alignment horizontal="left" vertical="top" wrapText="1"/>
    </xf>
    <xf numFmtId="0" fontId="5" fillId="4" borderId="0">
      <alignment horizontal="left" vertical="top" wrapText="1"/>
    </xf>
    <xf numFmtId="0" fontId="3" fillId="4" borderId="0">
      <alignment horizontal="right" vertical="top" wrapText="1"/>
    </xf>
    <xf numFmtId="0" fontId="3" fillId="4" borderId="0">
      <alignment horizontal="left" vertical="top" wrapText="1"/>
    </xf>
    <xf numFmtId="0" fontId="4" fillId="4" borderId="0">
      <alignment horizontal="left" vertical="top" wrapText="1"/>
    </xf>
    <xf numFmtId="0" fontId="7" fillId="0" borderId="0" applyNumberFormat="0" applyFill="0" applyBorder="0" applyAlignment="0" applyProtection="0"/>
    <xf numFmtId="0" fontId="4" fillId="5" borderId="0">
      <alignment horizontal="left" vertical="top" wrapText="1"/>
    </xf>
    <xf numFmtId="0" fontId="5" fillId="4" borderId="0">
      <alignment horizontal="left" vertical="top" wrapText="1"/>
    </xf>
    <xf numFmtId="9" fontId="13" fillId="0" borderId="0" applyFont="0" applyFill="0" applyBorder="0" applyAlignment="0" applyProtection="0"/>
    <xf numFmtId="43" fontId="13" fillId="0" borderId="0" applyFont="0" applyFill="0" applyBorder="0" applyAlignment="0" applyProtection="0"/>
  </cellStyleXfs>
  <cellXfs count="282">
    <xf numFmtId="0" fontId="0" fillId="0" borderId="0" xfId="0"/>
    <xf numFmtId="0" fontId="1" fillId="2" borderId="1" xfId="0" applyFont="1" applyFill="1" applyBorder="1" applyAlignment="1">
      <alignment horizontal="center" vertical="center" wrapText="1"/>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0" fillId="0" borderId="1" xfId="0" applyBorder="1" applyAlignment="1">
      <alignment horizontal="center"/>
    </xf>
    <xf numFmtId="0" fontId="0" fillId="0" borderId="1" xfId="0" applyBorder="1" applyAlignment="1">
      <alignment horizontal="left" vertical="top"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1" xfId="0" applyBorder="1" applyAlignment="1">
      <alignment horizontal="center" vertical="top" wrapText="1"/>
    </xf>
    <xf numFmtId="0" fontId="0" fillId="0" borderId="0" xfId="0" applyAlignment="1">
      <alignment vertical="center"/>
    </xf>
    <xf numFmtId="0" fontId="0" fillId="0" borderId="0" xfId="0" applyAlignment="1">
      <alignment horizontal="right" vertical="top"/>
    </xf>
    <xf numFmtId="14" fontId="0" fillId="0" borderId="1" xfId="0" quotePrefix="1" applyNumberFormat="1" applyBorder="1" applyAlignment="1">
      <alignment horizontal="center" vertical="top" wrapText="1"/>
    </xf>
    <xf numFmtId="0" fontId="7" fillId="0" borderId="0" xfId="16" applyFill="1" applyAlignment="1">
      <alignment horizontal="left" vertical="top"/>
    </xf>
    <xf numFmtId="0" fontId="0" fillId="0" borderId="0" xfId="0" applyAlignment="1">
      <alignment horizontal="left" vertical="top"/>
    </xf>
    <xf numFmtId="0" fontId="8" fillId="0" borderId="0" xfId="0" applyFont="1" applyAlignment="1">
      <alignment horizontal="left" vertical="top"/>
    </xf>
    <xf numFmtId="164" fontId="8" fillId="0" borderId="0" xfId="0" applyNumberFormat="1" applyFont="1" applyAlignment="1">
      <alignment horizontal="left" vertical="top"/>
    </xf>
    <xf numFmtId="0" fontId="11" fillId="0" borderId="0" xfId="0" applyFont="1" applyAlignment="1">
      <alignment horizontal="left" vertical="top"/>
    </xf>
    <xf numFmtId="0" fontId="10" fillId="0" borderId="0" xfId="0" applyFont="1" applyAlignment="1">
      <alignment horizontal="left" vertical="top"/>
    </xf>
    <xf numFmtId="0" fontId="12" fillId="6" borderId="3" xfId="0" applyFont="1" applyFill="1" applyBorder="1" applyAlignment="1">
      <alignment horizontal="left" vertical="top" wrapText="1"/>
    </xf>
    <xf numFmtId="0" fontId="1" fillId="0" borderId="0" xfId="0" applyFont="1" applyAlignment="1">
      <alignment horizontal="left" vertical="top"/>
    </xf>
    <xf numFmtId="0" fontId="7" fillId="0" borderId="0" xfId="16" applyFill="1" applyBorder="1" applyAlignment="1">
      <alignment horizontal="left" vertical="top"/>
    </xf>
    <xf numFmtId="0" fontId="9" fillId="0" borderId="0" xfId="0" applyFont="1" applyAlignment="1">
      <alignment horizontal="center" vertical="center"/>
    </xf>
    <xf numFmtId="14" fontId="0" fillId="0" borderId="1" xfId="0" applyNumberFormat="1" applyBorder="1" applyAlignment="1">
      <alignment horizontal="center" vertical="top" wrapText="1"/>
    </xf>
    <xf numFmtId="0" fontId="0" fillId="6" borderId="4" xfId="0" applyFill="1" applyBorder="1" applyAlignment="1">
      <alignment horizontal="right" vertical="top"/>
    </xf>
    <xf numFmtId="0" fontId="0" fillId="0" borderId="0" xfId="0" applyAlignment="1">
      <alignment horizontal="right"/>
    </xf>
    <xf numFmtId="0" fontId="0" fillId="6" borderId="0" xfId="0" applyFill="1" applyAlignment="1">
      <alignment horizontal="right" vertical="top"/>
    </xf>
    <xf numFmtId="0" fontId="0" fillId="0" borderId="4"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1" fontId="8" fillId="0" borderId="0" xfId="0" applyNumberFormat="1" applyFont="1" applyAlignment="1">
      <alignment horizontal="left" vertical="top"/>
    </xf>
    <xf numFmtId="0" fontId="0" fillId="0" borderId="0" xfId="0" applyAlignment="1">
      <alignment vertical="center" wrapText="1"/>
    </xf>
    <xf numFmtId="0" fontId="7" fillId="0" borderId="0" xfId="16"/>
    <xf numFmtId="2" fontId="0" fillId="0" borderId="0" xfId="0" applyNumberFormat="1" applyAlignment="1">
      <alignment horizontal="right"/>
    </xf>
    <xf numFmtId="0" fontId="1" fillId="6" borderId="0" xfId="0" applyFont="1" applyFill="1" applyAlignment="1">
      <alignment horizontal="right" vertical="top"/>
    </xf>
    <xf numFmtId="0" fontId="1" fillId="6" borderId="4" xfId="0" applyFont="1" applyFill="1" applyBorder="1" applyAlignment="1">
      <alignment horizontal="right" vertical="top"/>
    </xf>
    <xf numFmtId="0" fontId="1" fillId="6" borderId="3" xfId="0" applyFont="1" applyFill="1" applyBorder="1" applyAlignment="1">
      <alignment horizontal="left" vertical="top"/>
    </xf>
    <xf numFmtId="0" fontId="0" fillId="6" borderId="3" xfId="0" applyFill="1" applyBorder="1"/>
    <xf numFmtId="0" fontId="0" fillId="6" borderId="5" xfId="0" applyFill="1" applyBorder="1"/>
    <xf numFmtId="0" fontId="0" fillId="6" borderId="3" xfId="0" applyFill="1" applyBorder="1" applyAlignment="1">
      <alignment horizontal="left" vertical="top"/>
    </xf>
    <xf numFmtId="0" fontId="0" fillId="6" borderId="5" xfId="0" applyFill="1" applyBorder="1" applyAlignment="1">
      <alignment horizontal="left" vertical="top"/>
    </xf>
    <xf numFmtId="0" fontId="0" fillId="6" borderId="8" xfId="0" applyFill="1" applyBorder="1" applyAlignment="1">
      <alignment horizontal="right" vertical="top"/>
    </xf>
    <xf numFmtId="0" fontId="0" fillId="6" borderId="7" xfId="0" applyFill="1" applyBorder="1" applyAlignment="1">
      <alignment horizontal="right" vertical="top"/>
    </xf>
    <xf numFmtId="0" fontId="0" fillId="0" borderId="0" xfId="0" applyAlignment="1">
      <alignment horizontal="right" vertical="top" wrapText="1"/>
    </xf>
    <xf numFmtId="0" fontId="0" fillId="6" borderId="4" xfId="0" applyFill="1" applyBorder="1"/>
    <xf numFmtId="9" fontId="0" fillId="0" borderId="0" xfId="19" applyFont="1" applyBorder="1" applyAlignment="1">
      <alignment horizontal="right" vertical="top"/>
    </xf>
    <xf numFmtId="0" fontId="0" fillId="6" borderId="0" xfId="0" applyFill="1" applyAlignment="1">
      <alignment horizontal="right" vertical="top" wrapText="1"/>
    </xf>
    <xf numFmtId="0" fontId="0" fillId="6" borderId="0" xfId="0" applyFill="1" applyAlignment="1">
      <alignment horizontal="right"/>
    </xf>
    <xf numFmtId="2" fontId="0" fillId="0" borderId="0" xfId="0" applyNumberFormat="1"/>
    <xf numFmtId="14" fontId="0" fillId="0" borderId="0" xfId="0" applyNumberFormat="1"/>
    <xf numFmtId="0" fontId="0" fillId="6" borderId="0" xfId="0" applyFill="1"/>
    <xf numFmtId="0" fontId="0" fillId="6" borderId="8" xfId="0" applyFill="1" applyBorder="1" applyAlignment="1">
      <alignment horizontal="right"/>
    </xf>
    <xf numFmtId="0" fontId="1" fillId="6" borderId="3" xfId="0" applyFont="1" applyFill="1" applyBorder="1" applyAlignment="1">
      <alignment horizontal="right" vertical="top"/>
    </xf>
    <xf numFmtId="0" fontId="1" fillId="6" borderId="2" xfId="0" applyFont="1" applyFill="1" applyBorder="1" applyAlignment="1">
      <alignment horizontal="right" vertical="top"/>
    </xf>
    <xf numFmtId="0" fontId="0" fillId="6" borderId="7" xfId="0" applyFill="1" applyBorder="1" applyAlignment="1">
      <alignment horizontal="right"/>
    </xf>
    <xf numFmtId="0" fontId="0" fillId="6" borderId="0" xfId="0" applyFill="1" applyAlignment="1">
      <alignment horizontal="left" vertical="top"/>
    </xf>
    <xf numFmtId="0" fontId="1" fillId="6" borderId="0" xfId="0" applyFont="1" applyFill="1" applyAlignment="1">
      <alignment horizontal="left" vertical="top"/>
    </xf>
    <xf numFmtId="0" fontId="12" fillId="6" borderId="2" xfId="0" applyFont="1" applyFill="1" applyBorder="1" applyAlignment="1">
      <alignment horizontal="right" vertical="top" wrapText="1"/>
    </xf>
    <xf numFmtId="0" fontId="0" fillId="0" borderId="3" xfId="0" applyBorder="1" applyAlignment="1">
      <alignment horizontal="right" vertical="top"/>
    </xf>
    <xf numFmtId="0" fontId="12" fillId="7" borderId="3" xfId="0" applyFont="1" applyFill="1" applyBorder="1" applyAlignment="1">
      <alignment horizontal="left" vertical="top" wrapText="1"/>
    </xf>
    <xf numFmtId="0" fontId="0" fillId="7" borderId="4" xfId="0" applyFill="1" applyBorder="1" applyAlignment="1">
      <alignment horizontal="right" vertical="top"/>
    </xf>
    <xf numFmtId="164" fontId="0" fillId="0" borderId="0" xfId="0" applyNumberFormat="1" applyAlignment="1">
      <alignment horizontal="left" vertical="top"/>
    </xf>
    <xf numFmtId="2" fontId="0" fillId="0" borderId="4" xfId="0" applyNumberFormat="1" applyBorder="1" applyAlignment="1">
      <alignment horizontal="right"/>
    </xf>
    <xf numFmtId="164" fontId="0" fillId="0" borderId="4" xfId="0" applyNumberFormat="1" applyBorder="1" applyAlignment="1">
      <alignment horizontal="right"/>
    </xf>
    <xf numFmtId="165" fontId="0" fillId="0" borderId="0" xfId="19" applyNumberFormat="1" applyFont="1" applyAlignment="1">
      <alignment horizontal="left" vertical="top"/>
    </xf>
    <xf numFmtId="165" fontId="0" fillId="0" borderId="4" xfId="19" applyNumberFormat="1" applyFont="1" applyBorder="1" applyAlignment="1">
      <alignment horizontal="right"/>
    </xf>
    <xf numFmtId="0" fontId="0" fillId="0" borderId="0" xfId="0" applyAlignment="1">
      <alignment horizontal="left" vertical="center" wrapText="1"/>
    </xf>
    <xf numFmtId="2" fontId="0" fillId="0" borderId="0" xfId="0" applyNumberFormat="1" applyAlignment="1">
      <alignment horizontal="left" vertical="center" wrapText="1"/>
    </xf>
    <xf numFmtId="164" fontId="0" fillId="0" borderId="0" xfId="0" applyNumberFormat="1" applyAlignment="1">
      <alignment horizontal="left" vertical="center" wrapText="1"/>
    </xf>
    <xf numFmtId="10" fontId="0" fillId="0" borderId="0" xfId="19" applyNumberFormat="1" applyFont="1" applyAlignment="1">
      <alignment horizontal="left" vertical="center" wrapText="1"/>
    </xf>
    <xf numFmtId="165" fontId="0" fillId="0" borderId="0" xfId="19" applyNumberFormat="1" applyFont="1" applyAlignment="1">
      <alignment horizontal="left" vertical="center" wrapText="1"/>
    </xf>
    <xf numFmtId="165" fontId="0" fillId="0" borderId="0" xfId="19" applyNumberFormat="1" applyFont="1" applyBorder="1" applyAlignment="1">
      <alignment horizontal="left" vertical="top"/>
    </xf>
    <xf numFmtId="165" fontId="0" fillId="0" borderId="0" xfId="19" applyNumberFormat="1" applyFont="1" applyBorder="1" applyAlignment="1">
      <alignment horizontal="left"/>
    </xf>
    <xf numFmtId="165" fontId="0" fillId="0" borderId="0" xfId="19" applyNumberFormat="1" applyFont="1" applyBorder="1" applyAlignment="1">
      <alignment horizontal="right" vertical="top"/>
    </xf>
    <xf numFmtId="165" fontId="0" fillId="0" borderId="9" xfId="19" applyNumberFormat="1" applyFont="1" applyBorder="1" applyAlignment="1">
      <alignment horizontal="right" vertical="top"/>
    </xf>
    <xf numFmtId="164" fontId="0" fillId="0" borderId="0" xfId="0" applyNumberFormat="1" applyAlignment="1">
      <alignment horizontal="right"/>
    </xf>
    <xf numFmtId="165" fontId="0" fillId="0" borderId="0" xfId="19" applyNumberFormat="1" applyFont="1" applyBorder="1" applyAlignment="1">
      <alignment horizontal="right"/>
    </xf>
    <xf numFmtId="10" fontId="0" fillId="0" borderId="0" xfId="19" applyNumberFormat="1" applyFont="1" applyBorder="1" applyAlignment="1">
      <alignment horizontal="right"/>
    </xf>
    <xf numFmtId="0" fontId="7" fillId="0" borderId="0" xfId="16" applyAlignment="1">
      <alignment vertical="top"/>
    </xf>
    <xf numFmtId="0" fontId="1" fillId="6" borderId="3" xfId="0" applyFont="1" applyFill="1" applyBorder="1" applyAlignment="1">
      <alignment vertical="top"/>
    </xf>
    <xf numFmtId="10" fontId="0" fillId="6" borderId="3" xfId="19" applyNumberFormat="1" applyFont="1" applyFill="1" applyBorder="1" applyAlignment="1">
      <alignment horizontal="left" vertical="top"/>
    </xf>
    <xf numFmtId="10" fontId="0" fillId="6" borderId="5" xfId="19" applyNumberFormat="1" applyFont="1" applyFill="1" applyBorder="1" applyAlignment="1">
      <alignment horizontal="left" vertical="top"/>
    </xf>
    <xf numFmtId="165" fontId="0" fillId="0" borderId="4" xfId="19" applyNumberFormat="1" applyFont="1" applyBorder="1" applyAlignment="1">
      <alignment horizontal="right" vertical="top"/>
    </xf>
    <xf numFmtId="165" fontId="0" fillId="0" borderId="6" xfId="19" applyNumberFormat="1" applyFont="1" applyBorder="1" applyAlignment="1">
      <alignment horizontal="right" vertical="top"/>
    </xf>
    <xf numFmtId="1" fontId="0" fillId="6" borderId="3" xfId="19" applyNumberFormat="1" applyFont="1" applyFill="1" applyBorder="1" applyAlignment="1">
      <alignment horizontal="left" vertical="top"/>
    </xf>
    <xf numFmtId="1" fontId="0" fillId="6" borderId="5" xfId="19" applyNumberFormat="1" applyFont="1" applyFill="1" applyBorder="1" applyAlignment="1">
      <alignment horizontal="left" vertical="top"/>
    </xf>
    <xf numFmtId="164" fontId="0" fillId="0" borderId="0" xfId="19" applyNumberFormat="1" applyFont="1" applyAlignment="1">
      <alignment horizontal="left" vertical="center" wrapText="1"/>
    </xf>
    <xf numFmtId="164" fontId="0" fillId="0" borderId="0" xfId="19" applyNumberFormat="1" applyFont="1" applyBorder="1" applyAlignment="1">
      <alignment horizontal="right" vertical="top"/>
    </xf>
    <xf numFmtId="164" fontId="0" fillId="0" borderId="4" xfId="19" applyNumberFormat="1" applyFont="1" applyBorder="1" applyAlignment="1">
      <alignment horizontal="right" vertical="top"/>
    </xf>
    <xf numFmtId="164" fontId="0" fillId="0" borderId="9" xfId="19" applyNumberFormat="1" applyFont="1" applyBorder="1" applyAlignment="1">
      <alignment horizontal="right" vertical="top"/>
    </xf>
    <xf numFmtId="164" fontId="0" fillId="0" borderId="6" xfId="19" applyNumberFormat="1" applyFont="1" applyBorder="1" applyAlignment="1">
      <alignment horizontal="right" vertical="top"/>
    </xf>
    <xf numFmtId="0" fontId="0" fillId="0" borderId="4" xfId="0" applyBorder="1" applyAlignment="1">
      <alignment horizontal="right" vertical="top"/>
    </xf>
    <xf numFmtId="0" fontId="0" fillId="6" borderId="3" xfId="0" applyFill="1" applyBorder="1" applyAlignment="1">
      <alignment vertical="center" wrapText="1"/>
    </xf>
    <xf numFmtId="0" fontId="0" fillId="6" borderId="5" xfId="0" applyFill="1" applyBorder="1" applyAlignment="1">
      <alignment vertical="center" wrapText="1"/>
    </xf>
    <xf numFmtId="164" fontId="0" fillId="0" borderId="6" xfId="0" applyNumberFormat="1" applyBorder="1" applyAlignment="1">
      <alignment horizontal="right"/>
    </xf>
    <xf numFmtId="0" fontId="7" fillId="8" borderId="3" xfId="16" applyFill="1" applyBorder="1" applyAlignment="1">
      <alignment vertical="center" wrapText="1"/>
    </xf>
    <xf numFmtId="0" fontId="14" fillId="8" borderId="5" xfId="0" applyFont="1" applyFill="1" applyBorder="1" applyAlignment="1">
      <alignment horizontal="left" vertical="top"/>
    </xf>
    <xf numFmtId="0" fontId="1" fillId="6" borderId="2" xfId="0" applyFont="1" applyFill="1" applyBorder="1" applyAlignment="1">
      <alignment horizontal="right"/>
    </xf>
    <xf numFmtId="14" fontId="0" fillId="6" borderId="3" xfId="0" applyNumberFormat="1" applyFill="1" applyBorder="1" applyAlignment="1">
      <alignment horizontal="left"/>
    </xf>
    <xf numFmtId="14" fontId="0" fillId="6" borderId="5" xfId="0" applyNumberFormat="1" applyFill="1" applyBorder="1" applyAlignment="1">
      <alignment horizontal="left"/>
    </xf>
    <xf numFmtId="0" fontId="1" fillId="6" borderId="10" xfId="0" applyFont="1" applyFill="1" applyBorder="1" applyAlignment="1">
      <alignment horizontal="right"/>
    </xf>
    <xf numFmtId="0" fontId="0" fillId="6" borderId="11" xfId="0" applyFill="1" applyBorder="1" applyAlignment="1">
      <alignment horizontal="right"/>
    </xf>
    <xf numFmtId="0" fontId="12" fillId="6" borderId="13" xfId="0" applyFont="1" applyFill="1" applyBorder="1" applyAlignment="1">
      <alignment horizontal="left" vertical="top" wrapText="1"/>
    </xf>
    <xf numFmtId="0" fontId="0" fillId="6" borderId="13" xfId="0" applyFill="1" applyBorder="1" applyAlignment="1">
      <alignment horizontal="left" vertical="top"/>
    </xf>
    <xf numFmtId="0" fontId="0" fillId="6" borderId="13" xfId="0" applyFill="1" applyBorder="1" applyAlignment="1">
      <alignment vertical="center" wrapText="1"/>
    </xf>
    <xf numFmtId="0" fontId="0" fillId="6" borderId="15" xfId="0" applyFill="1" applyBorder="1" applyAlignment="1">
      <alignment vertical="center" wrapText="1"/>
    </xf>
    <xf numFmtId="1" fontId="0" fillId="0" borderId="0" xfId="0" applyNumberFormat="1" applyAlignment="1">
      <alignment horizontal="left" vertical="center" wrapText="1"/>
    </xf>
    <xf numFmtId="1" fontId="0" fillId="0" borderId="4" xfId="0" applyNumberFormat="1" applyBorder="1" applyAlignment="1">
      <alignment horizontal="right"/>
    </xf>
    <xf numFmtId="0" fontId="12" fillId="6" borderId="3" xfId="0" applyFont="1" applyFill="1" applyBorder="1" applyAlignment="1">
      <alignment horizontal="right" vertical="top" wrapText="1"/>
    </xf>
    <xf numFmtId="0" fontId="0" fillId="7" borderId="0" xfId="0" applyFill="1" applyAlignment="1">
      <alignment horizontal="right" vertical="top"/>
    </xf>
    <xf numFmtId="1" fontId="0" fillId="0" borderId="0" xfId="0" applyNumberFormat="1" applyAlignment="1">
      <alignment horizontal="right"/>
    </xf>
    <xf numFmtId="165" fontId="0" fillId="0" borderId="0" xfId="19" applyNumberFormat="1" applyFont="1" applyAlignment="1">
      <alignment horizontal="right" vertical="top"/>
    </xf>
    <xf numFmtId="0" fontId="0" fillId="6" borderId="3" xfId="0" applyFill="1" applyBorder="1" applyAlignment="1">
      <alignment horizontal="left"/>
    </xf>
    <xf numFmtId="165" fontId="0" fillId="0" borderId="0" xfId="19" applyNumberFormat="1" applyFont="1" applyFill="1" applyBorder="1" applyAlignment="1">
      <alignment horizontal="left" vertical="top"/>
    </xf>
    <xf numFmtId="0" fontId="0" fillId="6" borderId="5" xfId="0" applyFill="1" applyBorder="1" applyAlignment="1">
      <alignment horizontal="left"/>
    </xf>
    <xf numFmtId="165" fontId="0" fillId="0" borderId="9" xfId="19" applyNumberFormat="1" applyFont="1" applyBorder="1" applyAlignment="1">
      <alignment horizontal="right"/>
    </xf>
    <xf numFmtId="165" fontId="0" fillId="0" borderId="6" xfId="19" applyNumberFormat="1" applyFont="1" applyBorder="1" applyAlignment="1">
      <alignment horizontal="right"/>
    </xf>
    <xf numFmtId="0" fontId="1" fillId="6" borderId="10" xfId="0" applyFont="1" applyFill="1" applyBorder="1" applyAlignment="1">
      <alignment horizontal="right" vertical="top"/>
    </xf>
    <xf numFmtId="0" fontId="1" fillId="6" borderId="13" xfId="0" applyFont="1" applyFill="1" applyBorder="1" applyAlignment="1">
      <alignment horizontal="left" vertical="top"/>
    </xf>
    <xf numFmtId="0" fontId="0" fillId="6" borderId="14" xfId="0" applyFill="1" applyBorder="1" applyAlignment="1">
      <alignment horizontal="right" vertical="top" wrapText="1"/>
    </xf>
    <xf numFmtId="0" fontId="0" fillId="6" borderId="13" xfId="0" applyFill="1" applyBorder="1" applyAlignment="1">
      <alignment horizontal="left"/>
    </xf>
    <xf numFmtId="165" fontId="0" fillId="0" borderId="14" xfId="19" applyNumberFormat="1" applyFont="1" applyBorder="1" applyAlignment="1">
      <alignment horizontal="right"/>
    </xf>
    <xf numFmtId="0" fontId="1" fillId="0" borderId="15" xfId="0" applyFont="1" applyBorder="1"/>
    <xf numFmtId="165" fontId="0" fillId="0" borderId="16" xfId="19" applyNumberFormat="1" applyFont="1" applyBorder="1" applyAlignment="1">
      <alignment horizontal="right"/>
    </xf>
    <xf numFmtId="2" fontId="0" fillId="0" borderId="0" xfId="0" applyNumberFormat="1" applyAlignment="1">
      <alignment horizontal="right" vertical="top"/>
    </xf>
    <xf numFmtId="14" fontId="0" fillId="6" borderId="5" xfId="0" applyNumberFormat="1" applyFill="1" applyBorder="1" applyAlignment="1">
      <alignment horizontal="left" vertical="top"/>
    </xf>
    <xf numFmtId="2" fontId="0" fillId="0" borderId="9" xfId="0" applyNumberFormat="1" applyBorder="1" applyAlignment="1">
      <alignment horizontal="right"/>
    </xf>
    <xf numFmtId="0" fontId="7" fillId="8" borderId="3" xfId="16" applyFill="1" applyBorder="1" applyAlignment="1">
      <alignment horizontal="left"/>
    </xf>
    <xf numFmtId="0" fontId="0" fillId="6" borderId="15" xfId="0" applyFill="1" applyBorder="1" applyAlignment="1">
      <alignment horizontal="left" vertical="top"/>
    </xf>
    <xf numFmtId="0" fontId="7" fillId="8" borderId="13" xfId="16" applyFill="1" applyBorder="1" applyAlignment="1">
      <alignment vertical="center" wrapText="1"/>
    </xf>
    <xf numFmtId="165" fontId="0" fillId="6" borderId="13" xfId="19" applyNumberFormat="1" applyFont="1" applyFill="1" applyBorder="1" applyAlignment="1">
      <alignment horizontal="left" vertical="top"/>
    </xf>
    <xf numFmtId="164" fontId="0" fillId="6" borderId="13" xfId="0" applyNumberFormat="1" applyFill="1" applyBorder="1" applyAlignment="1">
      <alignment horizontal="left" vertical="top"/>
    </xf>
    <xf numFmtId="165" fontId="7" fillId="8" borderId="13" xfId="16" applyNumberFormat="1" applyFill="1" applyBorder="1" applyAlignment="1">
      <alignment vertical="center" wrapText="1"/>
    </xf>
    <xf numFmtId="165" fontId="0" fillId="6" borderId="15" xfId="19" applyNumberFormat="1" applyFont="1" applyFill="1" applyBorder="1" applyAlignment="1">
      <alignment horizontal="left" vertical="top"/>
    </xf>
    <xf numFmtId="0" fontId="0" fillId="6" borderId="12" xfId="0" applyFill="1" applyBorder="1" applyAlignment="1">
      <alignment horizontal="right"/>
    </xf>
    <xf numFmtId="0" fontId="1" fillId="6" borderId="14" xfId="0" applyFont="1" applyFill="1" applyBorder="1" applyAlignment="1">
      <alignment horizontal="right" vertical="top"/>
    </xf>
    <xf numFmtId="165" fontId="0" fillId="0" borderId="17" xfId="19" applyNumberFormat="1" applyFont="1" applyBorder="1" applyAlignment="1">
      <alignment horizontal="right"/>
    </xf>
    <xf numFmtId="0" fontId="0" fillId="0" borderId="13" xfId="0" applyBorder="1" applyAlignment="1">
      <alignment horizontal="right" vertical="top"/>
    </xf>
    <xf numFmtId="0" fontId="12" fillId="6" borderId="10" xfId="0" applyFont="1" applyFill="1" applyBorder="1" applyAlignment="1">
      <alignment horizontal="right" vertical="top" wrapText="1"/>
    </xf>
    <xf numFmtId="0" fontId="0" fillId="6" borderId="11" xfId="0" applyFill="1" applyBorder="1" applyAlignment="1">
      <alignment horizontal="right" vertical="top"/>
    </xf>
    <xf numFmtId="0" fontId="1" fillId="6" borderId="13" xfId="0" applyFont="1" applyFill="1" applyBorder="1" applyAlignment="1">
      <alignment vertical="top"/>
    </xf>
    <xf numFmtId="0" fontId="0" fillId="0" borderId="13" xfId="0" applyBorder="1" applyAlignment="1">
      <alignment vertical="center" wrapText="1"/>
    </xf>
    <xf numFmtId="0" fontId="1" fillId="0" borderId="13" xfId="0" applyFont="1" applyBorder="1" applyAlignment="1">
      <alignment vertical="center" wrapText="1"/>
    </xf>
    <xf numFmtId="164" fontId="0" fillId="0" borderId="16" xfId="0" applyNumberFormat="1" applyBorder="1" applyAlignment="1">
      <alignment horizontal="right"/>
    </xf>
    <xf numFmtId="0" fontId="1" fillId="6" borderId="13" xfId="0" applyFont="1" applyFill="1" applyBorder="1" applyAlignment="1">
      <alignment horizontal="right" vertical="top"/>
    </xf>
    <xf numFmtId="0" fontId="0" fillId="6" borderId="14" xfId="0" applyFill="1" applyBorder="1" applyAlignment="1">
      <alignment horizontal="right" vertical="top"/>
    </xf>
    <xf numFmtId="14" fontId="0" fillId="6" borderId="3" xfId="0" applyNumberFormat="1" applyFill="1" applyBorder="1" applyAlignment="1">
      <alignment horizontal="left" vertical="center" wrapText="1"/>
    </xf>
    <xf numFmtId="14" fontId="0" fillId="6" borderId="5" xfId="0" applyNumberFormat="1" applyFill="1" applyBorder="1" applyAlignment="1">
      <alignment horizontal="left" vertical="center" wrapText="1"/>
    </xf>
    <xf numFmtId="0" fontId="0" fillId="6" borderId="12" xfId="0" applyFill="1" applyBorder="1" applyAlignment="1">
      <alignment horizontal="right" vertical="top"/>
    </xf>
    <xf numFmtId="0" fontId="12" fillId="7" borderId="13" xfId="0" applyFont="1" applyFill="1" applyBorder="1" applyAlignment="1">
      <alignment horizontal="left" vertical="top" wrapText="1"/>
    </xf>
    <xf numFmtId="0" fontId="0" fillId="7" borderId="14" xfId="0" applyFill="1" applyBorder="1" applyAlignment="1">
      <alignment horizontal="right" vertical="top"/>
    </xf>
    <xf numFmtId="0" fontId="0" fillId="0" borderId="14" xfId="0" applyBorder="1" applyAlignment="1">
      <alignment horizontal="right"/>
    </xf>
    <xf numFmtId="0" fontId="0" fillId="7" borderId="13" xfId="0" applyFill="1" applyBorder="1" applyAlignment="1">
      <alignment horizontal="left" vertical="top"/>
    </xf>
    <xf numFmtId="0" fontId="1" fillId="7" borderId="13" xfId="0" applyFont="1" applyFill="1" applyBorder="1" applyAlignment="1">
      <alignment horizontal="left" vertical="top"/>
    </xf>
    <xf numFmtId="0" fontId="0" fillId="6" borderId="13" xfId="0" applyFill="1" applyBorder="1" applyAlignment="1">
      <alignment vertical="top"/>
    </xf>
    <xf numFmtId="164" fontId="0" fillId="0" borderId="14" xfId="0" applyNumberFormat="1" applyBorder="1" applyAlignment="1">
      <alignment horizontal="right"/>
    </xf>
    <xf numFmtId="0" fontId="0" fillId="6" borderId="14" xfId="0" applyFill="1" applyBorder="1" applyAlignment="1">
      <alignment horizontal="right"/>
    </xf>
    <xf numFmtId="2" fontId="0" fillId="0" borderId="14" xfId="0" applyNumberFormat="1" applyBorder="1" applyAlignment="1">
      <alignment horizontal="right"/>
    </xf>
    <xf numFmtId="0" fontId="0" fillId="0" borderId="14" xfId="0" applyBorder="1" applyAlignment="1">
      <alignment horizontal="right" vertical="top"/>
    </xf>
    <xf numFmtId="10" fontId="0" fillId="0" borderId="14" xfId="19" applyNumberFormat="1" applyFont="1" applyBorder="1" applyAlignment="1">
      <alignment horizontal="right"/>
    </xf>
    <xf numFmtId="164" fontId="0" fillId="0" borderId="17" xfId="0" applyNumberFormat="1" applyBorder="1" applyAlignment="1">
      <alignment horizontal="right"/>
    </xf>
    <xf numFmtId="0" fontId="0" fillId="6" borderId="13" xfId="0" applyFill="1" applyBorder="1"/>
    <xf numFmtId="0" fontId="0" fillId="6" borderId="15" xfId="0" applyFill="1" applyBorder="1"/>
    <xf numFmtId="0" fontId="1" fillId="6" borderId="13" xfId="0" applyFont="1" applyFill="1" applyBorder="1" applyAlignment="1">
      <alignment horizontal="right"/>
    </xf>
    <xf numFmtId="0" fontId="1" fillId="6" borderId="13" xfId="0" applyFont="1" applyFill="1" applyBorder="1"/>
    <xf numFmtId="2" fontId="0" fillId="0" borderId="0" xfId="0" applyNumberFormat="1" applyAlignment="1">
      <alignment horizontal="left" vertical="top"/>
    </xf>
    <xf numFmtId="2" fontId="0" fillId="7" borderId="9" xfId="0" applyNumberFormat="1" applyFill="1" applyBorder="1" applyAlignment="1">
      <alignment horizontal="right" vertical="top"/>
    </xf>
    <xf numFmtId="2" fontId="0" fillId="7" borderId="6" xfId="0" applyNumberFormat="1" applyFill="1" applyBorder="1" applyAlignment="1">
      <alignment horizontal="right" vertical="top"/>
    </xf>
    <xf numFmtId="1" fontId="0" fillId="0" borderId="14" xfId="0" applyNumberFormat="1" applyBorder="1" applyAlignment="1">
      <alignment horizontal="right"/>
    </xf>
    <xf numFmtId="0" fontId="14" fillId="0" borderId="16" xfId="0" applyFont="1" applyBorder="1" applyAlignment="1">
      <alignment horizontal="right" vertical="top"/>
    </xf>
    <xf numFmtId="0" fontId="1" fillId="6" borderId="3" xfId="0" applyFont="1" applyFill="1" applyBorder="1" applyAlignment="1">
      <alignment horizontal="right"/>
    </xf>
    <xf numFmtId="0" fontId="0" fillId="6" borderId="4" xfId="0" applyFill="1" applyBorder="1" applyAlignment="1">
      <alignment horizontal="right"/>
    </xf>
    <xf numFmtId="0" fontId="1" fillId="6" borderId="3" xfId="0" applyFont="1" applyFill="1" applyBorder="1"/>
    <xf numFmtId="0" fontId="0" fillId="9" borderId="11" xfId="0" applyFill="1" applyBorder="1" applyAlignment="1">
      <alignment horizontal="right" vertical="top"/>
    </xf>
    <xf numFmtId="0" fontId="0" fillId="9" borderId="12" xfId="0" applyFill="1" applyBorder="1" applyAlignment="1">
      <alignment horizontal="right" vertical="top"/>
    </xf>
    <xf numFmtId="0" fontId="0" fillId="9" borderId="11" xfId="0" applyFill="1" applyBorder="1" applyAlignment="1">
      <alignment horizontal="right"/>
    </xf>
    <xf numFmtId="0" fontId="0" fillId="9" borderId="12" xfId="0" applyFill="1" applyBorder="1" applyAlignment="1">
      <alignment horizontal="right"/>
    </xf>
    <xf numFmtId="0" fontId="0" fillId="10" borderId="11" xfId="0" applyFill="1" applyBorder="1" applyAlignment="1">
      <alignment horizontal="right" vertical="top"/>
    </xf>
    <xf numFmtId="164" fontId="0" fillId="10" borderId="0" xfId="0" applyNumberFormat="1" applyFill="1" applyAlignment="1">
      <alignment horizontal="right"/>
    </xf>
    <xf numFmtId="0" fontId="0" fillId="11" borderId="12" xfId="0" applyFill="1" applyBorder="1" applyAlignment="1">
      <alignment horizontal="right"/>
    </xf>
    <xf numFmtId="0" fontId="0" fillId="0" borderId="0" xfId="19" applyNumberFormat="1" applyFont="1" applyAlignment="1">
      <alignment horizontal="left" vertical="center" wrapText="1"/>
    </xf>
    <xf numFmtId="0" fontId="0" fillId="0" borderId="4" xfId="19" applyNumberFormat="1" applyFont="1" applyBorder="1" applyAlignment="1">
      <alignment horizontal="right"/>
    </xf>
    <xf numFmtId="164" fontId="0" fillId="0" borderId="4" xfId="19" applyNumberFormat="1" applyFont="1" applyBorder="1" applyAlignment="1">
      <alignment horizontal="right"/>
    </xf>
    <xf numFmtId="0" fontId="7" fillId="8" borderId="3" xfId="16" applyFill="1" applyBorder="1" applyAlignment="1">
      <alignment horizontal="left" vertical="top"/>
    </xf>
    <xf numFmtId="0" fontId="0" fillId="0" borderId="0" xfId="20" applyNumberFormat="1" applyFont="1" applyAlignment="1">
      <alignment horizontal="left" vertical="center" wrapText="1"/>
    </xf>
    <xf numFmtId="0" fontId="0" fillId="0" borderId="6" xfId="19" applyNumberFormat="1" applyFont="1" applyBorder="1" applyAlignment="1">
      <alignment horizontal="right"/>
    </xf>
    <xf numFmtId="1" fontId="0" fillId="0" borderId="0" xfId="0" applyNumberFormat="1" applyAlignment="1">
      <alignment horizontal="left" vertical="top"/>
    </xf>
    <xf numFmtId="0" fontId="0" fillId="6" borderId="15" xfId="0" applyFill="1" applyBorder="1" applyAlignment="1">
      <alignment horizontal="left"/>
    </xf>
    <xf numFmtId="10" fontId="0" fillId="0" borderId="0" xfId="19" applyNumberFormat="1" applyFont="1" applyFill="1" applyBorder="1" applyAlignment="1">
      <alignment horizontal="right"/>
    </xf>
    <xf numFmtId="1" fontId="0" fillId="0" borderId="0" xfId="0" applyNumberFormat="1" applyAlignment="1">
      <alignment horizontal="right" vertical="top"/>
    </xf>
    <xf numFmtId="2" fontId="0" fillId="0" borderId="0" xfId="0" applyNumberFormat="1" applyAlignment="1">
      <alignment horizontal="left" vertical="center"/>
    </xf>
    <xf numFmtId="14" fontId="0" fillId="6" borderId="13" xfId="0" applyNumberFormat="1" applyFill="1" applyBorder="1" applyAlignment="1">
      <alignment horizontal="left"/>
    </xf>
    <xf numFmtId="165" fontId="0" fillId="0" borderId="14" xfId="19" applyNumberFormat="1" applyFont="1" applyBorder="1" applyAlignment="1">
      <alignment horizontal="right" vertical="top"/>
    </xf>
    <xf numFmtId="14" fontId="0" fillId="6" borderId="15" xfId="0" applyNumberFormat="1" applyFill="1" applyBorder="1" applyAlignment="1">
      <alignment horizontal="left"/>
    </xf>
    <xf numFmtId="165" fontId="0" fillId="0" borderId="16" xfId="19" applyNumberFormat="1" applyFont="1" applyBorder="1" applyAlignment="1">
      <alignment horizontal="right" vertical="top"/>
    </xf>
    <xf numFmtId="165" fontId="0" fillId="0" borderId="17" xfId="19" applyNumberFormat="1" applyFont="1" applyBorder="1" applyAlignment="1">
      <alignment horizontal="right" vertical="top"/>
    </xf>
    <xf numFmtId="0" fontId="12" fillId="6" borderId="10" xfId="0" applyFont="1" applyFill="1" applyBorder="1" applyAlignment="1">
      <alignment horizontal="left" vertical="top" wrapText="1"/>
    </xf>
    <xf numFmtId="1" fontId="0" fillId="6" borderId="15" xfId="19" applyNumberFormat="1" applyFont="1" applyFill="1" applyBorder="1" applyAlignment="1">
      <alignment horizontal="left" vertical="top"/>
    </xf>
    <xf numFmtId="0" fontId="8" fillId="6" borderId="13" xfId="0" applyFont="1" applyFill="1" applyBorder="1" applyAlignment="1">
      <alignment horizontal="left" vertical="top" wrapText="1"/>
    </xf>
    <xf numFmtId="166" fontId="0" fillId="0" borderId="0" xfId="19" applyNumberFormat="1" applyFont="1" applyBorder="1" applyAlignment="1">
      <alignment horizontal="left" vertical="top"/>
    </xf>
    <xf numFmtId="165" fontId="0" fillId="0" borderId="0" xfId="19" applyNumberFormat="1" applyFont="1" applyBorder="1" applyAlignment="1">
      <alignment horizontal="left" vertical="center" wrapText="1"/>
    </xf>
    <xf numFmtId="10" fontId="0" fillId="0" borderId="0" xfId="0" applyNumberFormat="1" applyAlignment="1">
      <alignment horizontal="right" vertical="top"/>
    </xf>
    <xf numFmtId="165" fontId="15" fillId="0" borderId="0" xfId="0" applyNumberFormat="1" applyFont="1"/>
    <xf numFmtId="2" fontId="0" fillId="12" borderId="0" xfId="0" applyNumberFormat="1" applyFill="1" applyAlignment="1">
      <alignment horizontal="right"/>
    </xf>
    <xf numFmtId="0" fontId="0" fillId="12" borderId="0" xfId="0" applyFill="1" applyAlignment="1">
      <alignment horizontal="right"/>
    </xf>
    <xf numFmtId="0" fontId="0" fillId="12" borderId="16" xfId="0" applyFill="1" applyBorder="1" applyAlignment="1">
      <alignment horizontal="right"/>
    </xf>
    <xf numFmtId="164" fontId="0" fillId="12" borderId="0" xfId="0" applyNumberFormat="1" applyFill="1" applyAlignment="1">
      <alignment horizontal="right"/>
    </xf>
    <xf numFmtId="10" fontId="0" fillId="12" borderId="0" xfId="19" applyNumberFormat="1" applyFont="1" applyFill="1" applyBorder="1" applyAlignment="1">
      <alignment horizontal="right"/>
    </xf>
    <xf numFmtId="167" fontId="1" fillId="12" borderId="16" xfId="19" applyNumberFormat="1" applyFont="1" applyFill="1" applyBorder="1" applyAlignment="1">
      <alignment horizontal="right"/>
    </xf>
    <xf numFmtId="0" fontId="0" fillId="6" borderId="4" xfId="0" applyFill="1" applyBorder="1" applyAlignment="1">
      <alignment horizontal="right" vertical="top" wrapText="1"/>
    </xf>
    <xf numFmtId="0" fontId="8" fillId="0" borderId="9" xfId="0" applyFont="1" applyBorder="1" applyAlignment="1">
      <alignment horizontal="right"/>
    </xf>
    <xf numFmtId="2" fontId="8" fillId="0" borderId="9" xfId="0" applyNumberFormat="1" applyFont="1" applyBorder="1" applyAlignment="1">
      <alignment horizontal="right"/>
    </xf>
    <xf numFmtId="2" fontId="8" fillId="0" borderId="6" xfId="0" applyNumberFormat="1" applyFont="1" applyBorder="1" applyAlignment="1">
      <alignment horizontal="right"/>
    </xf>
    <xf numFmtId="0" fontId="0" fillId="0" borderId="4" xfId="0" applyBorder="1" applyAlignment="1">
      <alignment horizontal="right" vertical="center" wrapText="1"/>
    </xf>
    <xf numFmtId="2" fontId="0" fillId="0" borderId="4" xfId="0" applyNumberFormat="1" applyBorder="1" applyAlignment="1">
      <alignment horizontal="right" vertical="center" wrapText="1"/>
    </xf>
    <xf numFmtId="0" fontId="0" fillId="0" borderId="6" xfId="0" applyBorder="1" applyAlignment="1">
      <alignment horizontal="right" vertical="center" wrapText="1"/>
    </xf>
    <xf numFmtId="3" fontId="0" fillId="0" borderId="4" xfId="0" applyNumberFormat="1" applyBorder="1" applyAlignment="1">
      <alignment horizontal="right" vertical="top"/>
    </xf>
    <xf numFmtId="0" fontId="0" fillId="6" borderId="18" xfId="0" applyFill="1" applyBorder="1" applyAlignment="1">
      <alignment horizontal="right" vertical="top"/>
    </xf>
    <xf numFmtId="168" fontId="0" fillId="0" borderId="0" xfId="19" applyNumberFormat="1" applyFont="1" applyFill="1" applyBorder="1" applyAlignment="1">
      <alignment horizontal="right"/>
    </xf>
    <xf numFmtId="167" fontId="0" fillId="0" borderId="0" xfId="19" applyNumberFormat="1" applyFont="1" applyFill="1" applyBorder="1" applyAlignment="1">
      <alignment horizontal="right"/>
    </xf>
    <xf numFmtId="0" fontId="16" fillId="0" borderId="0" xfId="0" applyFont="1" applyAlignment="1">
      <alignment horizontal="left" vertical="top"/>
    </xf>
    <xf numFmtId="0" fontId="1" fillId="6" borderId="13" xfId="0" applyFont="1" applyFill="1" applyBorder="1" applyAlignment="1">
      <alignment horizontal="left"/>
    </xf>
    <xf numFmtId="164" fontId="0" fillId="9" borderId="0" xfId="0" applyNumberFormat="1" applyFill="1" applyAlignment="1">
      <alignment horizontal="right"/>
    </xf>
    <xf numFmtId="0" fontId="17" fillId="0" borderId="0" xfId="0" applyFont="1" applyAlignment="1">
      <alignment horizontal="left" vertical="top"/>
    </xf>
    <xf numFmtId="0" fontId="0" fillId="0" borderId="0" xfId="0" applyAlignment="1">
      <alignment horizontal="left"/>
    </xf>
    <xf numFmtId="164" fontId="0" fillId="11" borderId="4" xfId="0" applyNumberFormat="1" applyFill="1" applyBorder="1" applyAlignment="1">
      <alignment horizontal="left"/>
    </xf>
    <xf numFmtId="10" fontId="8" fillId="0" borderId="0" xfId="0" applyNumberFormat="1" applyFont="1" applyAlignment="1">
      <alignment horizontal="center"/>
    </xf>
    <xf numFmtId="0" fontId="0" fillId="13" borderId="14" xfId="0" applyFill="1" applyBorder="1" applyAlignment="1">
      <alignment horizontal="right"/>
    </xf>
    <xf numFmtId="2" fontId="0" fillId="13" borderId="14" xfId="0" applyNumberFormat="1" applyFill="1" applyBorder="1" applyAlignment="1">
      <alignment horizontal="right"/>
    </xf>
    <xf numFmtId="10" fontId="0" fillId="13" borderId="0" xfId="19" applyNumberFormat="1" applyFont="1" applyFill="1" applyBorder="1" applyAlignment="1">
      <alignment horizontal="right"/>
    </xf>
    <xf numFmtId="1" fontId="0" fillId="13" borderId="14" xfId="0" applyNumberFormat="1" applyFill="1" applyBorder="1" applyAlignment="1">
      <alignment horizontal="right"/>
    </xf>
    <xf numFmtId="165" fontId="0" fillId="13" borderId="0" xfId="19" applyNumberFormat="1" applyFont="1" applyFill="1" applyBorder="1" applyAlignment="1">
      <alignment horizontal="right"/>
    </xf>
    <xf numFmtId="10" fontId="0" fillId="13" borderId="9" xfId="19" applyNumberFormat="1" applyFont="1" applyFill="1" applyBorder="1" applyAlignment="1">
      <alignment horizontal="right"/>
    </xf>
    <xf numFmtId="10" fontId="0" fillId="13" borderId="4" xfId="19" applyNumberFormat="1" applyFont="1" applyFill="1" applyBorder="1" applyAlignment="1">
      <alignment horizontal="right"/>
    </xf>
    <xf numFmtId="0" fontId="0" fillId="13" borderId="9" xfId="0" applyFill="1" applyBorder="1" applyAlignment="1">
      <alignment horizontal="right"/>
    </xf>
    <xf numFmtId="0" fontId="0" fillId="13" borderId="4" xfId="0" applyFill="1" applyBorder="1" applyAlignment="1">
      <alignment horizontal="right"/>
    </xf>
    <xf numFmtId="0" fontId="0" fillId="13" borderId="16" xfId="0" applyFill="1" applyBorder="1" applyAlignment="1">
      <alignment horizontal="right"/>
    </xf>
    <xf numFmtId="0" fontId="0" fillId="0" borderId="0" xfId="0" applyAlignment="1">
      <alignment vertical="top"/>
    </xf>
    <xf numFmtId="0" fontId="8" fillId="6" borderId="13" xfId="0" applyFont="1" applyFill="1" applyBorder="1" applyAlignment="1">
      <alignment horizontal="left" vertical="center"/>
    </xf>
    <xf numFmtId="0" fontId="18" fillId="0" borderId="0" xfId="0" applyFont="1" applyAlignment="1">
      <alignment horizontal="left" vertical="top"/>
    </xf>
    <xf numFmtId="0" fontId="18" fillId="6" borderId="13" xfId="0" applyFont="1" applyFill="1" applyBorder="1" applyAlignment="1">
      <alignment horizontal="left" vertical="center"/>
    </xf>
    <xf numFmtId="0" fontId="18" fillId="0" borderId="14" xfId="0" applyFont="1" applyBorder="1" applyAlignment="1">
      <alignment horizontal="right"/>
    </xf>
    <xf numFmtId="0" fontId="18" fillId="0" borderId="0" xfId="0" applyFont="1" applyAlignment="1">
      <alignment horizontal="right" vertical="top"/>
    </xf>
    <xf numFmtId="0" fontId="18" fillId="0" borderId="0" xfId="0" applyFont="1" applyAlignment="1">
      <alignment vertical="top"/>
    </xf>
    <xf numFmtId="165" fontId="0" fillId="9" borderId="17" xfId="19" applyNumberFormat="1" applyFont="1" applyFill="1" applyBorder="1" applyAlignment="1">
      <alignment horizontal="right"/>
    </xf>
    <xf numFmtId="169" fontId="0" fillId="0" borderId="0" xfId="0" applyNumberFormat="1" applyAlignment="1">
      <alignment horizontal="right" vertical="top"/>
    </xf>
    <xf numFmtId="0" fontId="0" fillId="14" borderId="0" xfId="0" applyFill="1"/>
    <xf numFmtId="0" fontId="12" fillId="0" borderId="0" xfId="0" applyFont="1" applyAlignment="1">
      <alignment horizontal="left" vertical="top" wrapText="1"/>
    </xf>
    <xf numFmtId="10" fontId="15" fillId="0" borderId="0" xfId="0" applyNumberFormat="1" applyFont="1"/>
    <xf numFmtId="10" fontId="15" fillId="15" borderId="0" xfId="0" applyNumberFormat="1" applyFont="1" applyFill="1"/>
    <xf numFmtId="0" fontId="0" fillId="16" borderId="0" xfId="0" applyFill="1" applyAlignment="1">
      <alignment horizontal="right"/>
    </xf>
    <xf numFmtId="0" fontId="0" fillId="16" borderId="0" xfId="0" applyFill="1"/>
    <xf numFmtId="10" fontId="15" fillId="16" borderId="0" xfId="0" applyNumberFormat="1" applyFont="1" applyFill="1"/>
    <xf numFmtId="0" fontId="1" fillId="16" borderId="13" xfId="0" applyFont="1" applyFill="1" applyBorder="1" applyAlignment="1">
      <alignment horizontal="left"/>
    </xf>
    <xf numFmtId="167" fontId="8" fillId="16" borderId="0" xfId="19" applyNumberFormat="1" applyFont="1" applyFill="1" applyBorder="1" applyAlignment="1">
      <alignment horizontal="right"/>
    </xf>
    <xf numFmtId="0" fontId="0" fillId="12" borderId="18" xfId="0" applyFill="1" applyBorder="1" applyAlignment="1">
      <alignment horizontal="right"/>
    </xf>
    <xf numFmtId="10" fontId="19" fillId="0" borderId="0" xfId="0" applyNumberFormat="1" applyFont="1"/>
    <xf numFmtId="10" fontId="14" fillId="0" borderId="0" xfId="19" applyNumberFormat="1" applyFont="1" applyBorder="1" applyAlignment="1">
      <alignment horizontal="right"/>
    </xf>
    <xf numFmtId="10" fontId="14" fillId="0" borderId="0" xfId="0" applyNumberFormat="1" applyFont="1" applyAlignment="1">
      <alignment horizontal="right" vertical="top"/>
    </xf>
    <xf numFmtId="0" fontId="0" fillId="7" borderId="11" xfId="0" applyFill="1" applyBorder="1" applyAlignment="1">
      <alignment horizontal="right" vertical="top"/>
    </xf>
    <xf numFmtId="0" fontId="0" fillId="7" borderId="12" xfId="0" applyFill="1" applyBorder="1" applyAlignment="1">
      <alignment horizontal="right" vertical="top"/>
    </xf>
    <xf numFmtId="0" fontId="0" fillId="7" borderId="0" xfId="0" applyFill="1"/>
    <xf numFmtId="0" fontId="0" fillId="6" borderId="12" xfId="0" applyFill="1" applyBorder="1" applyAlignment="1">
      <alignment horizontal="center"/>
    </xf>
    <xf numFmtId="165" fontId="0" fillId="0" borderId="17" xfId="19" applyNumberFormat="1" applyFont="1" applyFill="1" applyBorder="1" applyAlignment="1">
      <alignment horizontal="right"/>
    </xf>
    <xf numFmtId="0" fontId="0" fillId="0" borderId="14" xfId="0" applyBorder="1" applyAlignment="1">
      <alignment horizontal="right" vertical="center" wrapText="1"/>
    </xf>
    <xf numFmtId="165" fontId="0" fillId="0" borderId="14" xfId="19" applyNumberFormat="1" applyFont="1" applyBorder="1" applyAlignment="1">
      <alignment horizontal="right" vertical="center" wrapText="1"/>
    </xf>
    <xf numFmtId="164" fontId="0" fillId="0" borderId="14" xfId="0" applyNumberFormat="1" applyBorder="1" applyAlignment="1">
      <alignment horizontal="right" vertical="center" wrapText="1"/>
    </xf>
    <xf numFmtId="0" fontId="0" fillId="6" borderId="19" xfId="0" applyFill="1" applyBorder="1" applyAlignment="1">
      <alignment horizontal="right"/>
    </xf>
    <xf numFmtId="0" fontId="0" fillId="6" borderId="20" xfId="0" applyFill="1" applyBorder="1" applyAlignment="1">
      <alignment horizontal="right" vertical="top"/>
    </xf>
    <xf numFmtId="0" fontId="0" fillId="0" borderId="20" xfId="0" applyBorder="1" applyAlignment="1">
      <alignment horizontal="right"/>
    </xf>
    <xf numFmtId="164" fontId="0" fillId="0" borderId="20" xfId="0" applyNumberFormat="1" applyBorder="1" applyAlignment="1">
      <alignment horizontal="right"/>
    </xf>
    <xf numFmtId="0" fontId="0" fillId="13" borderId="20" xfId="0" applyFill="1" applyBorder="1" applyAlignment="1">
      <alignment horizontal="right"/>
    </xf>
    <xf numFmtId="165" fontId="0" fillId="0" borderId="20" xfId="19" applyNumberFormat="1" applyFont="1" applyBorder="1" applyAlignment="1">
      <alignment horizontal="right"/>
    </xf>
    <xf numFmtId="0" fontId="0" fillId="0" borderId="20" xfId="0" applyBorder="1" applyAlignment="1">
      <alignment horizontal="right" vertical="center" wrapText="1"/>
    </xf>
    <xf numFmtId="165" fontId="0" fillId="0" borderId="20" xfId="19" applyNumberFormat="1" applyFont="1" applyBorder="1" applyAlignment="1">
      <alignment horizontal="right" vertical="center" wrapText="1"/>
    </xf>
    <xf numFmtId="164" fontId="0" fillId="0" borderId="20" xfId="0" applyNumberFormat="1" applyBorder="1" applyAlignment="1">
      <alignment horizontal="right" vertical="center" wrapText="1"/>
    </xf>
    <xf numFmtId="0" fontId="0" fillId="13" borderId="20" xfId="0" applyFill="1" applyBorder="1" applyAlignment="1">
      <alignment horizontal="right" vertical="center" wrapText="1"/>
    </xf>
    <xf numFmtId="165" fontId="0" fillId="0" borderId="21" xfId="19" applyNumberFormat="1" applyFont="1" applyBorder="1" applyAlignment="1">
      <alignment horizontal="right"/>
    </xf>
    <xf numFmtId="165" fontId="0" fillId="9" borderId="21" xfId="19" applyNumberFormat="1" applyFont="1" applyFill="1" applyBorder="1" applyAlignment="1">
      <alignment horizontal="right"/>
    </xf>
    <xf numFmtId="165" fontId="0" fillId="0" borderId="21" xfId="19" applyNumberFormat="1" applyFont="1" applyFill="1" applyBorder="1" applyAlignment="1">
      <alignment horizontal="right"/>
    </xf>
    <xf numFmtId="0" fontId="7" fillId="0" borderId="0" xfId="16"/>
    <xf numFmtId="0" fontId="9" fillId="0" borderId="0" xfId="0" applyFont="1" applyAlignment="1">
      <alignment horizontal="center" vertical="center"/>
    </xf>
  </cellXfs>
  <cellStyles count="21">
    <cellStyle name="BodyStyle00" xfId="1" xr:uid="{00000000-0005-0000-0000-000000000000}"/>
    <cellStyle name="BodyStyle01" xfId="2" xr:uid="{00000000-0005-0000-0000-000001000000}"/>
    <cellStyle name="BodyStyle010" xfId="13" xr:uid="{00000000-0005-0000-0000-000002000000}"/>
    <cellStyle name="BodyStyle011_aa_1" xfId="3" xr:uid="{00000000-0005-0000-0000-000003000000}"/>
    <cellStyle name="BodyStyle014_aa" xfId="4" xr:uid="{00000000-0005-0000-0000-000004000000}"/>
    <cellStyle name="BodyStyle015_aa" xfId="5" xr:uid="{00000000-0005-0000-0000-000005000000}"/>
    <cellStyle name="BodyStyle02_aa" xfId="6" xr:uid="{00000000-0005-0000-0000-000006000000}"/>
    <cellStyle name="BodyStyle03_aa" xfId="7" xr:uid="{00000000-0005-0000-0000-000007000000}"/>
    <cellStyle name="BodyStyle04" xfId="14" xr:uid="{00000000-0005-0000-0000-000008000000}"/>
    <cellStyle name="BodyStyle05" xfId="17" xr:uid="{00000000-0005-0000-0000-000009000000}"/>
    <cellStyle name="BodyStyle06" xfId="8" xr:uid="{00000000-0005-0000-0000-00000A000000}"/>
    <cellStyle name="BodyStyle06 2" xfId="9" xr:uid="{00000000-0005-0000-0000-00000B000000}"/>
    <cellStyle name="BodyStyle06 3" xfId="10" xr:uid="{00000000-0005-0000-0000-00000C000000}"/>
    <cellStyle name="BodyStyle06 4" xfId="11" xr:uid="{00000000-0005-0000-0000-00000D000000}"/>
    <cellStyle name="BodyStyle06 4 2" xfId="12" xr:uid="{00000000-0005-0000-0000-00000E000000}"/>
    <cellStyle name="BodyStyle07" xfId="15" xr:uid="{00000000-0005-0000-0000-00000F000000}"/>
    <cellStyle name="BodyStyle08" xfId="18" xr:uid="{00000000-0005-0000-0000-000010000000}"/>
    <cellStyle name="Comma" xfId="20" builtinId="3"/>
    <cellStyle name="Hyperlink" xfId="16" builtinId="8"/>
    <cellStyle name="Normal" xfId="0" builtinId="0"/>
    <cellStyle name="Percent" xfId="19" builtinId="5"/>
  </cellStyles>
  <dxfs count="2740">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B050"/>
      </font>
    </dxf>
    <dxf>
      <font>
        <color theme="1"/>
      </font>
    </dxf>
    <dxf>
      <font>
        <color rgb="FF00B050"/>
      </font>
    </dxf>
    <dxf>
      <font>
        <color rgb="FF00B050"/>
      </font>
    </dxf>
    <dxf>
      <font>
        <color rgb="FF00B050"/>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ill>
        <patternFill>
          <bgColor theme="0" tint="-0.24994659260841701"/>
        </patternFill>
      </fill>
    </dxf>
    <dxf>
      <font>
        <color rgb="FF0033CC"/>
      </font>
    </dxf>
    <dxf>
      <font>
        <color rgb="FF0033CC"/>
      </font>
    </dxf>
    <dxf>
      <font>
        <color theme="1"/>
      </font>
    </dxf>
    <dxf>
      <font>
        <color rgb="FF0033CC"/>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rgb="FF0000FF"/>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33CC"/>
      </font>
    </dxf>
    <dxf>
      <font>
        <color theme="1"/>
      </font>
    </dxf>
    <dxf>
      <font>
        <color rgb="FF0033CC"/>
      </font>
    </dxf>
    <dxf>
      <font>
        <color rgb="FF0033CC"/>
      </font>
    </dxf>
    <dxf>
      <font>
        <color rgb="FF0033CC"/>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s>
  <tableStyles count="0" defaultTableStyle="TableStyleMedium2" defaultPivotStyle="PivotStyleLight16"/>
  <colors>
    <mruColors>
      <color rgb="FF0000FF"/>
      <color rgb="FF0033CC"/>
      <color rgb="FFA6A6A6"/>
      <color rgb="FFA7A7A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91"/>
  <sheetViews>
    <sheetView showGridLines="0" workbookViewId="0"/>
  </sheetViews>
  <sheetFormatPr defaultRowHeight="12.5" x14ac:dyDescent="0.25"/>
  <cols>
    <col min="1" max="1" width="3.453125" customWidth="1"/>
    <col min="2" max="2" width="11.81640625" customWidth="1"/>
    <col min="3" max="3" width="26" customWidth="1"/>
    <col min="4" max="4" width="80" customWidth="1"/>
  </cols>
  <sheetData>
    <row r="1" spans="1:4" ht="20.25" customHeight="1" x14ac:dyDescent="0.25">
      <c r="A1" s="1" t="s">
        <v>1</v>
      </c>
      <c r="B1" s="2" t="s">
        <v>2</v>
      </c>
      <c r="C1" s="2" t="s">
        <v>3</v>
      </c>
      <c r="D1" s="3" t="s">
        <v>4</v>
      </c>
    </row>
    <row r="2" spans="1:4" x14ac:dyDescent="0.25">
      <c r="A2" s="4"/>
      <c r="B2" s="7"/>
      <c r="C2" s="7"/>
      <c r="D2" s="8"/>
    </row>
    <row r="3" spans="1:4" x14ac:dyDescent="0.25">
      <c r="A3" s="6"/>
      <c r="B3" s="12"/>
      <c r="C3" s="7"/>
      <c r="D3" s="5"/>
    </row>
    <row r="4" spans="1:4" x14ac:dyDescent="0.25">
      <c r="A4" s="6"/>
      <c r="B4" s="23"/>
      <c r="C4" s="9"/>
      <c r="D4" s="5"/>
    </row>
    <row r="5" spans="1:4" x14ac:dyDescent="0.25">
      <c r="A5" s="6"/>
      <c r="B5" s="23"/>
      <c r="C5" s="9"/>
      <c r="D5" s="5"/>
    </row>
    <row r="6" spans="1:4" x14ac:dyDescent="0.25">
      <c r="A6" s="6"/>
      <c r="B6" s="9"/>
      <c r="C6" s="9"/>
      <c r="D6" s="5"/>
    </row>
    <row r="7" spans="1:4" x14ac:dyDescent="0.25">
      <c r="A7" s="6"/>
      <c r="B7" s="9"/>
      <c r="C7" s="9"/>
      <c r="D7" s="5"/>
    </row>
    <row r="8" spans="1:4" x14ac:dyDescent="0.25">
      <c r="A8" s="6"/>
      <c r="B8" s="9"/>
      <c r="C8" s="9"/>
      <c r="D8" s="5"/>
    </row>
    <row r="9" spans="1:4" x14ac:dyDescent="0.25">
      <c r="A9" s="6"/>
      <c r="B9" s="9"/>
      <c r="C9" s="9"/>
      <c r="D9" s="5"/>
    </row>
    <row r="10" spans="1:4" x14ac:dyDescent="0.25">
      <c r="A10" s="6"/>
      <c r="B10" s="9"/>
      <c r="C10" s="9"/>
      <c r="D10" s="5"/>
    </row>
    <row r="11" spans="1:4" x14ac:dyDescent="0.25">
      <c r="A11" s="6"/>
      <c r="B11" s="9"/>
      <c r="C11" s="9"/>
      <c r="D11" s="5"/>
    </row>
    <row r="12" spans="1:4" x14ac:dyDescent="0.25">
      <c r="A12" s="6"/>
      <c r="B12" s="9"/>
      <c r="C12" s="9"/>
      <c r="D12" s="5"/>
    </row>
    <row r="13" spans="1:4" x14ac:dyDescent="0.25">
      <c r="A13" s="6"/>
      <c r="B13" s="9"/>
      <c r="C13" s="9"/>
      <c r="D13" s="5"/>
    </row>
    <row r="14" spans="1:4" x14ac:dyDescent="0.25">
      <c r="A14" s="6"/>
      <c r="B14" s="9"/>
      <c r="C14" s="9"/>
      <c r="D14" s="5"/>
    </row>
    <row r="15" spans="1:4" x14ac:dyDescent="0.25">
      <c r="A15" s="6"/>
      <c r="B15" s="9"/>
      <c r="C15" s="9"/>
      <c r="D15" s="5"/>
    </row>
    <row r="16" spans="1:4" x14ac:dyDescent="0.25">
      <c r="A16" s="6"/>
      <c r="B16" s="9"/>
      <c r="C16" s="9"/>
      <c r="D16" s="5"/>
    </row>
    <row r="17" spans="1:4" x14ac:dyDescent="0.25">
      <c r="A17" s="6"/>
      <c r="B17" s="9"/>
      <c r="C17" s="9"/>
      <c r="D17" s="5"/>
    </row>
    <row r="18" spans="1:4" x14ac:dyDescent="0.25">
      <c r="A18" s="6"/>
      <c r="B18" s="9"/>
      <c r="C18" s="9"/>
      <c r="D18" s="5"/>
    </row>
    <row r="19" spans="1:4" x14ac:dyDescent="0.25">
      <c r="A19" s="6"/>
      <c r="B19" s="9"/>
      <c r="C19" s="9"/>
      <c r="D19" s="5"/>
    </row>
    <row r="20" spans="1:4" x14ac:dyDescent="0.25">
      <c r="A20" s="6"/>
      <c r="B20" s="9"/>
      <c r="C20" s="9"/>
      <c r="D20" s="5"/>
    </row>
    <row r="21" spans="1:4" x14ac:dyDescent="0.25">
      <c r="A21" s="6"/>
      <c r="B21" s="9"/>
      <c r="C21" s="9"/>
      <c r="D21" s="5"/>
    </row>
    <row r="22" spans="1:4" x14ac:dyDescent="0.25">
      <c r="A22" s="6"/>
      <c r="B22" s="9"/>
      <c r="C22" s="9"/>
      <c r="D22" s="5"/>
    </row>
    <row r="23" spans="1:4" x14ac:dyDescent="0.25">
      <c r="A23" s="6"/>
      <c r="B23" s="9"/>
      <c r="C23" s="9"/>
      <c r="D23" s="5"/>
    </row>
    <row r="24" spans="1:4" x14ac:dyDescent="0.25">
      <c r="A24" s="6"/>
      <c r="B24" s="9"/>
      <c r="C24" s="9"/>
      <c r="D24" s="5"/>
    </row>
    <row r="25" spans="1:4" x14ac:dyDescent="0.25">
      <c r="A25" s="6"/>
      <c r="B25" s="9"/>
      <c r="C25" s="9"/>
      <c r="D25" s="5"/>
    </row>
    <row r="26" spans="1:4" x14ac:dyDescent="0.25">
      <c r="A26" s="6"/>
      <c r="B26" s="9"/>
      <c r="C26" s="9"/>
      <c r="D26" s="5"/>
    </row>
    <row r="27" spans="1:4" x14ac:dyDescent="0.25">
      <c r="A27" s="6"/>
      <c r="B27" s="9"/>
      <c r="C27" s="9"/>
      <c r="D27" s="5"/>
    </row>
    <row r="28" spans="1:4" x14ac:dyDescent="0.25">
      <c r="A28" s="6"/>
      <c r="B28" s="9"/>
      <c r="C28" s="9"/>
      <c r="D28" s="5"/>
    </row>
    <row r="29" spans="1:4" x14ac:dyDescent="0.25">
      <c r="A29" s="6"/>
      <c r="B29" s="9"/>
      <c r="C29" s="9"/>
      <c r="D29" s="5"/>
    </row>
    <row r="30" spans="1:4" x14ac:dyDescent="0.25">
      <c r="A30" s="6"/>
      <c r="B30" s="9"/>
      <c r="C30" s="9"/>
      <c r="D30" s="5"/>
    </row>
    <row r="31" spans="1:4" x14ac:dyDescent="0.25">
      <c r="A31" s="6"/>
      <c r="B31" s="9"/>
      <c r="C31" s="9"/>
      <c r="D31" s="5"/>
    </row>
    <row r="32" spans="1:4" x14ac:dyDescent="0.25">
      <c r="A32" s="6"/>
      <c r="B32" s="9"/>
      <c r="C32" s="9"/>
      <c r="D32" s="5"/>
    </row>
    <row r="33" spans="1:4" x14ac:dyDescent="0.25">
      <c r="A33" s="6"/>
      <c r="B33" s="9"/>
      <c r="C33" s="9"/>
      <c r="D33" s="5"/>
    </row>
    <row r="34" spans="1:4" x14ac:dyDescent="0.25">
      <c r="A34" s="6"/>
      <c r="B34" s="9"/>
      <c r="C34" s="9"/>
      <c r="D34" s="5"/>
    </row>
    <row r="35" spans="1:4" x14ac:dyDescent="0.25">
      <c r="A35" s="6"/>
      <c r="B35" s="9"/>
      <c r="C35" s="9"/>
      <c r="D35" s="5"/>
    </row>
    <row r="36" spans="1:4" x14ac:dyDescent="0.25">
      <c r="A36" s="6"/>
      <c r="B36" s="9"/>
      <c r="C36" s="9"/>
      <c r="D36" s="5"/>
    </row>
    <row r="37" spans="1:4" x14ac:dyDescent="0.25">
      <c r="A37" s="6"/>
      <c r="B37" s="9"/>
      <c r="C37" s="9"/>
      <c r="D37" s="5"/>
    </row>
    <row r="38" spans="1:4" x14ac:dyDescent="0.25">
      <c r="A38" s="6"/>
      <c r="B38" s="9"/>
      <c r="C38" s="9"/>
      <c r="D38" s="5"/>
    </row>
    <row r="39" spans="1:4" x14ac:dyDescent="0.25">
      <c r="A39" s="6"/>
      <c r="B39" s="9"/>
      <c r="C39" s="9"/>
      <c r="D39" s="5"/>
    </row>
    <row r="40" spans="1:4" x14ac:dyDescent="0.25">
      <c r="A40" s="6"/>
      <c r="B40" s="9"/>
      <c r="C40" s="9"/>
      <c r="D40" s="5"/>
    </row>
    <row r="41" spans="1:4" x14ac:dyDescent="0.25">
      <c r="A41" s="6"/>
      <c r="B41" s="9"/>
      <c r="C41" s="9"/>
      <c r="D41" s="5"/>
    </row>
    <row r="42" spans="1:4" x14ac:dyDescent="0.25">
      <c r="A42" s="6"/>
      <c r="B42" s="9"/>
      <c r="C42" s="9"/>
      <c r="D42" s="5"/>
    </row>
    <row r="43" spans="1:4" x14ac:dyDescent="0.25">
      <c r="A43" s="6"/>
      <c r="B43" s="9"/>
      <c r="C43" s="9"/>
      <c r="D43" s="5"/>
    </row>
    <row r="44" spans="1:4" x14ac:dyDescent="0.25">
      <c r="A44" s="6"/>
      <c r="B44" s="9"/>
      <c r="C44" s="9"/>
      <c r="D44" s="5"/>
    </row>
    <row r="45" spans="1:4" x14ac:dyDescent="0.25">
      <c r="A45" s="6"/>
      <c r="B45" s="9"/>
      <c r="C45" s="9"/>
      <c r="D45" s="5"/>
    </row>
    <row r="46" spans="1:4" x14ac:dyDescent="0.25">
      <c r="A46" s="6"/>
      <c r="B46" s="9"/>
      <c r="C46" s="9"/>
      <c r="D46" s="5"/>
    </row>
    <row r="47" spans="1:4" x14ac:dyDescent="0.25">
      <c r="A47" s="6"/>
      <c r="B47" s="9"/>
      <c r="C47" s="9"/>
      <c r="D47" s="5"/>
    </row>
    <row r="48" spans="1:4" x14ac:dyDescent="0.25">
      <c r="A48" s="6"/>
      <c r="B48" s="9"/>
      <c r="C48" s="9"/>
      <c r="D48" s="5"/>
    </row>
    <row r="49" spans="1:4" x14ac:dyDescent="0.25">
      <c r="A49" s="6"/>
      <c r="B49" s="9"/>
      <c r="C49" s="9"/>
      <c r="D49" s="5"/>
    </row>
    <row r="50" spans="1:4" x14ac:dyDescent="0.25">
      <c r="A50" s="6"/>
      <c r="B50" s="9"/>
      <c r="C50" s="9"/>
      <c r="D50" s="5"/>
    </row>
    <row r="51" spans="1:4" x14ac:dyDescent="0.25">
      <c r="A51" s="6"/>
      <c r="B51" s="9"/>
      <c r="C51" s="9"/>
      <c r="D51" s="5"/>
    </row>
    <row r="52" spans="1:4" x14ac:dyDescent="0.25">
      <c r="A52" s="6"/>
      <c r="B52" s="9"/>
      <c r="C52" s="9"/>
      <c r="D52" s="5"/>
    </row>
    <row r="53" spans="1:4" x14ac:dyDescent="0.25">
      <c r="A53" s="6"/>
      <c r="B53" s="9"/>
      <c r="C53" s="9"/>
      <c r="D53" s="5"/>
    </row>
    <row r="54" spans="1:4" x14ac:dyDescent="0.25">
      <c r="A54" s="6"/>
      <c r="B54" s="9"/>
      <c r="C54" s="9"/>
      <c r="D54" s="5"/>
    </row>
    <row r="55" spans="1:4" x14ac:dyDescent="0.25">
      <c r="A55" s="6"/>
      <c r="B55" s="9"/>
      <c r="C55" s="9"/>
      <c r="D55" s="5"/>
    </row>
    <row r="56" spans="1:4" x14ac:dyDescent="0.25">
      <c r="A56" s="6"/>
      <c r="B56" s="9"/>
      <c r="C56" s="9"/>
      <c r="D56" s="5"/>
    </row>
    <row r="57" spans="1:4" x14ac:dyDescent="0.25">
      <c r="A57" s="6"/>
      <c r="B57" s="9"/>
      <c r="C57" s="9"/>
      <c r="D57" s="5"/>
    </row>
    <row r="58" spans="1:4" x14ac:dyDescent="0.25">
      <c r="A58" s="6"/>
      <c r="B58" s="9"/>
      <c r="C58" s="9"/>
      <c r="D58" s="5"/>
    </row>
    <row r="59" spans="1:4" x14ac:dyDescent="0.25">
      <c r="A59" s="6"/>
      <c r="B59" s="9"/>
      <c r="C59" s="9"/>
      <c r="D59" s="5"/>
    </row>
    <row r="60" spans="1:4" x14ac:dyDescent="0.25">
      <c r="A60" s="6"/>
      <c r="B60" s="9"/>
      <c r="C60" s="9"/>
      <c r="D60" s="5"/>
    </row>
    <row r="61" spans="1:4" x14ac:dyDescent="0.25">
      <c r="A61" s="6"/>
      <c r="B61" s="9"/>
      <c r="C61" s="9"/>
      <c r="D61" s="5"/>
    </row>
    <row r="62" spans="1:4" x14ac:dyDescent="0.25">
      <c r="A62" s="6"/>
      <c r="B62" s="9"/>
      <c r="C62" s="9"/>
      <c r="D62" s="5"/>
    </row>
    <row r="63" spans="1:4" x14ac:dyDescent="0.25">
      <c r="A63" s="6"/>
      <c r="B63" s="9"/>
      <c r="C63" s="9"/>
      <c r="D63" s="5"/>
    </row>
    <row r="64" spans="1:4" x14ac:dyDescent="0.25">
      <c r="A64" s="6"/>
      <c r="B64" s="9"/>
      <c r="C64" s="9"/>
      <c r="D64" s="5"/>
    </row>
    <row r="65" spans="1:4" x14ac:dyDescent="0.25">
      <c r="A65" s="6"/>
      <c r="B65" s="9"/>
      <c r="C65" s="9"/>
      <c r="D65" s="5"/>
    </row>
    <row r="66" spans="1:4" x14ac:dyDescent="0.25">
      <c r="A66" s="6"/>
      <c r="B66" s="9"/>
      <c r="C66" s="9"/>
      <c r="D66" s="5"/>
    </row>
    <row r="67" spans="1:4" x14ac:dyDescent="0.25">
      <c r="A67" s="6"/>
      <c r="B67" s="9"/>
      <c r="C67" s="9"/>
      <c r="D67" s="5"/>
    </row>
    <row r="68" spans="1:4" x14ac:dyDescent="0.25">
      <c r="A68" s="6"/>
      <c r="B68" s="9"/>
      <c r="C68" s="9"/>
      <c r="D68" s="5"/>
    </row>
    <row r="69" spans="1:4" x14ac:dyDescent="0.25">
      <c r="A69" s="6"/>
      <c r="B69" s="9"/>
      <c r="C69" s="9"/>
      <c r="D69" s="5"/>
    </row>
    <row r="70" spans="1:4" x14ac:dyDescent="0.25">
      <c r="A70" s="6"/>
      <c r="B70" s="9"/>
      <c r="C70" s="9"/>
      <c r="D70" s="5"/>
    </row>
    <row r="71" spans="1:4" x14ac:dyDescent="0.25">
      <c r="A71" s="6"/>
      <c r="B71" s="9"/>
      <c r="C71" s="9"/>
      <c r="D71" s="5"/>
    </row>
    <row r="72" spans="1:4" x14ac:dyDescent="0.25">
      <c r="A72" s="6"/>
      <c r="B72" s="9"/>
      <c r="C72" s="9"/>
      <c r="D72" s="5"/>
    </row>
    <row r="73" spans="1:4" x14ac:dyDescent="0.25">
      <c r="A73" s="6"/>
      <c r="B73" s="9"/>
      <c r="C73" s="9"/>
      <c r="D73" s="5"/>
    </row>
    <row r="74" spans="1:4" x14ac:dyDescent="0.25">
      <c r="A74" s="6"/>
      <c r="B74" s="9"/>
      <c r="C74" s="9"/>
      <c r="D74" s="5"/>
    </row>
    <row r="75" spans="1:4" x14ac:dyDescent="0.25">
      <c r="A75" s="6"/>
      <c r="B75" s="9"/>
      <c r="C75" s="9"/>
      <c r="D75" s="5"/>
    </row>
    <row r="76" spans="1:4" x14ac:dyDescent="0.25">
      <c r="A76" s="6"/>
      <c r="B76" s="9"/>
      <c r="C76" s="9"/>
      <c r="D76" s="5"/>
    </row>
    <row r="77" spans="1:4" x14ac:dyDescent="0.25">
      <c r="A77" s="6"/>
      <c r="B77" s="9"/>
      <c r="C77" s="9"/>
      <c r="D77" s="5"/>
    </row>
    <row r="78" spans="1:4" x14ac:dyDescent="0.25">
      <c r="A78" s="6"/>
      <c r="B78" s="9"/>
      <c r="C78" s="9"/>
      <c r="D78" s="5"/>
    </row>
    <row r="79" spans="1:4" x14ac:dyDescent="0.25">
      <c r="A79" s="6"/>
      <c r="B79" s="9"/>
      <c r="C79" s="9"/>
      <c r="D79" s="5"/>
    </row>
    <row r="80" spans="1:4" x14ac:dyDescent="0.25">
      <c r="A80" s="6"/>
      <c r="B80" s="9"/>
      <c r="C80" s="9"/>
      <c r="D80" s="5"/>
    </row>
    <row r="81" spans="1:4" x14ac:dyDescent="0.25">
      <c r="A81" s="6"/>
      <c r="B81" s="9"/>
      <c r="C81" s="9"/>
      <c r="D81" s="5"/>
    </row>
    <row r="82" spans="1:4" x14ac:dyDescent="0.25">
      <c r="A82" s="6"/>
      <c r="B82" s="9"/>
      <c r="C82" s="9"/>
      <c r="D82" s="5"/>
    </row>
    <row r="83" spans="1:4" x14ac:dyDescent="0.25">
      <c r="A83" s="6"/>
      <c r="B83" s="9"/>
      <c r="C83" s="9"/>
      <c r="D83" s="5"/>
    </row>
    <row r="84" spans="1:4" x14ac:dyDescent="0.25">
      <c r="A84" s="6"/>
      <c r="B84" s="9"/>
      <c r="C84" s="9"/>
      <c r="D84" s="5"/>
    </row>
    <row r="85" spans="1:4" x14ac:dyDescent="0.25">
      <c r="A85" s="6"/>
      <c r="B85" s="9"/>
      <c r="C85" s="9"/>
      <c r="D85" s="5"/>
    </row>
    <row r="86" spans="1:4" x14ac:dyDescent="0.25">
      <c r="A86" s="6"/>
      <c r="B86" s="9"/>
      <c r="C86" s="9"/>
      <c r="D86" s="5"/>
    </row>
    <row r="87" spans="1:4" x14ac:dyDescent="0.25">
      <c r="A87" s="6"/>
      <c r="B87" s="9"/>
      <c r="C87" s="9"/>
      <c r="D87" s="5"/>
    </row>
    <row r="88" spans="1:4" x14ac:dyDescent="0.25">
      <c r="A88" s="6"/>
      <c r="B88" s="9"/>
      <c r="C88" s="9"/>
      <c r="D88" s="5"/>
    </row>
    <row r="89" spans="1:4" x14ac:dyDescent="0.25">
      <c r="A89" s="6"/>
      <c r="B89" s="9"/>
      <c r="C89" s="9"/>
      <c r="D89" s="5"/>
    </row>
    <row r="90" spans="1:4" x14ac:dyDescent="0.25">
      <c r="A90" s="6"/>
      <c r="B90" s="9"/>
      <c r="C90" s="9"/>
      <c r="D90" s="5"/>
    </row>
    <row r="91" spans="1:4" x14ac:dyDescent="0.25">
      <c r="A91" s="6"/>
      <c r="B91" s="9"/>
      <c r="C91" s="9"/>
      <c r="D9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5"/>
  <sheetViews>
    <sheetView showGridLines="0" workbookViewId="0">
      <selection activeCell="B36" sqref="B36:C36"/>
    </sheetView>
  </sheetViews>
  <sheetFormatPr defaultRowHeight="12.5" x14ac:dyDescent="0.25"/>
  <cols>
    <col min="1" max="1" width="7.54296875" customWidth="1"/>
    <col min="2" max="2" width="27.54296875" bestFit="1" customWidth="1"/>
    <col min="3" max="3" width="16.453125" customWidth="1"/>
    <col min="4" max="4" width="15.453125" customWidth="1"/>
    <col min="5" max="5" width="11.54296875" customWidth="1"/>
    <col min="6" max="6" width="11.453125" customWidth="1"/>
  </cols>
  <sheetData>
    <row r="1" spans="1:6" x14ac:dyDescent="0.25">
      <c r="A1" s="281" t="s">
        <v>7</v>
      </c>
      <c r="B1" s="281"/>
      <c r="C1" s="281"/>
      <c r="D1" s="10"/>
      <c r="E1" s="10"/>
      <c r="F1" s="10"/>
    </row>
    <row r="2" spans="1:6" x14ac:dyDescent="0.25">
      <c r="A2" s="281"/>
      <c r="B2" s="281"/>
      <c r="C2" s="281"/>
      <c r="D2" s="10"/>
      <c r="E2" s="10"/>
      <c r="F2" s="10"/>
    </row>
    <row r="3" spans="1:6" ht="12.75" customHeight="1" x14ac:dyDescent="0.25">
      <c r="A3" s="22"/>
      <c r="B3" s="22"/>
      <c r="C3" s="22"/>
      <c r="D3" s="10"/>
      <c r="E3" s="10"/>
      <c r="F3" s="10"/>
    </row>
    <row r="4" spans="1:6" x14ac:dyDescent="0.25">
      <c r="A4" s="280" t="s">
        <v>318</v>
      </c>
      <c r="B4" s="280"/>
    </row>
    <row r="5" spans="1:6" x14ac:dyDescent="0.25">
      <c r="B5" s="280" t="s">
        <v>318</v>
      </c>
      <c r="C5" s="280"/>
    </row>
    <row r="6" spans="1:6" x14ac:dyDescent="0.25">
      <c r="B6" s="280" t="s">
        <v>330</v>
      </c>
      <c r="C6" s="280"/>
    </row>
    <row r="7" spans="1:6" x14ac:dyDescent="0.25">
      <c r="B7" s="280" t="s">
        <v>331</v>
      </c>
      <c r="C7" s="280"/>
    </row>
    <row r="9" spans="1:6" x14ac:dyDescent="0.25">
      <c r="A9" s="280" t="s">
        <v>285</v>
      </c>
      <c r="B9" s="280"/>
    </row>
    <row r="10" spans="1:6" x14ac:dyDescent="0.25">
      <c r="B10" s="280" t="s">
        <v>285</v>
      </c>
      <c r="C10" s="280"/>
    </row>
    <row r="12" spans="1:6" x14ac:dyDescent="0.25">
      <c r="A12" s="280" t="s">
        <v>319</v>
      </c>
      <c r="B12" s="280"/>
    </row>
    <row r="13" spans="1:6" x14ac:dyDescent="0.25">
      <c r="B13" s="280" t="s">
        <v>390</v>
      </c>
      <c r="C13" s="280"/>
    </row>
    <row r="14" spans="1:6" x14ac:dyDescent="0.25">
      <c r="B14" s="280" t="s">
        <v>391</v>
      </c>
      <c r="C14" s="280"/>
    </row>
    <row r="15" spans="1:6" x14ac:dyDescent="0.25">
      <c r="B15" s="280" t="s">
        <v>392</v>
      </c>
      <c r="C15" s="280"/>
    </row>
    <row r="16" spans="1:6" x14ac:dyDescent="0.25">
      <c r="B16" s="280" t="s">
        <v>332</v>
      </c>
      <c r="C16" s="280"/>
    </row>
    <row r="17" spans="1:3" x14ac:dyDescent="0.25">
      <c r="B17" s="32"/>
      <c r="C17" s="32"/>
    </row>
    <row r="18" spans="1:3" x14ac:dyDescent="0.25">
      <c r="A18" s="280" t="s">
        <v>442</v>
      </c>
      <c r="B18" s="280"/>
      <c r="C18" s="32"/>
    </row>
    <row r="19" spans="1:3" x14ac:dyDescent="0.25">
      <c r="B19" s="32" t="s">
        <v>442</v>
      </c>
      <c r="C19" s="32"/>
    </row>
    <row r="20" spans="1:3" x14ac:dyDescent="0.25">
      <c r="B20" s="32"/>
      <c r="C20" s="32"/>
    </row>
    <row r="21" spans="1:3" x14ac:dyDescent="0.25">
      <c r="A21" s="280" t="s">
        <v>373</v>
      </c>
      <c r="B21" s="280"/>
    </row>
    <row r="22" spans="1:3" x14ac:dyDescent="0.25">
      <c r="B22" s="280" t="s">
        <v>373</v>
      </c>
      <c r="C22" s="280"/>
    </row>
    <row r="23" spans="1:3" x14ac:dyDescent="0.25">
      <c r="B23" s="32"/>
      <c r="C23" s="32"/>
    </row>
    <row r="24" spans="1:3" x14ac:dyDescent="0.25">
      <c r="A24" s="280" t="s">
        <v>488</v>
      </c>
      <c r="B24" s="280"/>
    </row>
    <row r="25" spans="1:3" x14ac:dyDescent="0.25">
      <c r="B25" s="280" t="s">
        <v>489</v>
      </c>
      <c r="C25" s="280"/>
    </row>
    <row r="26" spans="1:3" x14ac:dyDescent="0.25">
      <c r="B26" s="280" t="s">
        <v>490</v>
      </c>
      <c r="C26" s="280"/>
    </row>
    <row r="27" spans="1:3" x14ac:dyDescent="0.25">
      <c r="B27" s="32"/>
      <c r="C27" s="32"/>
    </row>
    <row r="28" spans="1:3" x14ac:dyDescent="0.25">
      <c r="A28" s="280" t="s">
        <v>320</v>
      </c>
      <c r="B28" s="280"/>
    </row>
    <row r="29" spans="1:3" x14ac:dyDescent="0.25">
      <c r="B29" s="280" t="s">
        <v>398</v>
      </c>
      <c r="C29" s="280"/>
    </row>
    <row r="30" spans="1:3" x14ac:dyDescent="0.25">
      <c r="B30" s="32"/>
      <c r="C30" s="32"/>
    </row>
    <row r="31" spans="1:3" x14ac:dyDescent="0.25">
      <c r="A31" s="280" t="s">
        <v>321</v>
      </c>
      <c r="B31" s="280"/>
    </row>
    <row r="32" spans="1:3" x14ac:dyDescent="0.25">
      <c r="B32" s="280" t="s">
        <v>399</v>
      </c>
      <c r="C32" s="280"/>
    </row>
    <row r="33" spans="1:3" x14ac:dyDescent="0.25">
      <c r="B33" s="280" t="s">
        <v>400</v>
      </c>
      <c r="C33" s="280"/>
    </row>
    <row r="34" spans="1:3" x14ac:dyDescent="0.25">
      <c r="B34" s="280" t="s">
        <v>401</v>
      </c>
      <c r="C34" s="280"/>
    </row>
    <row r="35" spans="1:3" x14ac:dyDescent="0.25">
      <c r="B35" s="280" t="s">
        <v>402</v>
      </c>
      <c r="C35" s="280"/>
    </row>
    <row r="36" spans="1:3" x14ac:dyDescent="0.25">
      <c r="B36" s="280" t="s">
        <v>568</v>
      </c>
      <c r="C36" s="280"/>
    </row>
    <row r="37" spans="1:3" x14ac:dyDescent="0.25">
      <c r="B37" s="32"/>
      <c r="C37" s="32"/>
    </row>
    <row r="38" spans="1:3" x14ac:dyDescent="0.25">
      <c r="A38" s="280" t="s">
        <v>322</v>
      </c>
      <c r="B38" s="280"/>
    </row>
    <row r="39" spans="1:3" x14ac:dyDescent="0.25">
      <c r="B39" s="280" t="s">
        <v>434</v>
      </c>
      <c r="C39" s="280"/>
    </row>
    <row r="40" spans="1:3" x14ac:dyDescent="0.25">
      <c r="B40" s="280" t="s">
        <v>435</v>
      </c>
      <c r="C40" s="280"/>
    </row>
    <row r="41" spans="1:3" x14ac:dyDescent="0.25">
      <c r="B41" s="280" t="s">
        <v>436</v>
      </c>
      <c r="C41" s="280"/>
    </row>
    <row r="42" spans="1:3" x14ac:dyDescent="0.25">
      <c r="B42" s="280" t="s">
        <v>437</v>
      </c>
      <c r="C42" s="280"/>
    </row>
    <row r="43" spans="1:3" x14ac:dyDescent="0.25">
      <c r="B43" s="280" t="s">
        <v>438</v>
      </c>
      <c r="C43" s="280"/>
    </row>
    <row r="44" spans="1:3" x14ac:dyDescent="0.25">
      <c r="B44" s="280" t="s">
        <v>439</v>
      </c>
      <c r="C44" s="280"/>
    </row>
    <row r="45" spans="1:3" x14ac:dyDescent="0.25">
      <c r="B45" s="280" t="s">
        <v>440</v>
      </c>
      <c r="C45" s="280"/>
    </row>
  </sheetData>
  <mergeCells count="34">
    <mergeCell ref="A1:C2"/>
    <mergeCell ref="A4:B4"/>
    <mergeCell ref="B5:C5"/>
    <mergeCell ref="A24:B24"/>
    <mergeCell ref="B25:C25"/>
    <mergeCell ref="A12:B12"/>
    <mergeCell ref="B13:C13"/>
    <mergeCell ref="A18:B18"/>
    <mergeCell ref="B6:C6"/>
    <mergeCell ref="B7:C7"/>
    <mergeCell ref="B14:C14"/>
    <mergeCell ref="B15:C15"/>
    <mergeCell ref="B16:C16"/>
    <mergeCell ref="A21:B21"/>
    <mergeCell ref="B22:C22"/>
    <mergeCell ref="A9:B9"/>
    <mergeCell ref="B34:C34"/>
    <mergeCell ref="A31:B31"/>
    <mergeCell ref="B32:C32"/>
    <mergeCell ref="B45:C45"/>
    <mergeCell ref="B40:C40"/>
    <mergeCell ref="B42:C42"/>
    <mergeCell ref="B44:C44"/>
    <mergeCell ref="B35:C35"/>
    <mergeCell ref="B36:C36"/>
    <mergeCell ref="A38:B38"/>
    <mergeCell ref="B39:C39"/>
    <mergeCell ref="B41:C41"/>
    <mergeCell ref="B43:C43"/>
    <mergeCell ref="B10:C10"/>
    <mergeCell ref="A28:B28"/>
    <mergeCell ref="B26:C26"/>
    <mergeCell ref="B29:C29"/>
    <mergeCell ref="B33:C33"/>
  </mergeCells>
  <hyperlinks>
    <hyperlink ref="A4" location="Scenarios!A1" display="2. Scenarios" xr:uid="{00000000-0004-0000-0100-000000000000}"/>
    <hyperlink ref="A24" location="Generation!A1" display="3. Generation" xr:uid="{00000000-0004-0000-0100-000001000000}"/>
    <hyperlink ref="B5:C5" location="'Asset Run Control'!B7" display="Asset Run Control: General" xr:uid="{00000000-0004-0000-0100-000002000000}"/>
    <hyperlink ref="B25:C25" location="'Asset Groups'!B7" display="Asset Groups: Control" xr:uid="{00000000-0004-0000-0100-000003000000}"/>
    <hyperlink ref="A4:B4" location="'Asset Run Control'!A1" display="1. Asset Run Control" xr:uid="{00000000-0004-0000-0100-000004000000}"/>
    <hyperlink ref="A24:B24" location="'Asset Groups'!A1" display="2. Asset Groups" xr:uid="{00000000-0004-0000-0100-000005000000}"/>
    <hyperlink ref="A38" location="Generation!A1" display="3. Generation" xr:uid="{00000000-0004-0000-0100-000006000000}"/>
    <hyperlink ref="B39:C39" location="'Purch Bond Defn'!A1" display="Purchased Assets Bond" xr:uid="{00000000-0004-0000-0100-000007000000}"/>
    <hyperlink ref="A38:B38" location="'Purch Bond Defn'!A1" display="Purchase Asset Definitions" xr:uid="{00000000-0004-0000-0100-000008000000}"/>
    <hyperlink ref="B40:C40" location="'Purch Mtg Defn'!A1" display="Purchase Mortgage Definitions" xr:uid="{00000000-0004-0000-0100-000009000000}"/>
    <hyperlink ref="B41:C41" location="'Purch Sec Defn'!A1" display="Purchase Securitized Asset Definitions" xr:uid="{00000000-0004-0000-0100-00000A000000}"/>
    <hyperlink ref="B42:C42" location="'Purch Ird Defn'!A1" display="Purchase Interest Rate Derivative Definitions" xr:uid="{00000000-0004-0000-0100-00000B000000}"/>
    <hyperlink ref="B43:C43" location="'Purch Re Defn'!A1" display="Purchase Real Estate Definitions" xr:uid="{00000000-0004-0000-0100-00000C000000}"/>
    <hyperlink ref="B44:C44" location="'Purch Eqt Defn'!A1" display="Purchase Equity Definitions" xr:uid="{00000000-0004-0000-0100-00000D000000}"/>
    <hyperlink ref="B45:C45" location="'Purch Eio Defn'!A1" display="Purchase Index Option Definitions" xr:uid="{00000000-0004-0000-0100-00000E000000}"/>
    <hyperlink ref="A12" location="Scenarios!A1" display="2. Scenarios" xr:uid="{00000000-0004-0000-0100-00000F000000}"/>
    <hyperlink ref="B13:C13" location="Decrements!B7" display="Default/Refinance/Restructure/Foreclosure" xr:uid="{00000000-0004-0000-0100-000010000000}"/>
    <hyperlink ref="A12:B12" location="Decrements!A1" display="2. Decrements" xr:uid="{00000000-0004-0000-0100-000011000000}"/>
    <hyperlink ref="B14:C15" location="'Asset Run Control'!B3" display="1.1. Asset Run Control" xr:uid="{00000000-0004-0000-0100-000012000000}"/>
    <hyperlink ref="B14:C14" location="Decrements!B25" display="Sinking Fund Payments" xr:uid="{00000000-0004-0000-0100-000013000000}"/>
    <hyperlink ref="B15:C15" location="Decrements!B28" display="Call/Put/Prepayments" xr:uid="{00000000-0004-0000-0100-000014000000}"/>
    <hyperlink ref="A21" location="Generation!A1" display="3. Generation" xr:uid="{00000000-0004-0000-0100-000015000000}"/>
    <hyperlink ref="B22:C22" location="'Balance Sheet'!B7" display="Asset Balance Sheet" xr:uid="{00000000-0004-0000-0100-000016000000}"/>
    <hyperlink ref="A21:B21" location="'Balance Sheet'!A1" display="Balance Sheet" xr:uid="{00000000-0004-0000-0100-000017000000}"/>
    <hyperlink ref="A28" location="Generation!A1" display="3. Generation" xr:uid="{00000000-0004-0000-0100-000018000000}"/>
    <hyperlink ref="B29:C29" location="RefinanceForeclosureRestructure!B7" display="Refinance Restructure Foreclosure Investments" xr:uid="{00000000-0004-0000-0100-000019000000}"/>
    <hyperlink ref="A28:B28" location="RefinanceForeclosureRestructure!A1" display="5. Refinance Forclosure Restructure" xr:uid="{00000000-0004-0000-0100-00001A000000}"/>
    <hyperlink ref="A31" location="Generation!A1" display="3. Generation" xr:uid="{00000000-0004-0000-0100-00001B000000}"/>
    <hyperlink ref="B32:C32" location="Strategy!B8" display="Strategy : Control" xr:uid="{00000000-0004-0000-0100-00001C000000}"/>
    <hyperlink ref="A31:B31" location="Strategy!A1" display="6. Strategy" xr:uid="{00000000-0004-0000-0100-00001D000000}"/>
    <hyperlink ref="B33:C33" location="Strategy!B20" display="Strategy : Definitions" xr:uid="{00000000-0004-0000-0100-00001E000000}"/>
    <hyperlink ref="B34:C36" location="RefinanceForeclosureRestructure!B11" display="5.2. Refinance Restructure Adjustments" xr:uid="{00000000-0004-0000-0100-00001F000000}"/>
    <hyperlink ref="B34:C34" location="Strategy!B23" display="Strategy : Planned" xr:uid="{00000000-0004-0000-0100-000020000000}"/>
    <hyperlink ref="B35:C35" location="Strategy!B27" display="Strategy : Economic" xr:uid="{00000000-0004-0000-0100-000021000000}"/>
    <hyperlink ref="B36:C36" location="Strategy!B29" display="Strateg : Sales" xr:uid="{00000000-0004-0000-0100-000022000000}"/>
    <hyperlink ref="B16:C16" location="Decrements!B50" display="ADCo" xr:uid="{00000000-0004-0000-0100-000023000000}"/>
    <hyperlink ref="B6:C6" location="'Asset Run Control'!B23" display="Asset Run Control : ADCo" xr:uid="{00000000-0004-0000-0100-000024000000}"/>
    <hyperlink ref="B7:C7" location="'Asset Run Control'!B31" display="Asset Run Control : Intex" xr:uid="{00000000-0004-0000-0100-000025000000}"/>
    <hyperlink ref="A18:B18" location="'Sec Cash Flows'!A1" display="Securitized Asset Cash Flows" xr:uid="{00000000-0004-0000-0100-000026000000}"/>
    <hyperlink ref="B19" location="SecuritizedAssetCashFlows" display="Securitized Asset Cash Flows" xr:uid="{00000000-0004-0000-0100-000027000000}"/>
    <hyperlink ref="A9" location="Scenarios!A1" display="2. Scenarios" xr:uid="{00000000-0004-0000-0100-000028000000}"/>
    <hyperlink ref="B10:C10" location="Cash" display="Cash" xr:uid="{00000000-0004-0000-0100-000029000000}"/>
    <hyperlink ref="A9:B9" location="Cash!A1" display="Cash" xr:uid="{00000000-0004-0000-0100-00002A000000}"/>
    <hyperlink ref="B26:C26" location="'Asset Groups'!B11" display="Asset Groups: Definitions" xr:uid="{00000000-0004-0000-0100-00002B000000}"/>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40"/>
  <sheetViews>
    <sheetView showGridLines="0" zoomScale="85" zoomScaleNormal="85" workbookViewId="0">
      <selection activeCell="G34" sqref="G34"/>
    </sheetView>
  </sheetViews>
  <sheetFormatPr defaultColWidth="45.54296875" defaultRowHeight="12.5" x14ac:dyDescent="0.25"/>
  <cols>
    <col min="1" max="1" width="27.81640625" style="14" customWidth="1"/>
    <col min="2" max="2" width="32.54296875" style="11" customWidth="1"/>
    <col min="3" max="3" width="28" style="11" bestFit="1" customWidth="1"/>
    <col min="4" max="4" width="8.81640625" style="11" customWidth="1"/>
    <col min="5" max="5" width="10.26953125" style="11" customWidth="1"/>
    <col min="6" max="6" width="17.26953125" style="11" customWidth="1"/>
    <col min="7" max="16384" width="45.54296875" style="11"/>
  </cols>
  <sheetData>
    <row r="1" spans="1:6" ht="15.5" x14ac:dyDescent="0.25">
      <c r="A1" s="13" t="s">
        <v>9</v>
      </c>
      <c r="B1" s="18" t="s">
        <v>44</v>
      </c>
    </row>
    <row r="2" spans="1:6" x14ac:dyDescent="0.25">
      <c r="B2" s="14"/>
    </row>
    <row r="3" spans="1:6" ht="13" x14ac:dyDescent="0.25">
      <c r="B3" s="17" t="str">
        <f ca="1">GetNameRange(B4)</f>
        <v>AssetRunControl</v>
      </c>
    </row>
    <row r="4" spans="1:6" ht="13" x14ac:dyDescent="0.25">
      <c r="A4" s="55"/>
      <c r="B4" s="138" t="s">
        <v>10</v>
      </c>
      <c r="C4" s="148" t="s">
        <v>449</v>
      </c>
    </row>
    <row r="5" spans="1:6" ht="13" x14ac:dyDescent="0.25">
      <c r="A5" s="56" t="s">
        <v>8</v>
      </c>
      <c r="B5" s="102" t="s">
        <v>0</v>
      </c>
      <c r="C5" s="145"/>
    </row>
    <row r="6" spans="1:6" ht="13" x14ac:dyDescent="0.25">
      <c r="A6" s="20"/>
      <c r="B6" s="149"/>
      <c r="C6" s="150"/>
    </row>
    <row r="7" spans="1:6" ht="13" x14ac:dyDescent="0.25">
      <c r="A7" s="20"/>
      <c r="B7" s="149" t="s">
        <v>318</v>
      </c>
      <c r="C7" s="150"/>
    </row>
    <row r="8" spans="1:6" x14ac:dyDescent="0.25">
      <c r="A8" s="14" t="s">
        <v>45</v>
      </c>
      <c r="B8" s="103" t="s">
        <v>11</v>
      </c>
      <c r="C8" s="151" t="s">
        <v>121</v>
      </c>
    </row>
    <row r="9" spans="1:6" x14ac:dyDescent="0.25">
      <c r="A9" s="14">
        <v>9999</v>
      </c>
      <c r="B9" s="103" t="s">
        <v>12</v>
      </c>
      <c r="C9" s="151">
        <v>9999</v>
      </c>
    </row>
    <row r="10" spans="1:6" x14ac:dyDescent="0.25">
      <c r="A10" s="14" t="s">
        <v>37</v>
      </c>
      <c r="B10" s="103" t="s">
        <v>13</v>
      </c>
      <c r="C10" s="151" t="s">
        <v>456</v>
      </c>
    </row>
    <row r="11" spans="1:6" x14ac:dyDescent="0.25">
      <c r="A11" s="14" t="s">
        <v>37</v>
      </c>
      <c r="B11" s="103" t="s">
        <v>14</v>
      </c>
      <c r="C11" s="151" t="s">
        <v>37</v>
      </c>
    </row>
    <row r="12" spans="1:6" x14ac:dyDescent="0.25">
      <c r="A12" s="14" t="s">
        <v>38</v>
      </c>
      <c r="B12" s="103" t="s">
        <v>15</v>
      </c>
      <c r="C12" s="151" t="s">
        <v>38</v>
      </c>
    </row>
    <row r="13" spans="1:6" x14ac:dyDescent="0.25">
      <c r="A13" s="14" t="s">
        <v>39</v>
      </c>
      <c r="B13" s="103" t="s">
        <v>16</v>
      </c>
      <c r="C13" s="151" t="s">
        <v>39</v>
      </c>
      <c r="D13" s="11" t="s">
        <v>650</v>
      </c>
      <c r="E13" s="237" t="s">
        <v>664</v>
      </c>
    </row>
    <row r="14" spans="1:6" x14ac:dyDescent="0.25">
      <c r="A14" s="15" t="s">
        <v>5</v>
      </c>
      <c r="B14" s="238" t="s">
        <v>665</v>
      </c>
      <c r="C14" s="151" t="s">
        <v>41</v>
      </c>
      <c r="E14" s="237"/>
    </row>
    <row r="15" spans="1:6" s="242" customFormat="1" x14ac:dyDescent="0.25">
      <c r="A15" s="239" t="s">
        <v>5</v>
      </c>
      <c r="B15" s="240" t="s">
        <v>666</v>
      </c>
      <c r="C15" s="241" t="s">
        <v>41</v>
      </c>
      <c r="E15" s="243"/>
    </row>
    <row r="16" spans="1:6" s="242" customFormat="1" x14ac:dyDescent="0.25">
      <c r="A16" s="15" t="s">
        <v>224</v>
      </c>
      <c r="B16" s="103" t="s">
        <v>667</v>
      </c>
      <c r="C16" s="151" t="s">
        <v>668</v>
      </c>
      <c r="D16" s="11" t="s">
        <v>671</v>
      </c>
      <c r="E16" s="11" t="s">
        <v>670</v>
      </c>
      <c r="F16" s="11" t="s">
        <v>669</v>
      </c>
    </row>
    <row r="17" spans="1:6" x14ac:dyDescent="0.25">
      <c r="A17" s="15" t="s">
        <v>5</v>
      </c>
      <c r="B17" s="103" t="s">
        <v>17</v>
      </c>
      <c r="C17" s="151" t="s">
        <v>5</v>
      </c>
      <c r="D17" s="151" t="s">
        <v>41</v>
      </c>
      <c r="E17" s="151" t="s">
        <v>41</v>
      </c>
      <c r="F17" s="151" t="s">
        <v>5</v>
      </c>
    </row>
    <row r="18" spans="1:6" x14ac:dyDescent="0.25">
      <c r="A18" s="15" t="s">
        <v>5</v>
      </c>
      <c r="B18" s="103" t="s">
        <v>18</v>
      </c>
      <c r="C18" s="151" t="s">
        <v>5</v>
      </c>
      <c r="D18" s="151" t="s">
        <v>41</v>
      </c>
      <c r="E18" s="151" t="s">
        <v>41</v>
      </c>
      <c r="F18" s="151" t="s">
        <v>5</v>
      </c>
    </row>
    <row r="19" spans="1:6" x14ac:dyDescent="0.25">
      <c r="A19" s="14" t="s">
        <v>6</v>
      </c>
      <c r="B19" s="103" t="s">
        <v>19</v>
      </c>
      <c r="C19" s="151" t="s">
        <v>6</v>
      </c>
      <c r="D19" s="151" t="s">
        <v>6</v>
      </c>
      <c r="E19" s="151" t="s">
        <v>6</v>
      </c>
      <c r="F19" s="151" t="s">
        <v>6</v>
      </c>
    </row>
    <row r="20" spans="1:6" x14ac:dyDescent="0.25">
      <c r="A20" s="14" t="s">
        <v>6</v>
      </c>
      <c r="B20" s="103" t="s">
        <v>20</v>
      </c>
      <c r="C20" s="151" t="s">
        <v>6</v>
      </c>
      <c r="D20" s="151" t="s">
        <v>6</v>
      </c>
      <c r="E20" s="151" t="s">
        <v>49</v>
      </c>
      <c r="F20" s="151" t="s">
        <v>6</v>
      </c>
    </row>
    <row r="21" spans="1:6" x14ac:dyDescent="0.25">
      <c r="A21" s="30">
        <v>9999</v>
      </c>
      <c r="B21" s="103" t="s">
        <v>21</v>
      </c>
      <c r="C21" s="151">
        <v>1</v>
      </c>
      <c r="D21" s="151">
        <v>1</v>
      </c>
      <c r="E21" s="151">
        <v>1</v>
      </c>
      <c r="F21" s="151">
        <v>1</v>
      </c>
    </row>
    <row r="22" spans="1:6" x14ac:dyDescent="0.25">
      <c r="A22" s="30">
        <v>9999</v>
      </c>
      <c r="B22" s="103" t="s">
        <v>22</v>
      </c>
      <c r="C22" s="151">
        <v>360</v>
      </c>
      <c r="D22" s="151">
        <v>360</v>
      </c>
      <c r="E22" s="151">
        <v>36</v>
      </c>
      <c r="F22" s="151">
        <v>360</v>
      </c>
    </row>
    <row r="23" spans="1:6" x14ac:dyDescent="0.25">
      <c r="A23" s="30"/>
      <c r="B23" s="152"/>
      <c r="C23" s="151"/>
    </row>
    <row r="24" spans="1:6" ht="13" x14ac:dyDescent="0.25">
      <c r="A24" s="30"/>
      <c r="B24" s="153" t="s">
        <v>323</v>
      </c>
      <c r="C24" s="151"/>
    </row>
    <row r="25" spans="1:6" x14ac:dyDescent="0.25">
      <c r="A25" s="31" t="s">
        <v>40</v>
      </c>
      <c r="B25" s="103" t="s">
        <v>23</v>
      </c>
      <c r="C25" s="151" t="s">
        <v>40</v>
      </c>
    </row>
    <row r="26" spans="1:6" x14ac:dyDescent="0.25">
      <c r="A26" s="16" t="s">
        <v>41</v>
      </c>
      <c r="B26" s="103" t="s">
        <v>24</v>
      </c>
      <c r="C26" s="151" t="s">
        <v>41</v>
      </c>
    </row>
    <row r="27" spans="1:6" x14ac:dyDescent="0.25">
      <c r="A27" s="16" t="s">
        <v>5</v>
      </c>
      <c r="B27" s="103" t="s">
        <v>25</v>
      </c>
      <c r="C27" s="151" t="s">
        <v>5</v>
      </c>
    </row>
    <row r="28" spans="1:6" x14ac:dyDescent="0.25">
      <c r="A28" s="16" t="s">
        <v>6</v>
      </c>
      <c r="B28" s="103" t="s">
        <v>26</v>
      </c>
      <c r="C28" s="151" t="s">
        <v>6</v>
      </c>
    </row>
    <row r="29" spans="1:6" x14ac:dyDescent="0.25">
      <c r="A29" s="30">
        <v>999</v>
      </c>
      <c r="B29" s="103" t="s">
        <v>27</v>
      </c>
      <c r="C29" s="151">
        <v>999</v>
      </c>
    </row>
    <row r="30" spans="1:6" x14ac:dyDescent="0.25">
      <c r="A30" s="30">
        <v>999</v>
      </c>
      <c r="B30" s="103" t="s">
        <v>28</v>
      </c>
      <c r="C30" s="151">
        <v>999</v>
      </c>
    </row>
    <row r="31" spans="1:6" x14ac:dyDescent="0.25">
      <c r="A31" s="30"/>
      <c r="B31" s="152"/>
      <c r="C31" s="151"/>
    </row>
    <row r="32" spans="1:6" ht="13" x14ac:dyDescent="0.25">
      <c r="A32" s="30"/>
      <c r="B32" s="153" t="s">
        <v>324</v>
      </c>
      <c r="C32" s="151"/>
    </row>
    <row r="33" spans="1:3" x14ac:dyDescent="0.25">
      <c r="A33" s="16" t="s">
        <v>41</v>
      </c>
      <c r="B33" s="154" t="s">
        <v>29</v>
      </c>
      <c r="C33" s="151" t="s">
        <v>5</v>
      </c>
    </row>
    <row r="34" spans="1:3" x14ac:dyDescent="0.25">
      <c r="A34" s="14" t="s">
        <v>42</v>
      </c>
      <c r="B34" s="103" t="s">
        <v>30</v>
      </c>
      <c r="C34" s="151" t="s">
        <v>42</v>
      </c>
    </row>
    <row r="35" spans="1:3" x14ac:dyDescent="0.25">
      <c r="A35" s="14" t="s">
        <v>446</v>
      </c>
      <c r="B35" s="103" t="s">
        <v>447</v>
      </c>
      <c r="C35" s="151" t="s">
        <v>446</v>
      </c>
    </row>
    <row r="36" spans="1:3" x14ac:dyDescent="0.25">
      <c r="A36" s="14" t="s">
        <v>43</v>
      </c>
      <c r="B36" s="103" t="s">
        <v>31</v>
      </c>
      <c r="C36" s="151" t="s">
        <v>487</v>
      </c>
    </row>
    <row r="37" spans="1:3" x14ac:dyDescent="0.25">
      <c r="A37" s="14" t="s">
        <v>5</v>
      </c>
      <c r="B37" s="103" t="s">
        <v>32</v>
      </c>
      <c r="C37" s="151" t="s">
        <v>5</v>
      </c>
    </row>
    <row r="38" spans="1:3" x14ac:dyDescent="0.25">
      <c r="A38" s="14" t="s">
        <v>6</v>
      </c>
      <c r="B38" s="103" t="s">
        <v>33</v>
      </c>
      <c r="C38" s="151" t="s">
        <v>6</v>
      </c>
    </row>
    <row r="39" spans="1:3" x14ac:dyDescent="0.25">
      <c r="A39" s="14">
        <v>999</v>
      </c>
      <c r="B39" s="103" t="s">
        <v>34</v>
      </c>
      <c r="C39" s="151">
        <v>999</v>
      </c>
    </row>
    <row r="40" spans="1:3" x14ac:dyDescent="0.25">
      <c r="A40" s="14">
        <v>999</v>
      </c>
      <c r="B40" s="103" t="s">
        <v>35</v>
      </c>
      <c r="C40" s="151">
        <v>999</v>
      </c>
    </row>
  </sheetData>
  <conditionalFormatting sqref="C8:C13 C23:C40">
    <cfRule type="cellIs" dxfId="2739" priority="103" operator="notEqual">
      <formula>$A8</formula>
    </cfRule>
  </conditionalFormatting>
  <conditionalFormatting sqref="D17:D19 D21">
    <cfRule type="cellIs" dxfId="2738" priority="32" operator="notEqual">
      <formula>$A17</formula>
    </cfRule>
  </conditionalFormatting>
  <conditionalFormatting sqref="D20">
    <cfRule type="cellIs" dxfId="2737" priority="26" operator="notEqual">
      <formula>$A20</formula>
    </cfRule>
  </conditionalFormatting>
  <conditionalFormatting sqref="D22">
    <cfRule type="cellIs" dxfId="2736" priority="25" operator="notEqual">
      <formula>$A22</formula>
    </cfRule>
  </conditionalFormatting>
  <conditionalFormatting sqref="E17:E22">
    <cfRule type="cellIs" dxfId="2735" priority="24" operator="notEqual">
      <formula>$A17</formula>
    </cfRule>
  </conditionalFormatting>
  <conditionalFormatting sqref="C14">
    <cfRule type="cellIs" dxfId="2734" priority="22" operator="notEqual">
      <formula>$A14</formula>
    </cfRule>
  </conditionalFormatting>
  <conditionalFormatting sqref="C15">
    <cfRule type="cellIs" dxfId="2733" priority="21" operator="notEqual">
      <formula>$A15</formula>
    </cfRule>
  </conditionalFormatting>
  <conditionalFormatting sqref="C16">
    <cfRule type="cellIs" dxfId="2732" priority="20" operator="notEqual">
      <formula>$A16</formula>
    </cfRule>
  </conditionalFormatting>
  <conditionalFormatting sqref="F17:F19 F21:F22">
    <cfRule type="cellIs" dxfId="2731" priority="19" operator="notEqual">
      <formula>$A17</formula>
    </cfRule>
  </conditionalFormatting>
  <conditionalFormatting sqref="F20">
    <cfRule type="cellIs" dxfId="2730" priority="18" operator="notEqual">
      <formula>$A20</formula>
    </cfRule>
  </conditionalFormatting>
  <conditionalFormatting sqref="C19 C21">
    <cfRule type="cellIs" dxfId="2729" priority="4" operator="notEqual">
      <formula>$A19</formula>
    </cfRule>
  </conditionalFormatting>
  <conditionalFormatting sqref="C20">
    <cfRule type="cellIs" dxfId="2728" priority="3" operator="notEqual">
      <formula>$A20</formula>
    </cfRule>
  </conditionalFormatting>
  <conditionalFormatting sqref="C22">
    <cfRule type="cellIs" dxfId="2727" priority="2" operator="notEqual">
      <formula>$A22</formula>
    </cfRule>
  </conditionalFormatting>
  <conditionalFormatting sqref="C17:C18">
    <cfRule type="cellIs" dxfId="2726" priority="1" operator="notEqual">
      <formula>$A17</formula>
    </cfRule>
  </conditionalFormatting>
  <dataValidations count="8">
    <dataValidation type="list" allowBlank="1" showInputMessage="1" showErrorMessage="1" sqref="C12" xr:uid="{00000000-0002-0000-0200-000000000000}">
      <formula1>"Hold Level,Grade to Zero,Set to Zero"</formula1>
    </dataValidation>
    <dataValidation type="list" allowBlank="1" showInputMessage="1" showErrorMessage="1" sqref="C13" xr:uid="{00000000-0002-0000-0200-000001000000}">
      <formula1>"Not Applicable,Single Non Callable,Callable Separate"</formula1>
    </dataValidation>
    <dataValidation type="list" allowBlank="1" showInputMessage="1" showErrorMessage="1" sqref="C8" xr:uid="{00000000-0002-0000-0200-000002000000}">
      <formula1>"Beginning and End of Projection,Monthly,Quarterly (Mar - Jun - Sep &amp; Dec),Semiannually (Jun &amp; Dec),Annually (Dec),Every Nth Year (Dec)"</formula1>
    </dataValidation>
    <dataValidation type="list" allowBlank="1" showInputMessage="1" showErrorMessage="1" sqref="C10" xr:uid="{00000000-0002-0000-0200-000003000000}">
      <formula1>"At Asset Frequency,Whenever Needed"</formula1>
    </dataValidation>
    <dataValidation type="list" allowBlank="1" showInputMessage="1" showErrorMessage="1" sqref="C11" xr:uid="{00000000-0002-0000-0200-000004000000}">
      <formula1>"At Asset Frequency,Monthly,Quarterly (Mar - Jun - Sep &amp; Dec),Semiannually (Jun &amp; Dec),Annually (Dec)"</formula1>
    </dataValidation>
    <dataValidation type="list" allowBlank="1" showInputMessage="1" showErrorMessage="1" sqref="C37 C27 C17:F18" xr:uid="{00000000-0002-0000-0200-000005000000}">
      <formula1>"No,Yes"</formula1>
    </dataValidation>
    <dataValidation type="list" allowBlank="1" showInputMessage="1" showErrorMessage="1" sqref="C26 C33 C14:C15" xr:uid="{00000000-0002-0000-0200-000006000000}">
      <formula1>"Yes,No"</formula1>
    </dataValidation>
    <dataValidation type="list" allowBlank="1" showInputMessage="1" showErrorMessage="1" sqref="C16" xr:uid="{00000000-0002-0000-0200-000007000000}">
      <formula1>"None, Use RBC C4, Use RBC C4 Change"</formula1>
    </dataValidation>
  </dataValidations>
  <hyperlinks>
    <hyperlink ref="A1" location="'Table of Contents'!A1" display="Go to TOC" xr:uid="{00000000-0004-0000-0200-000000000000}"/>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C18"/>
  <sheetViews>
    <sheetView showGridLines="0" workbookViewId="0">
      <selection activeCell="F17" sqref="F17"/>
    </sheetView>
  </sheetViews>
  <sheetFormatPr defaultColWidth="21.1796875" defaultRowHeight="12.5" x14ac:dyDescent="0.25"/>
  <cols>
    <col min="1" max="1" width="21.1796875" style="14"/>
    <col min="2" max="16384" width="21.1796875" style="11"/>
  </cols>
  <sheetData>
    <row r="1" spans="1:3" ht="15.5" x14ac:dyDescent="0.25">
      <c r="A1" s="13" t="s">
        <v>9</v>
      </c>
      <c r="B1" s="18" t="s">
        <v>448</v>
      </c>
    </row>
    <row r="2" spans="1:3" x14ac:dyDescent="0.25">
      <c r="B2" s="14"/>
    </row>
    <row r="3" spans="1:3" ht="13" x14ac:dyDescent="0.25">
      <c r="B3" s="17" t="str">
        <f ca="1">GetNameRange(B4)</f>
        <v>Cash</v>
      </c>
    </row>
    <row r="4" spans="1:3" ht="13" x14ac:dyDescent="0.25">
      <c r="A4" s="55"/>
      <c r="B4" s="138" t="s">
        <v>10</v>
      </c>
      <c r="C4" s="148" t="s">
        <v>449</v>
      </c>
    </row>
    <row r="5" spans="1:3" ht="13" x14ac:dyDescent="0.25">
      <c r="A5" s="56" t="s">
        <v>8</v>
      </c>
      <c r="B5" s="102" t="s">
        <v>0</v>
      </c>
      <c r="C5" s="145"/>
    </row>
    <row r="6" spans="1:3" x14ac:dyDescent="0.25">
      <c r="B6" s="152"/>
      <c r="C6" s="151"/>
    </row>
    <row r="7" spans="1:3" ht="13" x14ac:dyDescent="0.25">
      <c r="B7" s="153" t="s">
        <v>285</v>
      </c>
      <c r="C7" s="151"/>
    </row>
    <row r="8" spans="1:3" x14ac:dyDescent="0.25">
      <c r="A8" s="14" t="s">
        <v>52</v>
      </c>
      <c r="B8" s="103" t="s">
        <v>554</v>
      </c>
      <c r="C8" s="151" t="s">
        <v>52</v>
      </c>
    </row>
    <row r="9" spans="1:3" x14ac:dyDescent="0.25">
      <c r="A9" s="186">
        <v>1</v>
      </c>
      <c r="B9" s="103" t="s">
        <v>555</v>
      </c>
      <c r="C9" s="230">
        <v>6</v>
      </c>
    </row>
    <row r="10" spans="1:3" x14ac:dyDescent="0.25">
      <c r="A10" s="61">
        <v>1</v>
      </c>
      <c r="B10" s="103" t="s">
        <v>325</v>
      </c>
      <c r="C10" s="155">
        <v>1</v>
      </c>
    </row>
    <row r="11" spans="1:3" x14ac:dyDescent="0.25">
      <c r="A11" s="64">
        <v>0</v>
      </c>
      <c r="B11" s="103" t="s">
        <v>326</v>
      </c>
      <c r="C11" s="231">
        <v>0</v>
      </c>
    </row>
    <row r="12" spans="1:3" ht="13" x14ac:dyDescent="0.25">
      <c r="A12" s="64"/>
      <c r="B12" s="153" t="s">
        <v>556</v>
      </c>
      <c r="C12" s="121"/>
    </row>
    <row r="13" spans="1:3" x14ac:dyDescent="0.25">
      <c r="A13" s="14" t="s">
        <v>52</v>
      </c>
      <c r="B13" s="103" t="s">
        <v>327</v>
      </c>
      <c r="C13" s="227" t="s">
        <v>52</v>
      </c>
    </row>
    <row r="14" spans="1:3" x14ac:dyDescent="0.25">
      <c r="A14" s="186">
        <v>1</v>
      </c>
      <c r="B14" s="103" t="s">
        <v>557</v>
      </c>
      <c r="C14" s="230">
        <v>6</v>
      </c>
    </row>
    <row r="15" spans="1:3" x14ac:dyDescent="0.25">
      <c r="A15" s="61">
        <v>1</v>
      </c>
      <c r="B15" s="103" t="s">
        <v>558</v>
      </c>
      <c r="C15" s="155">
        <v>1</v>
      </c>
    </row>
    <row r="16" spans="1:3" x14ac:dyDescent="0.25">
      <c r="A16" s="64">
        <v>0</v>
      </c>
      <c r="B16" s="103" t="s">
        <v>559</v>
      </c>
      <c r="C16" s="231">
        <v>1.5E-3</v>
      </c>
    </row>
    <row r="17" spans="1:3" ht="13" x14ac:dyDescent="0.25">
      <c r="B17" s="153" t="s">
        <v>560</v>
      </c>
      <c r="C17" s="151"/>
    </row>
    <row r="18" spans="1:3" x14ac:dyDescent="0.25">
      <c r="A18" s="14" t="s">
        <v>329</v>
      </c>
      <c r="B18" s="103" t="s">
        <v>328</v>
      </c>
      <c r="C18" s="151" t="s">
        <v>329</v>
      </c>
    </row>
  </sheetData>
  <conditionalFormatting sqref="C10 C13 C18">
    <cfRule type="cellIs" dxfId="2725" priority="38" operator="notEqual">
      <formula>$A10</formula>
    </cfRule>
  </conditionalFormatting>
  <conditionalFormatting sqref="C11">
    <cfRule type="cellIs" dxfId="2724" priority="12" operator="notEqual">
      <formula>$A11</formula>
    </cfRule>
    <cfRule type="cellIs" dxfId="2723" priority="13" operator="equal">
      <formula>"""&lt;&gt;$A6"""</formula>
    </cfRule>
    <cfRule type="cellIs" dxfId="2722" priority="14" operator="equal">
      <formula>"&lt;&gt;$A6"</formula>
    </cfRule>
    <cfRule type="cellIs" dxfId="2721" priority="15" operator="equal">
      <formula>$A11</formula>
    </cfRule>
    <cfRule type="cellIs" dxfId="2720" priority="16" operator="equal">
      <formula>$A11</formula>
    </cfRule>
  </conditionalFormatting>
  <conditionalFormatting sqref="C8">
    <cfRule type="cellIs" dxfId="2719" priority="11" operator="notEqual">
      <formula>$A8</formula>
    </cfRule>
  </conditionalFormatting>
  <conditionalFormatting sqref="C9">
    <cfRule type="cellIs" dxfId="2718" priority="10" operator="notEqual">
      <formula>$A9</formula>
    </cfRule>
  </conditionalFormatting>
  <conditionalFormatting sqref="C12">
    <cfRule type="cellIs" dxfId="2717" priority="9" operator="notEqual">
      <formula>$A12</formula>
    </cfRule>
  </conditionalFormatting>
  <conditionalFormatting sqref="C17">
    <cfRule type="cellIs" dxfId="2716" priority="8" operator="notEqual">
      <formula>$A17</formula>
    </cfRule>
  </conditionalFormatting>
  <conditionalFormatting sqref="C15">
    <cfRule type="cellIs" dxfId="2715" priority="7" operator="notEqual">
      <formula>$A15</formula>
    </cfRule>
  </conditionalFormatting>
  <conditionalFormatting sqref="C14">
    <cfRule type="cellIs" dxfId="2714" priority="6" operator="notEqual">
      <formula>$A14</formula>
    </cfRule>
  </conditionalFormatting>
  <conditionalFormatting sqref="C16">
    <cfRule type="cellIs" dxfId="2713" priority="1" operator="notEqual">
      <formula>$A16</formula>
    </cfRule>
    <cfRule type="cellIs" dxfId="2712" priority="2" operator="equal">
      <formula>"""&lt;&gt;$A6"""</formula>
    </cfRule>
    <cfRule type="cellIs" dxfId="2711" priority="3" operator="equal">
      <formula>"&lt;&gt;$A6"</formula>
    </cfRule>
    <cfRule type="cellIs" dxfId="2710" priority="4" operator="equal">
      <formula>$A16</formula>
    </cfRule>
    <cfRule type="cellIs" dxfId="2709" priority="5" operator="equal">
      <formula>$A16</formula>
    </cfRule>
  </conditionalFormatting>
  <dataValidations disablePrompts="1" count="1">
    <dataValidation type="list" allowBlank="1" showInputMessage="1" showErrorMessage="1" sqref="C18" xr:uid="{00000000-0002-0000-0300-000000000000}">
      <formula1>"Cash Account Rate,Asset Net Yield"</formula1>
    </dataValidation>
  </dataValidations>
  <hyperlinks>
    <hyperlink ref="A1" location="'Table of Contents'!A1" display="Go to TOC"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183"/>
  <sheetViews>
    <sheetView showGridLines="0" workbookViewId="0">
      <selection activeCell="C23" sqref="C23"/>
    </sheetView>
  </sheetViews>
  <sheetFormatPr defaultColWidth="9.1796875" defaultRowHeight="12.5" x14ac:dyDescent="0.25"/>
  <cols>
    <col min="1" max="1" width="21.453125" customWidth="1"/>
    <col min="2" max="2" width="54.453125" customWidth="1"/>
    <col min="3" max="3" width="15.54296875" customWidth="1"/>
    <col min="4" max="4" width="19.1796875" customWidth="1"/>
    <col min="5" max="7" width="15.54296875" customWidth="1"/>
    <col min="8" max="8" width="14.1796875" bestFit="1" customWidth="1"/>
    <col min="9" max="9" width="14.453125" bestFit="1" customWidth="1"/>
    <col min="10" max="10" width="14.1796875" bestFit="1" customWidth="1"/>
  </cols>
  <sheetData>
    <row r="1" spans="1:19" s="11" customFormat="1" ht="15.5" x14ac:dyDescent="0.25">
      <c r="A1" s="21" t="s">
        <v>9</v>
      </c>
      <c r="B1" s="18" t="s">
        <v>227</v>
      </c>
    </row>
    <row r="2" spans="1:19" s="11" customFormat="1" ht="13.4" customHeight="1" x14ac:dyDescent="0.25">
      <c r="A2" s="21"/>
      <c r="B2" s="18"/>
      <c r="C2" s="220"/>
    </row>
    <row r="3" spans="1:19" s="11" customFormat="1" ht="13" x14ac:dyDescent="0.25">
      <c r="A3" s="14"/>
      <c r="B3" s="17" t="str">
        <f ca="1">GetNameRange(B4)</f>
        <v>Decrements</v>
      </c>
      <c r="C3" s="220"/>
    </row>
    <row r="4" spans="1:19" s="11" customFormat="1" ht="13" x14ac:dyDescent="0.25">
      <c r="A4" s="26"/>
      <c r="B4" s="138" t="s">
        <v>317</v>
      </c>
      <c r="C4" s="173" t="s">
        <v>457</v>
      </c>
      <c r="D4" s="173" t="s">
        <v>468</v>
      </c>
      <c r="E4" s="173" t="s">
        <v>469</v>
      </c>
      <c r="F4" s="173" t="s">
        <v>470</v>
      </c>
      <c r="G4" s="173" t="s">
        <v>471</v>
      </c>
      <c r="H4" s="173" t="s">
        <v>472</v>
      </c>
      <c r="I4" s="173" t="s">
        <v>473</v>
      </c>
      <c r="J4" s="173" t="s">
        <v>363</v>
      </c>
      <c r="K4" s="173" t="s">
        <v>311</v>
      </c>
      <c r="L4" s="173" t="s">
        <v>52</v>
      </c>
      <c r="M4" s="173" t="s">
        <v>474</v>
      </c>
      <c r="N4" s="173" t="s">
        <v>475</v>
      </c>
      <c r="O4" s="173" t="s">
        <v>476</v>
      </c>
      <c r="P4" s="173" t="s">
        <v>477</v>
      </c>
      <c r="Q4" s="173" t="s">
        <v>478</v>
      </c>
      <c r="R4" s="173" t="s">
        <v>479</v>
      </c>
      <c r="S4" s="174" t="s">
        <v>480</v>
      </c>
    </row>
    <row r="5" spans="1:19" s="11" customFormat="1" ht="13" x14ac:dyDescent="0.25">
      <c r="A5" s="56" t="s">
        <v>8</v>
      </c>
      <c r="B5" s="140" t="s">
        <v>0</v>
      </c>
      <c r="C5" s="47"/>
      <c r="D5" s="47"/>
      <c r="E5" s="47"/>
      <c r="F5" s="47"/>
      <c r="G5" s="47"/>
      <c r="H5" s="47"/>
      <c r="I5" s="47"/>
      <c r="J5" s="47"/>
      <c r="K5" s="47"/>
      <c r="L5" s="47"/>
      <c r="M5" s="47"/>
      <c r="N5" s="47"/>
      <c r="O5" s="47"/>
      <c r="P5" s="47"/>
      <c r="Q5" s="47"/>
      <c r="R5" s="47"/>
      <c r="S5" s="156"/>
    </row>
    <row r="6" spans="1:19" s="11" customFormat="1" x14ac:dyDescent="0.25">
      <c r="A6" s="14"/>
      <c r="B6" s="141"/>
      <c r="S6" s="158"/>
    </row>
    <row r="7" spans="1:19" s="11" customFormat="1" ht="13" x14ac:dyDescent="0.25">
      <c r="A7" s="14"/>
      <c r="B7" s="142" t="s">
        <v>333</v>
      </c>
      <c r="S7" s="158"/>
    </row>
    <row r="8" spans="1:19" s="11" customFormat="1" x14ac:dyDescent="0.25">
      <c r="A8" s="68">
        <v>0</v>
      </c>
      <c r="B8" s="104" t="s">
        <v>240</v>
      </c>
      <c r="C8" s="75">
        <v>0</v>
      </c>
      <c r="D8" s="75">
        <v>0</v>
      </c>
      <c r="E8" s="75">
        <v>0</v>
      </c>
      <c r="F8" s="75">
        <v>0</v>
      </c>
      <c r="G8" s="75">
        <v>0</v>
      </c>
      <c r="H8" s="75">
        <v>0</v>
      </c>
      <c r="I8" s="75">
        <v>0</v>
      </c>
      <c r="J8" s="75">
        <v>0</v>
      </c>
      <c r="K8" s="75">
        <v>0</v>
      </c>
      <c r="L8" s="75">
        <v>0</v>
      </c>
      <c r="M8" s="75">
        <v>0</v>
      </c>
      <c r="N8" s="75">
        <v>0</v>
      </c>
      <c r="O8" s="75">
        <v>0</v>
      </c>
      <c r="P8" s="75">
        <v>0</v>
      </c>
      <c r="Q8" s="75">
        <v>0</v>
      </c>
      <c r="R8" s="75">
        <v>0</v>
      </c>
      <c r="S8" s="155">
        <v>0</v>
      </c>
    </row>
    <row r="9" spans="1:19" s="11" customFormat="1" x14ac:dyDescent="0.25">
      <c r="A9" s="68" t="s">
        <v>242</v>
      </c>
      <c r="B9" s="104" t="s">
        <v>241</v>
      </c>
      <c r="C9" s="75" t="s">
        <v>242</v>
      </c>
      <c r="D9" s="75" t="s">
        <v>242</v>
      </c>
      <c r="E9" s="75" t="s">
        <v>242</v>
      </c>
      <c r="F9" s="75" t="s">
        <v>242</v>
      </c>
      <c r="G9" s="75" t="s">
        <v>242</v>
      </c>
      <c r="H9" s="75" t="s">
        <v>242</v>
      </c>
      <c r="I9" s="75" t="s">
        <v>242</v>
      </c>
      <c r="J9" s="75" t="s">
        <v>242</v>
      </c>
      <c r="K9" s="75" t="s">
        <v>242</v>
      </c>
      <c r="L9" s="75" t="s">
        <v>242</v>
      </c>
      <c r="M9" s="75" t="s">
        <v>242</v>
      </c>
      <c r="N9" s="75" t="s">
        <v>242</v>
      </c>
      <c r="O9" s="75" t="s">
        <v>242</v>
      </c>
      <c r="P9" s="75" t="s">
        <v>242</v>
      </c>
      <c r="Q9" s="75" t="s">
        <v>242</v>
      </c>
      <c r="R9" s="75" t="s">
        <v>242</v>
      </c>
      <c r="S9" s="155" t="s">
        <v>242</v>
      </c>
    </row>
    <row r="10" spans="1:19" s="11" customFormat="1" x14ac:dyDescent="0.25">
      <c r="A10" s="70">
        <v>0</v>
      </c>
      <c r="B10" s="129" t="s">
        <v>334</v>
      </c>
      <c r="C10" s="76">
        <v>0</v>
      </c>
      <c r="D10" s="76">
        <v>0</v>
      </c>
      <c r="E10" s="76">
        <v>0</v>
      </c>
      <c r="F10" s="76">
        <v>0</v>
      </c>
      <c r="G10" s="76">
        <v>0</v>
      </c>
      <c r="H10" s="76">
        <v>0</v>
      </c>
      <c r="I10" s="76">
        <v>0</v>
      </c>
      <c r="J10" s="76">
        <v>0</v>
      </c>
      <c r="K10" s="76">
        <v>0</v>
      </c>
      <c r="L10" s="76">
        <v>0</v>
      </c>
      <c r="M10" s="76">
        <v>0</v>
      </c>
      <c r="N10" s="76">
        <v>0</v>
      </c>
      <c r="O10" s="76">
        <v>0</v>
      </c>
      <c r="P10" s="76">
        <v>0</v>
      </c>
      <c r="Q10" s="76">
        <v>0</v>
      </c>
      <c r="R10" s="76">
        <v>0</v>
      </c>
      <c r="S10" s="121">
        <v>0</v>
      </c>
    </row>
    <row r="11" spans="1:19" s="11" customFormat="1" x14ac:dyDescent="0.25">
      <c r="A11" s="68">
        <v>0</v>
      </c>
      <c r="B11" s="104" t="s">
        <v>243</v>
      </c>
      <c r="C11" s="75">
        <v>0</v>
      </c>
      <c r="D11" s="75">
        <v>0</v>
      </c>
      <c r="E11" s="75">
        <v>0</v>
      </c>
      <c r="F11" s="75">
        <v>0</v>
      </c>
      <c r="G11" s="75">
        <v>0</v>
      </c>
      <c r="H11" s="75">
        <v>0</v>
      </c>
      <c r="I11" s="75">
        <v>0</v>
      </c>
      <c r="J11" s="75">
        <v>0</v>
      </c>
      <c r="K11" s="75">
        <v>0</v>
      </c>
      <c r="L11" s="75">
        <v>0</v>
      </c>
      <c r="M11" s="75">
        <v>0</v>
      </c>
      <c r="N11" s="75">
        <v>0</v>
      </c>
      <c r="O11" s="75">
        <v>0</v>
      </c>
      <c r="P11" s="75">
        <v>0</v>
      </c>
      <c r="Q11" s="75">
        <v>0</v>
      </c>
      <c r="R11" s="75">
        <v>0</v>
      </c>
      <c r="S11" s="155">
        <v>0</v>
      </c>
    </row>
    <row r="12" spans="1:19" s="11" customFormat="1" x14ac:dyDescent="0.25">
      <c r="A12" s="68">
        <v>1</v>
      </c>
      <c r="B12" s="129" t="s">
        <v>335</v>
      </c>
      <c r="C12" s="75">
        <v>1</v>
      </c>
      <c r="D12" s="75">
        <v>1</v>
      </c>
      <c r="E12" s="75">
        <v>1</v>
      </c>
      <c r="F12" s="75">
        <v>1</v>
      </c>
      <c r="G12" s="75">
        <v>1</v>
      </c>
      <c r="H12" s="75">
        <v>1</v>
      </c>
      <c r="I12" s="75">
        <v>1</v>
      </c>
      <c r="J12" s="75">
        <v>1</v>
      </c>
      <c r="K12" s="75">
        <v>1</v>
      </c>
      <c r="L12" s="75">
        <v>1</v>
      </c>
      <c r="M12" s="75">
        <v>1</v>
      </c>
      <c r="N12" s="75">
        <v>1</v>
      </c>
      <c r="O12" s="75">
        <v>1</v>
      </c>
      <c r="P12" s="75">
        <v>1</v>
      </c>
      <c r="Q12" s="75">
        <v>1</v>
      </c>
      <c r="R12" s="75">
        <v>1</v>
      </c>
      <c r="S12" s="155">
        <v>1</v>
      </c>
    </row>
    <row r="13" spans="1:19" s="11" customFormat="1" x14ac:dyDescent="0.25">
      <c r="A13" s="68">
        <v>1</v>
      </c>
      <c r="B13" s="129" t="s">
        <v>336</v>
      </c>
      <c r="C13" s="75">
        <v>1</v>
      </c>
      <c r="D13" s="75">
        <v>1</v>
      </c>
      <c r="E13" s="75">
        <v>1</v>
      </c>
      <c r="F13" s="75">
        <v>1</v>
      </c>
      <c r="G13" s="75">
        <v>1</v>
      </c>
      <c r="H13" s="75">
        <v>1</v>
      </c>
      <c r="I13" s="75">
        <v>1</v>
      </c>
      <c r="J13" s="75">
        <v>1</v>
      </c>
      <c r="K13" s="75">
        <v>1</v>
      </c>
      <c r="L13" s="75">
        <v>1</v>
      </c>
      <c r="M13" s="75">
        <v>1</v>
      </c>
      <c r="N13" s="75">
        <v>1</v>
      </c>
      <c r="O13" s="75">
        <v>1</v>
      </c>
      <c r="P13" s="75">
        <v>1</v>
      </c>
      <c r="Q13" s="75">
        <v>1</v>
      </c>
      <c r="R13" s="75">
        <v>1</v>
      </c>
      <c r="S13" s="155">
        <v>1</v>
      </c>
    </row>
    <row r="14" spans="1:19" s="11" customFormat="1" x14ac:dyDescent="0.25">
      <c r="A14" s="70">
        <v>0</v>
      </c>
      <c r="B14" s="129" t="s">
        <v>337</v>
      </c>
      <c r="C14" s="76">
        <v>0</v>
      </c>
      <c r="D14" s="76">
        <v>0</v>
      </c>
      <c r="E14" s="76">
        <v>0</v>
      </c>
      <c r="F14" s="76">
        <v>0</v>
      </c>
      <c r="G14" s="76">
        <v>0</v>
      </c>
      <c r="H14" s="76">
        <v>0</v>
      </c>
      <c r="I14" s="76">
        <v>0</v>
      </c>
      <c r="J14" s="76">
        <v>0</v>
      </c>
      <c r="K14" s="76">
        <v>0</v>
      </c>
      <c r="L14" s="76">
        <v>0</v>
      </c>
      <c r="M14" s="76">
        <v>0</v>
      </c>
      <c r="N14" s="76">
        <v>0</v>
      </c>
      <c r="O14" s="76">
        <v>0</v>
      </c>
      <c r="P14" s="76">
        <v>0</v>
      </c>
      <c r="Q14" s="76">
        <v>0</v>
      </c>
      <c r="R14" s="76">
        <v>0</v>
      </c>
      <c r="S14" s="121">
        <v>0</v>
      </c>
    </row>
    <row r="15" spans="1:19" s="11" customFormat="1" x14ac:dyDescent="0.25">
      <c r="A15" s="68">
        <v>0</v>
      </c>
      <c r="B15" s="104" t="s">
        <v>246</v>
      </c>
      <c r="C15" s="75">
        <v>0</v>
      </c>
      <c r="D15" s="75">
        <v>0</v>
      </c>
      <c r="E15" s="75">
        <v>0</v>
      </c>
      <c r="F15" s="75">
        <v>0</v>
      </c>
      <c r="G15" s="75">
        <v>0</v>
      </c>
      <c r="H15" s="75">
        <v>0</v>
      </c>
      <c r="I15" s="75">
        <v>0</v>
      </c>
      <c r="J15" s="75">
        <v>0</v>
      </c>
      <c r="K15" s="75">
        <v>0</v>
      </c>
      <c r="L15" s="75">
        <v>0</v>
      </c>
      <c r="M15" s="75">
        <v>0</v>
      </c>
      <c r="N15" s="75">
        <v>0</v>
      </c>
      <c r="O15" s="75">
        <v>0</v>
      </c>
      <c r="P15" s="75">
        <v>0</v>
      </c>
      <c r="Q15" s="75">
        <v>0</v>
      </c>
      <c r="R15" s="75">
        <v>0</v>
      </c>
      <c r="S15" s="155">
        <v>0</v>
      </c>
    </row>
    <row r="16" spans="1:19" s="11" customFormat="1" x14ac:dyDescent="0.25">
      <c r="A16" s="68">
        <v>1</v>
      </c>
      <c r="B16" s="129" t="s">
        <v>338</v>
      </c>
      <c r="C16" s="75">
        <v>1</v>
      </c>
      <c r="D16" s="75">
        <v>1</v>
      </c>
      <c r="E16" s="75">
        <v>1</v>
      </c>
      <c r="F16" s="75">
        <v>1</v>
      </c>
      <c r="G16" s="75">
        <v>1</v>
      </c>
      <c r="H16" s="75">
        <v>1</v>
      </c>
      <c r="I16" s="75">
        <v>1</v>
      </c>
      <c r="J16" s="75">
        <v>1</v>
      </c>
      <c r="K16" s="75">
        <v>1</v>
      </c>
      <c r="L16" s="75">
        <v>1</v>
      </c>
      <c r="M16" s="75">
        <v>1</v>
      </c>
      <c r="N16" s="75">
        <v>1</v>
      </c>
      <c r="O16" s="75">
        <v>1</v>
      </c>
      <c r="P16" s="75">
        <v>1</v>
      </c>
      <c r="Q16" s="75">
        <v>1</v>
      </c>
      <c r="R16" s="75">
        <v>1</v>
      </c>
      <c r="S16" s="155">
        <v>1</v>
      </c>
    </row>
    <row r="17" spans="1:19" s="11" customFormat="1" x14ac:dyDescent="0.25">
      <c r="A17" s="68">
        <v>1</v>
      </c>
      <c r="B17" s="129" t="s">
        <v>339</v>
      </c>
      <c r="C17" s="75">
        <v>1</v>
      </c>
      <c r="D17" s="75">
        <v>1</v>
      </c>
      <c r="E17" s="75">
        <v>1</v>
      </c>
      <c r="F17" s="75">
        <v>1</v>
      </c>
      <c r="G17" s="75">
        <v>1</v>
      </c>
      <c r="H17" s="75">
        <v>1</v>
      </c>
      <c r="I17" s="75">
        <v>1</v>
      </c>
      <c r="J17" s="75">
        <v>1</v>
      </c>
      <c r="K17" s="75">
        <v>1</v>
      </c>
      <c r="L17" s="75">
        <v>1</v>
      </c>
      <c r="M17" s="75">
        <v>1</v>
      </c>
      <c r="N17" s="75">
        <v>1</v>
      </c>
      <c r="O17" s="75">
        <v>1</v>
      </c>
      <c r="P17" s="75">
        <v>1</v>
      </c>
      <c r="Q17" s="75">
        <v>1</v>
      </c>
      <c r="R17" s="75">
        <v>1</v>
      </c>
      <c r="S17" s="155">
        <v>1</v>
      </c>
    </row>
    <row r="18" spans="1:19" s="11" customFormat="1" x14ac:dyDescent="0.25">
      <c r="A18" s="70">
        <v>0</v>
      </c>
      <c r="B18" s="104" t="s">
        <v>247</v>
      </c>
      <c r="C18" s="76">
        <v>0</v>
      </c>
      <c r="D18" s="76">
        <v>0</v>
      </c>
      <c r="E18" s="76">
        <v>0</v>
      </c>
      <c r="F18" s="76">
        <v>0</v>
      </c>
      <c r="G18" s="76">
        <v>0</v>
      </c>
      <c r="H18" s="76">
        <v>0</v>
      </c>
      <c r="I18" s="76">
        <v>0</v>
      </c>
      <c r="J18" s="76">
        <v>0</v>
      </c>
      <c r="K18" s="76">
        <v>0</v>
      </c>
      <c r="L18" s="76">
        <v>0</v>
      </c>
      <c r="M18" s="76">
        <v>0</v>
      </c>
      <c r="N18" s="76">
        <v>0</v>
      </c>
      <c r="O18" s="76">
        <v>0</v>
      </c>
      <c r="P18" s="76">
        <v>0</v>
      </c>
      <c r="Q18" s="76">
        <v>0</v>
      </c>
      <c r="R18" s="76">
        <v>0</v>
      </c>
      <c r="S18" s="121">
        <v>0</v>
      </c>
    </row>
    <row r="19" spans="1:19" s="11" customFormat="1" x14ac:dyDescent="0.25">
      <c r="A19" s="70">
        <v>0</v>
      </c>
      <c r="B19" s="129" t="s">
        <v>340</v>
      </c>
      <c r="C19" s="76">
        <v>0</v>
      </c>
      <c r="D19" s="76">
        <v>0</v>
      </c>
      <c r="E19" s="76">
        <v>0</v>
      </c>
      <c r="F19" s="76">
        <v>0</v>
      </c>
      <c r="G19" s="76">
        <v>0</v>
      </c>
      <c r="H19" s="76">
        <v>0</v>
      </c>
      <c r="I19" s="76">
        <v>0</v>
      </c>
      <c r="J19" s="76">
        <v>0</v>
      </c>
      <c r="K19" s="76">
        <v>0</v>
      </c>
      <c r="L19" s="76">
        <v>0</v>
      </c>
      <c r="M19" s="76">
        <v>0</v>
      </c>
      <c r="N19" s="76">
        <v>0</v>
      </c>
      <c r="O19" s="76">
        <v>0</v>
      </c>
      <c r="P19" s="76">
        <v>0</v>
      </c>
      <c r="Q19" s="76">
        <v>0</v>
      </c>
      <c r="R19" s="76">
        <v>0</v>
      </c>
      <c r="S19" s="121">
        <v>0</v>
      </c>
    </row>
    <row r="20" spans="1:19" s="11" customFormat="1" x14ac:dyDescent="0.25">
      <c r="A20" s="68">
        <v>0</v>
      </c>
      <c r="B20" s="104" t="s">
        <v>244</v>
      </c>
      <c r="C20" s="75">
        <v>0</v>
      </c>
      <c r="D20" s="75">
        <v>0</v>
      </c>
      <c r="E20" s="75">
        <v>0</v>
      </c>
      <c r="F20" s="75">
        <v>0</v>
      </c>
      <c r="G20" s="75">
        <v>0</v>
      </c>
      <c r="H20" s="75">
        <v>0</v>
      </c>
      <c r="I20" s="75">
        <v>0</v>
      </c>
      <c r="J20" s="75">
        <v>0</v>
      </c>
      <c r="K20" s="75">
        <v>0</v>
      </c>
      <c r="L20" s="75">
        <v>0</v>
      </c>
      <c r="M20" s="75">
        <v>0</v>
      </c>
      <c r="N20" s="75">
        <v>0</v>
      </c>
      <c r="O20" s="75">
        <v>0</v>
      </c>
      <c r="P20" s="75">
        <v>0</v>
      </c>
      <c r="Q20" s="75">
        <v>0</v>
      </c>
      <c r="R20" s="75">
        <v>0</v>
      </c>
      <c r="S20" s="155">
        <v>0</v>
      </c>
    </row>
    <row r="21" spans="1:19" s="11" customFormat="1" x14ac:dyDescent="0.25">
      <c r="A21" s="68">
        <v>1</v>
      </c>
      <c r="B21" s="129" t="s">
        <v>341</v>
      </c>
      <c r="C21" s="75">
        <v>1</v>
      </c>
      <c r="D21" s="75">
        <v>1</v>
      </c>
      <c r="E21" s="75">
        <v>1</v>
      </c>
      <c r="F21" s="75">
        <v>1</v>
      </c>
      <c r="G21" s="75">
        <v>1</v>
      </c>
      <c r="H21" s="75">
        <v>1</v>
      </c>
      <c r="I21" s="75">
        <v>1</v>
      </c>
      <c r="J21" s="75">
        <v>1</v>
      </c>
      <c r="K21" s="75">
        <v>1</v>
      </c>
      <c r="L21" s="75">
        <v>1</v>
      </c>
      <c r="M21" s="75">
        <v>1</v>
      </c>
      <c r="N21" s="75">
        <v>1</v>
      </c>
      <c r="O21" s="75">
        <v>1</v>
      </c>
      <c r="P21" s="75">
        <v>1</v>
      </c>
      <c r="Q21" s="75">
        <v>1</v>
      </c>
      <c r="R21" s="75">
        <v>1</v>
      </c>
      <c r="S21" s="155">
        <v>1</v>
      </c>
    </row>
    <row r="22" spans="1:19" s="11" customFormat="1" x14ac:dyDescent="0.25">
      <c r="A22" s="68">
        <v>1</v>
      </c>
      <c r="B22" s="129" t="s">
        <v>342</v>
      </c>
      <c r="C22" s="75">
        <v>1</v>
      </c>
      <c r="D22" s="75">
        <v>1</v>
      </c>
      <c r="E22" s="75">
        <v>1</v>
      </c>
      <c r="F22" s="75">
        <v>1</v>
      </c>
      <c r="G22" s="75">
        <v>1</v>
      </c>
      <c r="H22" s="75">
        <v>1</v>
      </c>
      <c r="I22" s="75">
        <v>1</v>
      </c>
      <c r="J22" s="75">
        <v>1</v>
      </c>
      <c r="K22" s="75">
        <v>1</v>
      </c>
      <c r="L22" s="75">
        <v>1</v>
      </c>
      <c r="M22" s="75">
        <v>1</v>
      </c>
      <c r="N22" s="75">
        <v>1</v>
      </c>
      <c r="O22" s="75">
        <v>1</v>
      </c>
      <c r="P22" s="75">
        <v>1</v>
      </c>
      <c r="Q22" s="75">
        <v>1</v>
      </c>
      <c r="R22" s="75">
        <v>1</v>
      </c>
      <c r="S22" s="155">
        <v>1</v>
      </c>
    </row>
    <row r="23" spans="1:19" s="11" customFormat="1" x14ac:dyDescent="0.25">
      <c r="A23" s="70">
        <v>0</v>
      </c>
      <c r="B23" s="104" t="s">
        <v>245</v>
      </c>
      <c r="C23" s="76">
        <v>0</v>
      </c>
      <c r="D23" s="76">
        <v>0</v>
      </c>
      <c r="E23" s="76">
        <v>0</v>
      </c>
      <c r="F23" s="76">
        <v>0</v>
      </c>
      <c r="G23" s="76">
        <v>0</v>
      </c>
      <c r="H23" s="76">
        <v>0</v>
      </c>
      <c r="I23" s="76">
        <v>0</v>
      </c>
      <c r="J23" s="76">
        <v>0</v>
      </c>
      <c r="K23" s="76">
        <v>0</v>
      </c>
      <c r="L23" s="76">
        <v>0</v>
      </c>
      <c r="M23" s="76">
        <v>0</v>
      </c>
      <c r="N23" s="76">
        <v>0</v>
      </c>
      <c r="O23" s="76">
        <v>0</v>
      </c>
      <c r="P23" s="76">
        <v>0</v>
      </c>
      <c r="Q23" s="76">
        <v>0</v>
      </c>
      <c r="R23" s="76">
        <v>0</v>
      </c>
      <c r="S23" s="121">
        <v>0</v>
      </c>
    </row>
    <row r="24" spans="1:19" s="11" customFormat="1" x14ac:dyDescent="0.25">
      <c r="A24" s="14"/>
      <c r="B24" s="137"/>
      <c r="S24" s="158"/>
    </row>
    <row r="25" spans="1:19" s="11" customFormat="1" ht="13" x14ac:dyDescent="0.25">
      <c r="A25" s="14"/>
      <c r="B25" s="142" t="s">
        <v>343</v>
      </c>
      <c r="S25" s="158"/>
    </row>
    <row r="26" spans="1:19" s="11" customFormat="1" x14ac:dyDescent="0.25">
      <c r="A26" s="71">
        <v>0</v>
      </c>
      <c r="B26" s="129" t="s">
        <v>344</v>
      </c>
      <c r="C26" s="76">
        <v>0</v>
      </c>
      <c r="D26" s="76">
        <v>0</v>
      </c>
      <c r="E26" s="76">
        <v>0</v>
      </c>
      <c r="F26" s="76">
        <v>0</v>
      </c>
      <c r="G26" s="76">
        <v>0</v>
      </c>
      <c r="H26" s="76">
        <v>0</v>
      </c>
      <c r="I26" s="76">
        <v>0</v>
      </c>
      <c r="J26" s="76">
        <v>0</v>
      </c>
      <c r="K26" s="76">
        <v>0</v>
      </c>
      <c r="L26" s="76">
        <v>0</v>
      </c>
      <c r="M26" s="76">
        <v>0</v>
      </c>
      <c r="N26" s="76">
        <v>0</v>
      </c>
      <c r="O26" s="76">
        <v>0</v>
      </c>
      <c r="P26" s="76">
        <v>0</v>
      </c>
      <c r="Q26" s="76">
        <v>0</v>
      </c>
      <c r="R26" s="76">
        <v>0</v>
      </c>
      <c r="S26" s="121">
        <v>0</v>
      </c>
    </row>
    <row r="27" spans="1:19" s="11" customFormat="1" x14ac:dyDescent="0.25">
      <c r="A27" s="14"/>
      <c r="B27" s="137"/>
      <c r="S27" s="158"/>
    </row>
    <row r="28" spans="1:19" s="11" customFormat="1" ht="13" x14ac:dyDescent="0.25">
      <c r="A28" s="14"/>
      <c r="B28" s="142" t="s">
        <v>600</v>
      </c>
      <c r="D28" s="158"/>
      <c r="S28" s="158"/>
    </row>
    <row r="29" spans="1:19" s="11" customFormat="1" x14ac:dyDescent="0.25">
      <c r="A29" s="71">
        <v>0</v>
      </c>
      <c r="B29" s="129" t="s">
        <v>601</v>
      </c>
      <c r="C29" s="76" t="s">
        <v>369</v>
      </c>
      <c r="D29" s="76" t="s">
        <v>369</v>
      </c>
      <c r="E29" s="76" t="s">
        <v>369</v>
      </c>
      <c r="F29" s="76" t="s">
        <v>369</v>
      </c>
      <c r="G29" s="76" t="s">
        <v>369</v>
      </c>
      <c r="H29" s="76" t="s">
        <v>369</v>
      </c>
      <c r="I29" s="76" t="s">
        <v>369</v>
      </c>
      <c r="J29" s="76" t="s">
        <v>369</v>
      </c>
      <c r="K29" s="76" t="s">
        <v>369</v>
      </c>
      <c r="L29" s="76" t="s">
        <v>369</v>
      </c>
      <c r="M29" s="76" t="s">
        <v>369</v>
      </c>
      <c r="N29" s="76" t="s">
        <v>369</v>
      </c>
      <c r="O29" s="76" t="s">
        <v>369</v>
      </c>
      <c r="P29" s="76" t="s">
        <v>369</v>
      </c>
      <c r="Q29" s="76" t="s">
        <v>369</v>
      </c>
      <c r="R29" s="76" t="s">
        <v>369</v>
      </c>
      <c r="S29" s="76" t="s">
        <v>369</v>
      </c>
    </row>
    <row r="30" spans="1:19" s="11" customFormat="1" x14ac:dyDescent="0.25">
      <c r="A30" s="14"/>
      <c r="B30" s="137"/>
      <c r="S30" s="158"/>
    </row>
    <row r="31" spans="1:19" s="11" customFormat="1" ht="13" x14ac:dyDescent="0.25">
      <c r="A31" s="14"/>
      <c r="B31" s="142" t="s">
        <v>345</v>
      </c>
      <c r="S31" s="158"/>
    </row>
    <row r="32" spans="1:19" s="11" customFormat="1" x14ac:dyDescent="0.25">
      <c r="A32" s="69">
        <v>1</v>
      </c>
      <c r="B32" s="129" t="s">
        <v>346</v>
      </c>
      <c r="C32" s="77">
        <v>1</v>
      </c>
      <c r="D32" s="77">
        <v>1</v>
      </c>
      <c r="E32" s="77">
        <v>1</v>
      </c>
      <c r="F32" s="77">
        <v>1</v>
      </c>
      <c r="G32" s="77">
        <v>1</v>
      </c>
      <c r="H32" s="77">
        <v>1</v>
      </c>
      <c r="I32" s="77">
        <v>1</v>
      </c>
      <c r="J32" s="77">
        <v>1</v>
      </c>
      <c r="K32" s="77">
        <v>1</v>
      </c>
      <c r="L32" s="77">
        <v>1</v>
      </c>
      <c r="M32" s="77">
        <v>1</v>
      </c>
      <c r="N32" s="77">
        <v>1</v>
      </c>
      <c r="O32" s="77">
        <v>1</v>
      </c>
      <c r="P32" s="77">
        <v>1</v>
      </c>
      <c r="Q32" s="77">
        <v>1</v>
      </c>
      <c r="R32" s="77">
        <v>1</v>
      </c>
      <c r="S32" s="159">
        <v>1</v>
      </c>
    </row>
    <row r="33" spans="1:20" s="11" customFormat="1" x14ac:dyDescent="0.25">
      <c r="A33" s="69">
        <v>1</v>
      </c>
      <c r="B33" s="129" t="s">
        <v>347</v>
      </c>
      <c r="C33" s="77">
        <v>1</v>
      </c>
      <c r="D33" s="77">
        <v>1</v>
      </c>
      <c r="E33" s="77">
        <v>1</v>
      </c>
      <c r="F33" s="77">
        <v>1</v>
      </c>
      <c r="G33" s="77">
        <v>1</v>
      </c>
      <c r="H33" s="77">
        <v>1</v>
      </c>
      <c r="I33" s="77">
        <v>1</v>
      </c>
      <c r="J33" s="77">
        <v>1</v>
      </c>
      <c r="K33" s="77">
        <v>1</v>
      </c>
      <c r="L33" s="77">
        <v>1</v>
      </c>
      <c r="M33" s="77">
        <v>1</v>
      </c>
      <c r="N33" s="77">
        <v>1</v>
      </c>
      <c r="O33" s="77">
        <v>1</v>
      </c>
      <c r="P33" s="77">
        <v>1</v>
      </c>
      <c r="Q33" s="77">
        <v>1</v>
      </c>
      <c r="R33" s="77">
        <v>1</v>
      </c>
      <c r="S33" s="159">
        <v>1</v>
      </c>
    </row>
    <row r="34" spans="1:20" s="11" customFormat="1" x14ac:dyDescent="0.25">
      <c r="A34" s="69">
        <v>1</v>
      </c>
      <c r="B34" s="129" t="s">
        <v>348</v>
      </c>
      <c r="C34" s="77">
        <v>1</v>
      </c>
      <c r="D34" s="77">
        <v>1</v>
      </c>
      <c r="E34" s="77">
        <v>1</v>
      </c>
      <c r="F34" s="77">
        <v>1</v>
      </c>
      <c r="G34" s="77">
        <v>1</v>
      </c>
      <c r="H34" s="77">
        <v>1</v>
      </c>
      <c r="I34" s="77">
        <v>1</v>
      </c>
      <c r="J34" s="77">
        <v>1</v>
      </c>
      <c r="K34" s="77">
        <v>1</v>
      </c>
      <c r="L34" s="77">
        <v>1</v>
      </c>
      <c r="M34" s="77">
        <v>1</v>
      </c>
      <c r="N34" s="77">
        <v>1</v>
      </c>
      <c r="O34" s="77">
        <v>1</v>
      </c>
      <c r="P34" s="77">
        <v>1</v>
      </c>
      <c r="Q34" s="77">
        <v>1</v>
      </c>
      <c r="R34" s="77">
        <v>1</v>
      </c>
      <c r="S34" s="159">
        <v>1</v>
      </c>
    </row>
    <row r="35" spans="1:20" s="11" customFormat="1" x14ac:dyDescent="0.25">
      <c r="A35" s="71">
        <v>0</v>
      </c>
      <c r="B35" s="104" t="s">
        <v>228</v>
      </c>
      <c r="C35" s="76">
        <v>0</v>
      </c>
      <c r="D35" s="76">
        <v>0</v>
      </c>
      <c r="E35" s="76">
        <v>0</v>
      </c>
      <c r="F35" s="76">
        <v>1.4500000000000001E-2</v>
      </c>
      <c r="G35" s="76">
        <v>0</v>
      </c>
      <c r="H35" s="76">
        <v>0</v>
      </c>
      <c r="I35" s="76">
        <v>0</v>
      </c>
      <c r="J35" s="76">
        <v>0</v>
      </c>
      <c r="K35" s="76">
        <v>0</v>
      </c>
      <c r="L35" s="76">
        <v>0</v>
      </c>
      <c r="M35" s="76">
        <v>0</v>
      </c>
      <c r="N35" s="76">
        <v>0</v>
      </c>
      <c r="O35" s="76">
        <v>0</v>
      </c>
      <c r="P35" s="76">
        <v>0</v>
      </c>
      <c r="Q35" s="76">
        <v>0</v>
      </c>
      <c r="R35" s="76">
        <v>0</v>
      </c>
      <c r="S35" s="121">
        <v>0</v>
      </c>
    </row>
    <row r="36" spans="1:20" s="11" customFormat="1" x14ac:dyDescent="0.25">
      <c r="A36" s="14" t="s">
        <v>235</v>
      </c>
      <c r="B36" s="104" t="s">
        <v>229</v>
      </c>
      <c r="C36" s="75" t="s">
        <v>235</v>
      </c>
      <c r="D36" s="75" t="s">
        <v>235</v>
      </c>
      <c r="E36" s="75" t="s">
        <v>235</v>
      </c>
      <c r="F36" s="75" t="s">
        <v>235</v>
      </c>
      <c r="G36" s="75" t="s">
        <v>235</v>
      </c>
      <c r="H36" s="75" t="s">
        <v>235</v>
      </c>
      <c r="I36" s="75" t="s">
        <v>235</v>
      </c>
      <c r="J36" s="75" t="s">
        <v>235</v>
      </c>
      <c r="K36" s="75" t="s">
        <v>235</v>
      </c>
      <c r="L36" s="75" t="s">
        <v>235</v>
      </c>
      <c r="M36" s="75" t="s">
        <v>235</v>
      </c>
      <c r="N36" s="75" t="s">
        <v>235</v>
      </c>
      <c r="O36" s="75" t="s">
        <v>235</v>
      </c>
      <c r="P36" s="75" t="s">
        <v>235</v>
      </c>
      <c r="Q36" s="75" t="s">
        <v>235</v>
      </c>
      <c r="R36" s="75" t="s">
        <v>235</v>
      </c>
      <c r="S36" s="155" t="s">
        <v>235</v>
      </c>
    </row>
    <row r="37" spans="1:20" s="11" customFormat="1" x14ac:dyDescent="0.25">
      <c r="A37" s="31" t="s">
        <v>86</v>
      </c>
      <c r="B37" s="104" t="s">
        <v>230</v>
      </c>
      <c r="C37" s="222" t="s">
        <v>657</v>
      </c>
      <c r="D37" s="222" t="s">
        <v>657</v>
      </c>
      <c r="E37" s="222" t="s">
        <v>657</v>
      </c>
      <c r="F37" s="222" t="s">
        <v>657</v>
      </c>
      <c r="G37" s="222" t="s">
        <v>657</v>
      </c>
      <c r="H37" s="222" t="s">
        <v>657</v>
      </c>
      <c r="I37" s="222" t="s">
        <v>657</v>
      </c>
      <c r="J37" s="222" t="s">
        <v>657</v>
      </c>
      <c r="K37" s="222" t="s">
        <v>657</v>
      </c>
      <c r="L37" s="222" t="s">
        <v>657</v>
      </c>
      <c r="M37" s="222" t="s">
        <v>657</v>
      </c>
      <c r="N37" s="222" t="s">
        <v>657</v>
      </c>
      <c r="O37" s="222" t="s">
        <v>657</v>
      </c>
      <c r="P37" s="222" t="s">
        <v>657</v>
      </c>
      <c r="Q37" s="222" t="s">
        <v>657</v>
      </c>
      <c r="R37" s="222" t="s">
        <v>657</v>
      </c>
      <c r="S37" s="222" t="s">
        <v>657</v>
      </c>
      <c r="T37" s="223" t="s">
        <v>658</v>
      </c>
    </row>
    <row r="38" spans="1:20" s="11" customFormat="1" x14ac:dyDescent="0.25">
      <c r="A38" s="14">
        <v>0.25</v>
      </c>
      <c r="B38" s="104" t="s">
        <v>231</v>
      </c>
      <c r="C38" s="33">
        <v>10</v>
      </c>
      <c r="D38" s="33">
        <v>10</v>
      </c>
      <c r="E38" s="33">
        <v>10</v>
      </c>
      <c r="F38" s="33">
        <v>10</v>
      </c>
      <c r="G38" s="33">
        <v>10</v>
      </c>
      <c r="H38" s="33">
        <v>10</v>
      </c>
      <c r="I38" s="33">
        <v>10</v>
      </c>
      <c r="J38" s="33">
        <v>10</v>
      </c>
      <c r="K38" s="33">
        <v>10</v>
      </c>
      <c r="L38" s="33">
        <v>10</v>
      </c>
      <c r="M38" s="33">
        <v>10</v>
      </c>
      <c r="N38" s="33">
        <v>10</v>
      </c>
      <c r="O38" s="33">
        <v>10</v>
      </c>
      <c r="P38" s="33">
        <v>10</v>
      </c>
      <c r="Q38" s="33">
        <v>10</v>
      </c>
      <c r="R38" s="33">
        <v>10</v>
      </c>
      <c r="S38" s="157">
        <v>10</v>
      </c>
    </row>
    <row r="39" spans="1:20" s="11" customFormat="1" x14ac:dyDescent="0.25">
      <c r="A39" s="61">
        <v>1</v>
      </c>
      <c r="B39" s="104" t="s">
        <v>232</v>
      </c>
      <c r="C39" s="75">
        <v>1</v>
      </c>
      <c r="D39" s="75">
        <v>1</v>
      </c>
      <c r="E39" s="75">
        <v>1</v>
      </c>
      <c r="F39" s="75">
        <v>1</v>
      </c>
      <c r="G39" s="75">
        <v>1</v>
      </c>
      <c r="H39" s="75">
        <v>1</v>
      </c>
      <c r="I39" s="75">
        <v>1</v>
      </c>
      <c r="J39" s="75">
        <v>1</v>
      </c>
      <c r="K39" s="75">
        <v>1</v>
      </c>
      <c r="L39" s="75">
        <v>1</v>
      </c>
      <c r="M39" s="75">
        <v>1</v>
      </c>
      <c r="N39" s="75">
        <v>1</v>
      </c>
      <c r="O39" s="75">
        <v>1</v>
      </c>
      <c r="P39" s="75">
        <v>1</v>
      </c>
      <c r="Q39" s="75">
        <v>1</v>
      </c>
      <c r="R39" s="75">
        <v>1</v>
      </c>
      <c r="S39" s="155">
        <v>1</v>
      </c>
    </row>
    <row r="40" spans="1:20" s="11" customFormat="1" x14ac:dyDescent="0.25">
      <c r="A40" s="71">
        <v>0</v>
      </c>
      <c r="B40" s="104" t="s">
        <v>233</v>
      </c>
      <c r="C40" s="76">
        <v>0</v>
      </c>
      <c r="D40" s="76">
        <v>0</v>
      </c>
      <c r="E40" s="76">
        <v>0</v>
      </c>
      <c r="F40" s="76">
        <v>0</v>
      </c>
      <c r="G40" s="76">
        <v>0</v>
      </c>
      <c r="H40" s="76">
        <v>0</v>
      </c>
      <c r="I40" s="76">
        <v>0</v>
      </c>
      <c r="J40" s="76">
        <v>0</v>
      </c>
      <c r="K40" s="76">
        <v>0</v>
      </c>
      <c r="L40" s="76">
        <v>0</v>
      </c>
      <c r="M40" s="76">
        <v>0</v>
      </c>
      <c r="N40" s="76">
        <v>0</v>
      </c>
      <c r="O40" s="76">
        <v>0</v>
      </c>
      <c r="P40" s="76">
        <v>0</v>
      </c>
      <c r="Q40" s="76">
        <v>0</v>
      </c>
      <c r="R40" s="76">
        <v>0</v>
      </c>
      <c r="S40" s="121">
        <v>0</v>
      </c>
    </row>
    <row r="41" spans="1:20" s="11" customFormat="1" x14ac:dyDescent="0.25">
      <c r="A41" s="66" t="s">
        <v>236</v>
      </c>
      <c r="B41" s="104" t="s">
        <v>234</v>
      </c>
      <c r="C41" s="75" t="s">
        <v>236</v>
      </c>
      <c r="D41" s="75" t="s">
        <v>236</v>
      </c>
      <c r="E41" s="75" t="s">
        <v>236</v>
      </c>
      <c r="F41" s="75" t="s">
        <v>236</v>
      </c>
      <c r="G41" s="75" t="s">
        <v>236</v>
      </c>
      <c r="H41" s="75" t="s">
        <v>236</v>
      </c>
      <c r="I41" s="75" t="s">
        <v>236</v>
      </c>
      <c r="J41" s="75" t="s">
        <v>236</v>
      </c>
      <c r="K41" s="75" t="s">
        <v>236</v>
      </c>
      <c r="L41" s="75" t="s">
        <v>236</v>
      </c>
      <c r="M41" s="75" t="s">
        <v>236</v>
      </c>
      <c r="N41" s="75" t="s">
        <v>236</v>
      </c>
      <c r="O41" s="75" t="s">
        <v>236</v>
      </c>
      <c r="P41" s="75" t="s">
        <v>236</v>
      </c>
      <c r="Q41" s="75" t="s">
        <v>236</v>
      </c>
      <c r="R41" s="75" t="s">
        <v>236</v>
      </c>
      <c r="S41" s="155" t="s">
        <v>236</v>
      </c>
    </row>
    <row r="42" spans="1:20" s="11" customFormat="1" x14ac:dyDescent="0.25">
      <c r="A42" s="70">
        <v>0</v>
      </c>
      <c r="B42" s="129" t="s">
        <v>349</v>
      </c>
      <c r="C42" s="76">
        <v>0</v>
      </c>
      <c r="D42" s="76">
        <v>0</v>
      </c>
      <c r="E42" s="76">
        <v>0</v>
      </c>
      <c r="F42" s="76">
        <v>0</v>
      </c>
      <c r="G42" s="76">
        <v>0</v>
      </c>
      <c r="H42" s="76">
        <v>0</v>
      </c>
      <c r="I42" s="76">
        <v>0</v>
      </c>
      <c r="J42" s="76">
        <v>0</v>
      </c>
      <c r="K42" s="76">
        <v>0</v>
      </c>
      <c r="L42" s="76">
        <v>0</v>
      </c>
      <c r="M42" s="76">
        <v>0</v>
      </c>
      <c r="N42" s="76">
        <v>0</v>
      </c>
      <c r="O42" s="76">
        <v>0</v>
      </c>
      <c r="P42" s="76">
        <v>0</v>
      </c>
      <c r="Q42" s="76">
        <v>0</v>
      </c>
      <c r="R42" s="76">
        <v>0</v>
      </c>
      <c r="S42" s="121">
        <v>0</v>
      </c>
    </row>
    <row r="43" spans="1:20" s="11" customFormat="1" x14ac:dyDescent="0.25">
      <c r="A43" s="70">
        <v>0</v>
      </c>
      <c r="B43" s="129" t="s">
        <v>350</v>
      </c>
      <c r="C43" s="76">
        <v>0</v>
      </c>
      <c r="D43" s="76">
        <v>0</v>
      </c>
      <c r="E43" s="76">
        <v>0</v>
      </c>
      <c r="F43" s="76">
        <v>0</v>
      </c>
      <c r="G43" s="76">
        <v>0</v>
      </c>
      <c r="H43" s="76">
        <v>0</v>
      </c>
      <c r="I43" s="76">
        <v>0</v>
      </c>
      <c r="J43" s="76">
        <v>0</v>
      </c>
      <c r="K43" s="76">
        <v>0</v>
      </c>
      <c r="L43" s="76">
        <v>0</v>
      </c>
      <c r="M43" s="76">
        <v>0</v>
      </c>
      <c r="N43" s="76">
        <v>0</v>
      </c>
      <c r="O43" s="76">
        <v>0</v>
      </c>
      <c r="P43" s="76">
        <v>0</v>
      </c>
      <c r="Q43" s="76">
        <v>0</v>
      </c>
      <c r="R43" s="76">
        <v>0</v>
      </c>
      <c r="S43" s="121">
        <v>0</v>
      </c>
    </row>
    <row r="44" spans="1:20" s="11" customFormat="1" x14ac:dyDescent="0.25">
      <c r="A44" s="66" t="s">
        <v>249</v>
      </c>
      <c r="B44" s="104" t="s">
        <v>248</v>
      </c>
      <c r="C44" s="178" t="s">
        <v>486</v>
      </c>
      <c r="D44" s="178" t="s">
        <v>486</v>
      </c>
      <c r="E44" s="178" t="s">
        <v>486</v>
      </c>
      <c r="F44" s="178" t="s">
        <v>486</v>
      </c>
      <c r="G44" s="178" t="s">
        <v>486</v>
      </c>
      <c r="H44" s="178" t="s">
        <v>486</v>
      </c>
      <c r="I44" s="178" t="s">
        <v>486</v>
      </c>
      <c r="J44" s="178" t="s">
        <v>486</v>
      </c>
      <c r="K44" s="178" t="s">
        <v>486</v>
      </c>
      <c r="L44" s="178" t="s">
        <v>486</v>
      </c>
      <c r="M44" s="178" t="s">
        <v>486</v>
      </c>
      <c r="N44" s="178" t="s">
        <v>486</v>
      </c>
      <c r="O44" s="178" t="s">
        <v>486</v>
      </c>
      <c r="P44" s="178" t="s">
        <v>486</v>
      </c>
      <c r="Q44" s="178" t="s">
        <v>486</v>
      </c>
      <c r="R44" s="178" t="s">
        <v>486</v>
      </c>
      <c r="S44" s="178" t="s">
        <v>486</v>
      </c>
    </row>
    <row r="45" spans="1:20" s="11" customFormat="1" x14ac:dyDescent="0.25">
      <c r="A45" s="66" t="s">
        <v>251</v>
      </c>
      <c r="B45" s="104" t="s">
        <v>250</v>
      </c>
      <c r="C45" s="75" t="s">
        <v>251</v>
      </c>
      <c r="D45" s="75" t="s">
        <v>251</v>
      </c>
      <c r="E45" s="75" t="s">
        <v>251</v>
      </c>
      <c r="F45" s="75" t="s">
        <v>251</v>
      </c>
      <c r="G45" s="75" t="s">
        <v>251</v>
      </c>
      <c r="H45" s="75" t="s">
        <v>251</v>
      </c>
      <c r="I45" s="75" t="s">
        <v>251</v>
      </c>
      <c r="J45" s="75" t="s">
        <v>251</v>
      </c>
      <c r="K45" s="75" t="s">
        <v>251</v>
      </c>
      <c r="L45" s="75" t="s">
        <v>251</v>
      </c>
      <c r="M45" s="75" t="s">
        <v>251</v>
      </c>
      <c r="N45" s="75" t="s">
        <v>251</v>
      </c>
      <c r="O45" s="75" t="s">
        <v>251</v>
      </c>
      <c r="P45" s="75" t="s">
        <v>251</v>
      </c>
      <c r="Q45" s="75" t="s">
        <v>251</v>
      </c>
      <c r="R45" s="75" t="s">
        <v>251</v>
      </c>
      <c r="S45" s="75" t="s">
        <v>251</v>
      </c>
    </row>
    <row r="46" spans="1:20" s="11" customFormat="1" x14ac:dyDescent="0.25">
      <c r="A46" s="66" t="s">
        <v>253</v>
      </c>
      <c r="B46" s="104" t="s">
        <v>252</v>
      </c>
      <c r="C46" s="75" t="s">
        <v>253</v>
      </c>
      <c r="D46" s="75" t="s">
        <v>253</v>
      </c>
      <c r="E46" s="75" t="s">
        <v>253</v>
      </c>
      <c r="F46" s="75" t="s">
        <v>253</v>
      </c>
      <c r="G46" s="75" t="s">
        <v>253</v>
      </c>
      <c r="H46" s="75" t="s">
        <v>253</v>
      </c>
      <c r="I46" s="75" t="s">
        <v>253</v>
      </c>
      <c r="J46" s="75" t="s">
        <v>253</v>
      </c>
      <c r="K46" s="75" t="s">
        <v>253</v>
      </c>
      <c r="L46" s="75" t="s">
        <v>253</v>
      </c>
      <c r="M46" s="75" t="s">
        <v>253</v>
      </c>
      <c r="N46" s="75" t="s">
        <v>253</v>
      </c>
      <c r="O46" s="75" t="s">
        <v>253</v>
      </c>
      <c r="P46" s="75" t="s">
        <v>253</v>
      </c>
      <c r="Q46" s="75" t="s">
        <v>253</v>
      </c>
      <c r="R46" s="75" t="s">
        <v>253</v>
      </c>
      <c r="S46" s="155" t="s">
        <v>253</v>
      </c>
    </row>
    <row r="47" spans="1:20" s="11" customFormat="1" x14ac:dyDescent="0.25">
      <c r="A47" s="70">
        <v>0</v>
      </c>
      <c r="B47" s="129" t="s">
        <v>351</v>
      </c>
      <c r="C47" s="76">
        <v>0</v>
      </c>
      <c r="D47" s="76">
        <v>0</v>
      </c>
      <c r="E47" s="76">
        <v>0</v>
      </c>
      <c r="F47" s="76">
        <v>0</v>
      </c>
      <c r="G47" s="76">
        <v>0</v>
      </c>
      <c r="H47" s="76">
        <v>0</v>
      </c>
      <c r="I47" s="76">
        <v>0</v>
      </c>
      <c r="J47" s="76">
        <v>0</v>
      </c>
      <c r="K47" s="76">
        <v>0</v>
      </c>
      <c r="L47" s="76">
        <v>0</v>
      </c>
      <c r="M47" s="76">
        <v>0</v>
      </c>
      <c r="N47" s="76">
        <v>0</v>
      </c>
      <c r="O47" s="76">
        <v>0</v>
      </c>
      <c r="P47" s="76">
        <v>0</v>
      </c>
      <c r="Q47" s="76">
        <v>0</v>
      </c>
      <c r="R47" s="76">
        <v>0</v>
      </c>
      <c r="S47" s="121">
        <v>0</v>
      </c>
    </row>
    <row r="48" spans="1:20" s="11" customFormat="1" x14ac:dyDescent="0.25">
      <c r="A48" s="70">
        <v>0</v>
      </c>
      <c r="B48" s="104" t="s">
        <v>254</v>
      </c>
      <c r="C48" s="76">
        <v>0</v>
      </c>
      <c r="D48" s="76">
        <v>0</v>
      </c>
      <c r="E48" s="76">
        <v>0</v>
      </c>
      <c r="F48" s="76">
        <v>0</v>
      </c>
      <c r="G48" s="76">
        <v>0</v>
      </c>
      <c r="H48" s="76">
        <v>0</v>
      </c>
      <c r="I48" s="76">
        <v>0</v>
      </c>
      <c r="J48" s="76">
        <v>0</v>
      </c>
      <c r="K48" s="76">
        <v>0</v>
      </c>
      <c r="L48" s="76">
        <v>0</v>
      </c>
      <c r="M48" s="76">
        <v>0</v>
      </c>
      <c r="N48" s="76">
        <v>0</v>
      </c>
      <c r="O48" s="76">
        <v>0</v>
      </c>
      <c r="P48" s="76">
        <v>0</v>
      </c>
      <c r="Q48" s="76">
        <v>0</v>
      </c>
      <c r="R48" s="76">
        <v>0</v>
      </c>
      <c r="S48" s="121">
        <v>0</v>
      </c>
    </row>
    <row r="49" spans="1:19" s="11" customFormat="1" x14ac:dyDescent="0.25">
      <c r="A49" s="68">
        <v>1</v>
      </c>
      <c r="B49" s="129" t="s">
        <v>255</v>
      </c>
      <c r="C49" s="75">
        <v>1</v>
      </c>
      <c r="D49" s="75">
        <v>1</v>
      </c>
      <c r="E49" s="75">
        <v>1</v>
      </c>
      <c r="F49" s="75">
        <v>1</v>
      </c>
      <c r="G49" s="75">
        <v>1</v>
      </c>
      <c r="H49" s="75">
        <v>1</v>
      </c>
      <c r="I49" s="75">
        <v>1</v>
      </c>
      <c r="J49" s="75">
        <v>1</v>
      </c>
      <c r="K49" s="75">
        <v>1</v>
      </c>
      <c r="L49" s="75">
        <v>1</v>
      </c>
      <c r="M49" s="75">
        <v>1</v>
      </c>
      <c r="N49" s="75">
        <v>1</v>
      </c>
      <c r="O49" s="75">
        <v>1</v>
      </c>
      <c r="P49" s="75">
        <v>1</v>
      </c>
      <c r="Q49" s="75">
        <v>1</v>
      </c>
      <c r="R49" s="75">
        <v>1</v>
      </c>
      <c r="S49" s="155">
        <v>1</v>
      </c>
    </row>
    <row r="50" spans="1:19" s="11" customFormat="1" x14ac:dyDescent="0.25">
      <c r="A50" s="70">
        <v>0</v>
      </c>
      <c r="B50" s="129" t="s">
        <v>352</v>
      </c>
      <c r="C50" s="76">
        <v>0</v>
      </c>
      <c r="D50" s="76">
        <v>0</v>
      </c>
      <c r="E50" s="76">
        <v>0</v>
      </c>
      <c r="F50" s="76">
        <v>0</v>
      </c>
      <c r="G50" s="76">
        <v>0</v>
      </c>
      <c r="H50" s="76">
        <v>0</v>
      </c>
      <c r="I50" s="76">
        <v>0</v>
      </c>
      <c r="J50" s="76">
        <v>0</v>
      </c>
      <c r="K50" s="76">
        <v>0</v>
      </c>
      <c r="L50" s="76">
        <v>0</v>
      </c>
      <c r="M50" s="76">
        <v>0</v>
      </c>
      <c r="N50" s="76">
        <v>0</v>
      </c>
      <c r="O50" s="76">
        <v>0</v>
      </c>
      <c r="P50" s="76">
        <v>0</v>
      </c>
      <c r="Q50" s="76">
        <v>0</v>
      </c>
      <c r="R50" s="76">
        <v>0</v>
      </c>
      <c r="S50" s="121">
        <v>0</v>
      </c>
    </row>
    <row r="51" spans="1:19" s="11" customFormat="1" x14ac:dyDescent="0.25">
      <c r="A51" s="70">
        <v>0</v>
      </c>
      <c r="B51" s="129" t="s">
        <v>353</v>
      </c>
      <c r="C51" s="76">
        <v>0</v>
      </c>
      <c r="D51" s="76">
        <v>0</v>
      </c>
      <c r="E51" s="76">
        <v>0</v>
      </c>
      <c r="F51" s="76">
        <v>0</v>
      </c>
      <c r="G51" s="76">
        <v>0</v>
      </c>
      <c r="H51" s="76">
        <v>0</v>
      </c>
      <c r="I51" s="76">
        <v>0</v>
      </c>
      <c r="J51" s="76">
        <v>0</v>
      </c>
      <c r="K51" s="76">
        <v>0</v>
      </c>
      <c r="L51" s="76">
        <v>0</v>
      </c>
      <c r="M51" s="76">
        <v>0</v>
      </c>
      <c r="N51" s="76">
        <v>0</v>
      </c>
      <c r="O51" s="76">
        <v>0</v>
      </c>
      <c r="P51" s="76">
        <v>0</v>
      </c>
      <c r="Q51" s="76">
        <v>0</v>
      </c>
      <c r="R51" s="76">
        <v>0</v>
      </c>
      <c r="S51" s="121">
        <v>0</v>
      </c>
    </row>
    <row r="52" spans="1:19" s="11" customFormat="1" x14ac:dyDescent="0.25">
      <c r="A52" s="14"/>
      <c r="B52" s="137"/>
      <c r="S52" s="158"/>
    </row>
    <row r="53" spans="1:19" s="11" customFormat="1" ht="13" x14ac:dyDescent="0.25">
      <c r="A53" s="14"/>
      <c r="B53" s="142" t="s">
        <v>354</v>
      </c>
      <c r="C53" s="75"/>
      <c r="D53" s="75"/>
      <c r="E53" s="75"/>
      <c r="F53" s="75"/>
      <c r="G53" s="75"/>
      <c r="H53" s="75"/>
      <c r="I53" s="75"/>
      <c r="J53" s="75"/>
      <c r="K53" s="75"/>
      <c r="L53" s="75"/>
      <c r="M53" s="75"/>
      <c r="N53" s="75"/>
      <c r="O53" s="75"/>
      <c r="P53" s="75"/>
      <c r="Q53" s="75"/>
      <c r="R53" s="75"/>
      <c r="S53" s="155"/>
    </row>
    <row r="54" spans="1:19" s="11" customFormat="1" x14ac:dyDescent="0.25">
      <c r="A54" s="31" t="s">
        <v>149</v>
      </c>
      <c r="B54" s="104" t="s">
        <v>355</v>
      </c>
      <c r="C54" s="75" t="s">
        <v>149</v>
      </c>
      <c r="D54" s="75" t="s">
        <v>149</v>
      </c>
      <c r="E54" s="75" t="s">
        <v>149</v>
      </c>
      <c r="F54" s="75" t="s">
        <v>149</v>
      </c>
      <c r="G54" s="75" t="s">
        <v>149</v>
      </c>
      <c r="H54" s="75" t="s">
        <v>149</v>
      </c>
      <c r="I54" s="75" t="s">
        <v>149</v>
      </c>
      <c r="J54" s="75" t="s">
        <v>149</v>
      </c>
      <c r="K54" s="75" t="s">
        <v>149</v>
      </c>
      <c r="L54" s="75" t="s">
        <v>149</v>
      </c>
      <c r="M54" s="75" t="s">
        <v>149</v>
      </c>
      <c r="N54" s="75" t="s">
        <v>149</v>
      </c>
      <c r="O54" s="75" t="s">
        <v>149</v>
      </c>
      <c r="P54" s="75" t="s">
        <v>149</v>
      </c>
      <c r="Q54" s="75" t="s">
        <v>149</v>
      </c>
      <c r="R54" s="75" t="s">
        <v>149</v>
      </c>
      <c r="S54" s="155" t="s">
        <v>149</v>
      </c>
    </row>
    <row r="55" spans="1:19" s="11" customFormat="1" x14ac:dyDescent="0.25">
      <c r="A55" s="31" t="s">
        <v>362</v>
      </c>
      <c r="B55" s="104" t="s">
        <v>356</v>
      </c>
      <c r="C55" s="75" t="s">
        <v>362</v>
      </c>
      <c r="D55" s="75" t="s">
        <v>362</v>
      </c>
      <c r="E55" s="75" t="s">
        <v>362</v>
      </c>
      <c r="F55" s="75" t="s">
        <v>362</v>
      </c>
      <c r="G55" s="75" t="s">
        <v>362</v>
      </c>
      <c r="H55" s="75" t="s">
        <v>362</v>
      </c>
      <c r="I55" s="75" t="s">
        <v>362</v>
      </c>
      <c r="J55" s="75" t="s">
        <v>362</v>
      </c>
      <c r="K55" s="75" t="s">
        <v>362</v>
      </c>
      <c r="L55" s="75" t="s">
        <v>362</v>
      </c>
      <c r="M55" s="75" t="s">
        <v>362</v>
      </c>
      <c r="N55" s="75" t="s">
        <v>362</v>
      </c>
      <c r="O55" s="75" t="s">
        <v>362</v>
      </c>
      <c r="P55" s="75" t="s">
        <v>362</v>
      </c>
      <c r="Q55" s="75" t="s">
        <v>362</v>
      </c>
      <c r="R55" s="75" t="s">
        <v>362</v>
      </c>
      <c r="S55" s="155" t="s">
        <v>362</v>
      </c>
    </row>
    <row r="56" spans="1:19" s="11" customFormat="1" x14ac:dyDescent="0.25">
      <c r="A56" s="31" t="s">
        <v>363</v>
      </c>
      <c r="B56" s="104" t="s">
        <v>357</v>
      </c>
      <c r="C56" s="75" t="s">
        <v>363</v>
      </c>
      <c r="D56" s="75" t="s">
        <v>363</v>
      </c>
      <c r="E56" s="75" t="s">
        <v>363</v>
      </c>
      <c r="F56" s="75" t="s">
        <v>363</v>
      </c>
      <c r="G56" s="75" t="s">
        <v>363</v>
      </c>
      <c r="H56" s="75" t="s">
        <v>363</v>
      </c>
      <c r="I56" s="75" t="s">
        <v>363</v>
      </c>
      <c r="J56" s="75" t="s">
        <v>363</v>
      </c>
      <c r="K56" s="75" t="s">
        <v>363</v>
      </c>
      <c r="L56" s="75" t="s">
        <v>363</v>
      </c>
      <c r="M56" s="75" t="s">
        <v>363</v>
      </c>
      <c r="N56" s="75" t="s">
        <v>363</v>
      </c>
      <c r="O56" s="75" t="s">
        <v>363</v>
      </c>
      <c r="P56" s="75" t="s">
        <v>363</v>
      </c>
      <c r="Q56" s="75" t="s">
        <v>363</v>
      </c>
      <c r="R56" s="75" t="s">
        <v>363</v>
      </c>
      <c r="S56" s="155" t="s">
        <v>363</v>
      </c>
    </row>
    <row r="57" spans="1:19" s="11" customFormat="1" x14ac:dyDescent="0.25">
      <c r="A57" s="31" t="s">
        <v>364</v>
      </c>
      <c r="B57" s="104" t="s">
        <v>358</v>
      </c>
      <c r="C57" s="75" t="s">
        <v>364</v>
      </c>
      <c r="D57" s="75" t="s">
        <v>364</v>
      </c>
      <c r="E57" s="75" t="s">
        <v>364</v>
      </c>
      <c r="F57" s="75" t="s">
        <v>364</v>
      </c>
      <c r="G57" s="75" t="s">
        <v>364</v>
      </c>
      <c r="H57" s="75" t="s">
        <v>364</v>
      </c>
      <c r="I57" s="75" t="s">
        <v>364</v>
      </c>
      <c r="J57" s="75" t="s">
        <v>364</v>
      </c>
      <c r="K57" s="75" t="s">
        <v>364</v>
      </c>
      <c r="L57" s="75" t="s">
        <v>364</v>
      </c>
      <c r="M57" s="75" t="s">
        <v>364</v>
      </c>
      <c r="N57" s="75" t="s">
        <v>364</v>
      </c>
      <c r="O57" s="75" t="s">
        <v>364</v>
      </c>
      <c r="P57" s="75" t="s">
        <v>364</v>
      </c>
      <c r="Q57" s="75" t="s">
        <v>364</v>
      </c>
      <c r="R57" s="75" t="s">
        <v>364</v>
      </c>
      <c r="S57" s="155" t="s">
        <v>364</v>
      </c>
    </row>
    <row r="58" spans="1:19" s="11" customFormat="1" x14ac:dyDescent="0.25">
      <c r="A58" s="14" t="s">
        <v>365</v>
      </c>
      <c r="B58" s="104" t="s">
        <v>359</v>
      </c>
      <c r="C58" s="75" t="s">
        <v>365</v>
      </c>
      <c r="D58" s="75" t="s">
        <v>365</v>
      </c>
      <c r="E58" s="75" t="s">
        <v>365</v>
      </c>
      <c r="F58" s="75" t="s">
        <v>365</v>
      </c>
      <c r="G58" s="75" t="s">
        <v>365</v>
      </c>
      <c r="H58" s="75" t="s">
        <v>365</v>
      </c>
      <c r="I58" s="75" t="s">
        <v>365</v>
      </c>
      <c r="J58" s="75" t="s">
        <v>365</v>
      </c>
      <c r="K58" s="75" t="s">
        <v>365</v>
      </c>
      <c r="L58" s="75" t="s">
        <v>365</v>
      </c>
      <c r="M58" s="75" t="s">
        <v>365</v>
      </c>
      <c r="N58" s="75" t="s">
        <v>365</v>
      </c>
      <c r="O58" s="75" t="s">
        <v>365</v>
      </c>
      <c r="P58" s="75" t="s">
        <v>365</v>
      </c>
      <c r="Q58" s="75" t="s">
        <v>365</v>
      </c>
      <c r="R58" s="75" t="s">
        <v>365</v>
      </c>
      <c r="S58" s="155" t="s">
        <v>365</v>
      </c>
    </row>
    <row r="59" spans="1:19" s="11" customFormat="1" x14ac:dyDescent="0.25">
      <c r="A59" s="14" t="s">
        <v>365</v>
      </c>
      <c r="B59" s="104" t="s">
        <v>360</v>
      </c>
      <c r="C59" s="75" t="s">
        <v>365</v>
      </c>
      <c r="D59" s="75" t="s">
        <v>365</v>
      </c>
      <c r="E59" s="75" t="s">
        <v>365</v>
      </c>
      <c r="F59" s="75" t="s">
        <v>365</v>
      </c>
      <c r="G59" s="75" t="s">
        <v>365</v>
      </c>
      <c r="H59" s="75" t="s">
        <v>365</v>
      </c>
      <c r="I59" s="75" t="s">
        <v>365</v>
      </c>
      <c r="J59" s="75" t="s">
        <v>365</v>
      </c>
      <c r="K59" s="75" t="s">
        <v>365</v>
      </c>
      <c r="L59" s="75" t="s">
        <v>365</v>
      </c>
      <c r="M59" s="75" t="s">
        <v>365</v>
      </c>
      <c r="N59" s="75" t="s">
        <v>365</v>
      </c>
      <c r="O59" s="75" t="s">
        <v>365</v>
      </c>
      <c r="P59" s="75" t="s">
        <v>365</v>
      </c>
      <c r="Q59" s="75" t="s">
        <v>365</v>
      </c>
      <c r="R59" s="75" t="s">
        <v>365</v>
      </c>
      <c r="S59" s="155" t="s">
        <v>365</v>
      </c>
    </row>
    <row r="60" spans="1:19" s="11" customFormat="1" x14ac:dyDescent="0.25">
      <c r="A60" s="14" t="s">
        <v>365</v>
      </c>
      <c r="B60" s="105" t="s">
        <v>361</v>
      </c>
      <c r="C60" s="143" t="s">
        <v>365</v>
      </c>
      <c r="D60" s="143" t="s">
        <v>365</v>
      </c>
      <c r="E60" s="143" t="s">
        <v>365</v>
      </c>
      <c r="F60" s="143" t="s">
        <v>365</v>
      </c>
      <c r="G60" s="143" t="s">
        <v>365</v>
      </c>
      <c r="H60" s="143" t="s">
        <v>365</v>
      </c>
      <c r="I60" s="143" t="s">
        <v>365</v>
      </c>
      <c r="J60" s="143" t="s">
        <v>365</v>
      </c>
      <c r="K60" s="143" t="s">
        <v>365</v>
      </c>
      <c r="L60" s="143" t="s">
        <v>365</v>
      </c>
      <c r="M60" s="143" t="s">
        <v>365</v>
      </c>
      <c r="N60" s="143" t="s">
        <v>365</v>
      </c>
      <c r="O60" s="143" t="s">
        <v>365</v>
      </c>
      <c r="P60" s="143" t="s">
        <v>365</v>
      </c>
      <c r="Q60" s="143" t="s">
        <v>365</v>
      </c>
      <c r="R60" s="143" t="s">
        <v>365</v>
      </c>
      <c r="S60" s="160" t="s">
        <v>365</v>
      </c>
    </row>
    <row r="61" spans="1:19" s="11" customFormat="1" x14ac:dyDescent="0.25">
      <c r="A61" s="14"/>
    </row>
    <row r="62" spans="1:19" s="11" customFormat="1" ht="13" x14ac:dyDescent="0.25">
      <c r="A62" s="78" t="s">
        <v>9</v>
      </c>
      <c r="B62" s="17" t="str">
        <f ca="1">GetNameRange(B63)</f>
        <v>RefinanceRatePct</v>
      </c>
    </row>
    <row r="63" spans="1:19" s="11" customFormat="1" ht="13" x14ac:dyDescent="0.25">
      <c r="A63" s="78" t="s">
        <v>368</v>
      </c>
      <c r="B63" s="53" t="s">
        <v>317</v>
      </c>
      <c r="C63" s="177" t="s">
        <v>457</v>
      </c>
      <c r="D63" s="177" t="s">
        <v>468</v>
      </c>
    </row>
    <row r="64" spans="1:19" s="11" customFormat="1" ht="13" x14ac:dyDescent="0.25">
      <c r="A64" s="14"/>
      <c r="B64" s="79" t="s">
        <v>91</v>
      </c>
      <c r="C64" s="34"/>
      <c r="D64" s="35"/>
    </row>
    <row r="65" spans="1:4" s="11" customFormat="1" x14ac:dyDescent="0.25">
      <c r="A65" s="70">
        <v>0</v>
      </c>
      <c r="B65" s="84">
        <v>1</v>
      </c>
      <c r="C65" s="73">
        <v>0</v>
      </c>
      <c r="D65" s="82">
        <v>0</v>
      </c>
    </row>
    <row r="66" spans="1:4" s="11" customFormat="1" x14ac:dyDescent="0.25">
      <c r="A66" s="70">
        <v>0</v>
      </c>
      <c r="B66" s="85">
        <v>999</v>
      </c>
      <c r="C66" s="74">
        <v>0</v>
      </c>
      <c r="D66" s="83">
        <v>0</v>
      </c>
    </row>
    <row r="67" spans="1:4" s="11" customFormat="1" x14ac:dyDescent="0.25">
      <c r="A67" s="14"/>
    </row>
    <row r="68" spans="1:4" s="11" customFormat="1" ht="13" x14ac:dyDescent="0.25">
      <c r="A68" s="78" t="s">
        <v>9</v>
      </c>
      <c r="B68" s="17" t="str">
        <f ca="1">GetNameRange(B69)</f>
        <v>RefinanceRateMultSinceIssue</v>
      </c>
    </row>
    <row r="69" spans="1:4" s="11" customFormat="1" ht="13" x14ac:dyDescent="0.25">
      <c r="A69" s="78" t="s">
        <v>368</v>
      </c>
      <c r="B69" s="53" t="s">
        <v>317</v>
      </c>
      <c r="C69" s="177" t="s">
        <v>457</v>
      </c>
      <c r="D69" s="177" t="s">
        <v>468</v>
      </c>
    </row>
    <row r="70" spans="1:4" s="11" customFormat="1" ht="13" x14ac:dyDescent="0.25">
      <c r="A70" s="14"/>
      <c r="B70" s="79" t="s">
        <v>91</v>
      </c>
      <c r="C70" s="34"/>
      <c r="D70" s="35"/>
    </row>
    <row r="71" spans="1:4" s="11" customFormat="1" x14ac:dyDescent="0.25">
      <c r="A71" s="86">
        <v>1</v>
      </c>
      <c r="B71" s="84">
        <v>1</v>
      </c>
      <c r="C71" s="87">
        <v>1</v>
      </c>
      <c r="D71" s="88">
        <v>1</v>
      </c>
    </row>
    <row r="72" spans="1:4" s="11" customFormat="1" x14ac:dyDescent="0.25">
      <c r="A72" s="86">
        <v>1</v>
      </c>
      <c r="B72" s="85">
        <v>999</v>
      </c>
      <c r="C72" s="89">
        <v>1</v>
      </c>
      <c r="D72" s="90">
        <v>1</v>
      </c>
    </row>
    <row r="73" spans="1:4" s="11" customFormat="1" x14ac:dyDescent="0.25">
      <c r="A73" s="14"/>
    </row>
    <row r="74" spans="1:4" s="11" customFormat="1" ht="13" x14ac:dyDescent="0.25">
      <c r="A74" s="78" t="s">
        <v>9</v>
      </c>
      <c r="B74" s="17" t="str">
        <f ca="1">GetNameRange(B75)</f>
        <v>RefinanceRateMultBefMaturity</v>
      </c>
    </row>
    <row r="75" spans="1:4" s="11" customFormat="1" ht="13" x14ac:dyDescent="0.25">
      <c r="A75" s="78" t="s">
        <v>368</v>
      </c>
      <c r="B75" s="53" t="s">
        <v>317</v>
      </c>
      <c r="C75" s="177" t="s">
        <v>457</v>
      </c>
      <c r="D75" s="177" t="s">
        <v>468</v>
      </c>
    </row>
    <row r="76" spans="1:4" s="11" customFormat="1" ht="13" x14ac:dyDescent="0.25">
      <c r="A76" s="14"/>
      <c r="B76" s="79" t="s">
        <v>371</v>
      </c>
      <c r="C76" s="34"/>
      <c r="D76" s="35"/>
    </row>
    <row r="77" spans="1:4" s="11" customFormat="1" x14ac:dyDescent="0.25">
      <c r="A77" s="86">
        <v>1</v>
      </c>
      <c r="B77" s="84">
        <v>1</v>
      </c>
      <c r="C77" s="87">
        <v>1</v>
      </c>
      <c r="D77" s="88">
        <v>1</v>
      </c>
    </row>
    <row r="78" spans="1:4" s="11" customFormat="1" x14ac:dyDescent="0.25">
      <c r="A78" s="86">
        <v>1</v>
      </c>
      <c r="B78" s="85">
        <v>999</v>
      </c>
      <c r="C78" s="89">
        <v>1</v>
      </c>
      <c r="D78" s="90">
        <v>1</v>
      </c>
    </row>
    <row r="79" spans="1:4" s="11" customFormat="1" x14ac:dyDescent="0.25">
      <c r="A79" s="14"/>
    </row>
    <row r="80" spans="1:4" s="11" customFormat="1" ht="13" x14ac:dyDescent="0.25">
      <c r="A80" s="78" t="s">
        <v>9</v>
      </c>
      <c r="B80" s="17" t="str">
        <f ca="1">GetNameRange(B81)</f>
        <v>ForeclosureRatePct</v>
      </c>
    </row>
    <row r="81" spans="1:4" s="11" customFormat="1" ht="13" x14ac:dyDescent="0.25">
      <c r="A81" s="78" t="s">
        <v>368</v>
      </c>
      <c r="B81" s="53" t="s">
        <v>317</v>
      </c>
      <c r="C81" s="177" t="s">
        <v>457</v>
      </c>
      <c r="D81" s="177" t="s">
        <v>468</v>
      </c>
    </row>
    <row r="82" spans="1:4" s="11" customFormat="1" ht="13" x14ac:dyDescent="0.25">
      <c r="A82" s="14"/>
      <c r="B82" s="79" t="s">
        <v>91</v>
      </c>
      <c r="C82" s="34"/>
      <c r="D82" s="35"/>
    </row>
    <row r="83" spans="1:4" s="11" customFormat="1" x14ac:dyDescent="0.25">
      <c r="A83" s="70">
        <v>0</v>
      </c>
      <c r="B83" s="84">
        <v>1</v>
      </c>
      <c r="C83" s="73">
        <v>0</v>
      </c>
      <c r="D83" s="82">
        <v>0</v>
      </c>
    </row>
    <row r="84" spans="1:4" s="11" customFormat="1" x14ac:dyDescent="0.25">
      <c r="A84" s="70">
        <v>0</v>
      </c>
      <c r="B84" s="85">
        <v>999</v>
      </c>
      <c r="C84" s="74">
        <v>0</v>
      </c>
      <c r="D84" s="83">
        <v>0</v>
      </c>
    </row>
    <row r="85" spans="1:4" s="11" customFormat="1" x14ac:dyDescent="0.25">
      <c r="A85" s="14"/>
    </row>
    <row r="86" spans="1:4" s="11" customFormat="1" ht="13" x14ac:dyDescent="0.25">
      <c r="A86" s="78" t="s">
        <v>9</v>
      </c>
      <c r="B86" s="17" t="str">
        <f ca="1">GetNameRange(B87)</f>
        <v>ForeclosureRateMultMthsSinceIssue</v>
      </c>
    </row>
    <row r="87" spans="1:4" s="11" customFormat="1" ht="13" x14ac:dyDescent="0.25">
      <c r="A87" s="78" t="s">
        <v>368</v>
      </c>
      <c r="B87" s="53" t="s">
        <v>317</v>
      </c>
      <c r="C87" s="177" t="s">
        <v>457</v>
      </c>
      <c r="D87" s="177" t="s">
        <v>468</v>
      </c>
    </row>
    <row r="88" spans="1:4" s="11" customFormat="1" ht="13" x14ac:dyDescent="0.25">
      <c r="A88" s="14"/>
      <c r="B88" s="79" t="s">
        <v>91</v>
      </c>
      <c r="C88" s="34"/>
      <c r="D88" s="35"/>
    </row>
    <row r="89" spans="1:4" s="11" customFormat="1" x14ac:dyDescent="0.25">
      <c r="A89" s="86">
        <v>1</v>
      </c>
      <c r="B89" s="84">
        <v>1</v>
      </c>
      <c r="C89" s="87">
        <v>1</v>
      </c>
      <c r="D89" s="88">
        <v>1</v>
      </c>
    </row>
    <row r="90" spans="1:4" s="11" customFormat="1" x14ac:dyDescent="0.25">
      <c r="A90" s="86">
        <v>1</v>
      </c>
      <c r="B90" s="85">
        <v>999</v>
      </c>
      <c r="C90" s="89">
        <v>1</v>
      </c>
      <c r="D90" s="90">
        <v>1</v>
      </c>
    </row>
    <row r="91" spans="1:4" s="11" customFormat="1" x14ac:dyDescent="0.25">
      <c r="A91" s="14"/>
    </row>
    <row r="92" spans="1:4" s="11" customFormat="1" ht="13" x14ac:dyDescent="0.25">
      <c r="A92" s="78" t="s">
        <v>9</v>
      </c>
      <c r="B92" s="17" t="str">
        <f ca="1">GetNameRange(B93)</f>
        <v>ForeclosureRateMultMthsBefMaturity</v>
      </c>
    </row>
    <row r="93" spans="1:4" s="11" customFormat="1" ht="13" x14ac:dyDescent="0.25">
      <c r="A93" s="78" t="s">
        <v>368</v>
      </c>
      <c r="B93" s="53" t="s">
        <v>317</v>
      </c>
      <c r="C93" s="177" t="s">
        <v>457</v>
      </c>
      <c r="D93" s="177" t="s">
        <v>468</v>
      </c>
    </row>
    <row r="94" spans="1:4" s="11" customFormat="1" ht="13" x14ac:dyDescent="0.25">
      <c r="A94" s="14"/>
      <c r="B94" s="79" t="s">
        <v>371</v>
      </c>
      <c r="C94" s="34"/>
      <c r="D94" s="35"/>
    </row>
    <row r="95" spans="1:4" s="11" customFormat="1" x14ac:dyDescent="0.25">
      <c r="A95" s="86">
        <v>1</v>
      </c>
      <c r="B95" s="84">
        <v>1</v>
      </c>
      <c r="C95" s="87">
        <v>1</v>
      </c>
      <c r="D95" s="88">
        <v>1</v>
      </c>
    </row>
    <row r="96" spans="1:4" s="11" customFormat="1" x14ac:dyDescent="0.25">
      <c r="A96" s="86">
        <v>1</v>
      </c>
      <c r="B96" s="85">
        <v>999</v>
      </c>
      <c r="C96" s="89">
        <v>1</v>
      </c>
      <c r="D96" s="90">
        <v>1</v>
      </c>
    </row>
    <row r="97" spans="1:4" s="11" customFormat="1" x14ac:dyDescent="0.25">
      <c r="A97" s="14"/>
    </row>
    <row r="98" spans="1:4" s="11" customFormat="1" ht="13" x14ac:dyDescent="0.25">
      <c r="A98" s="78" t="s">
        <v>9</v>
      </c>
      <c r="B98" s="17" t="str">
        <f ca="1">GetNameRange(B99)</f>
        <v>RestructureRatePct</v>
      </c>
    </row>
    <row r="99" spans="1:4" s="11" customFormat="1" ht="13" x14ac:dyDescent="0.25">
      <c r="A99" s="78" t="s">
        <v>368</v>
      </c>
      <c r="B99" s="53" t="s">
        <v>317</v>
      </c>
      <c r="C99" s="177" t="s">
        <v>457</v>
      </c>
      <c r="D99" s="177" t="s">
        <v>468</v>
      </c>
    </row>
    <row r="100" spans="1:4" s="11" customFormat="1" ht="13" x14ac:dyDescent="0.25">
      <c r="A100" s="14"/>
      <c r="B100" s="79" t="s">
        <v>91</v>
      </c>
      <c r="C100" s="34"/>
      <c r="D100" s="35"/>
    </row>
    <row r="101" spans="1:4" s="11" customFormat="1" x14ac:dyDescent="0.25">
      <c r="A101" s="70">
        <v>0</v>
      </c>
      <c r="B101" s="84">
        <v>1</v>
      </c>
      <c r="C101" s="73">
        <v>0</v>
      </c>
      <c r="D101" s="82">
        <v>0</v>
      </c>
    </row>
    <row r="102" spans="1:4" s="11" customFormat="1" x14ac:dyDescent="0.25">
      <c r="A102" s="70">
        <v>0</v>
      </c>
      <c r="B102" s="85">
        <v>999</v>
      </c>
      <c r="C102" s="74">
        <v>0</v>
      </c>
      <c r="D102" s="83">
        <v>0</v>
      </c>
    </row>
    <row r="103" spans="1:4" s="11" customFormat="1" x14ac:dyDescent="0.25">
      <c r="A103" s="14"/>
    </row>
    <row r="104" spans="1:4" s="11" customFormat="1" ht="13" x14ac:dyDescent="0.25">
      <c r="A104" s="78" t="s">
        <v>9</v>
      </c>
      <c r="B104" s="17" t="str">
        <f ca="1">GetNameRange(B105)</f>
        <v>RestructureRateMultMthsSinceIssue</v>
      </c>
    </row>
    <row r="105" spans="1:4" s="11" customFormat="1" ht="13" x14ac:dyDescent="0.25">
      <c r="A105" s="78" t="s">
        <v>368</v>
      </c>
      <c r="B105" s="53" t="s">
        <v>317</v>
      </c>
      <c r="C105" s="177" t="s">
        <v>457</v>
      </c>
      <c r="D105" s="177" t="s">
        <v>468</v>
      </c>
    </row>
    <row r="106" spans="1:4" s="11" customFormat="1" ht="13" x14ac:dyDescent="0.25">
      <c r="A106" s="14"/>
      <c r="B106" s="79" t="s">
        <v>91</v>
      </c>
      <c r="C106" s="34"/>
      <c r="D106" s="35"/>
    </row>
    <row r="107" spans="1:4" s="11" customFormat="1" x14ac:dyDescent="0.25">
      <c r="A107" s="86">
        <v>1</v>
      </c>
      <c r="B107" s="84">
        <v>1</v>
      </c>
      <c r="C107" s="87">
        <v>1</v>
      </c>
      <c r="D107" s="88">
        <v>1</v>
      </c>
    </row>
    <row r="108" spans="1:4" s="11" customFormat="1" x14ac:dyDescent="0.25">
      <c r="A108" s="86">
        <v>1</v>
      </c>
      <c r="B108" s="85">
        <v>999</v>
      </c>
      <c r="C108" s="89">
        <v>1</v>
      </c>
      <c r="D108" s="90">
        <v>1</v>
      </c>
    </row>
    <row r="109" spans="1:4" s="11" customFormat="1" x14ac:dyDescent="0.25">
      <c r="A109" s="14"/>
    </row>
    <row r="110" spans="1:4" s="11" customFormat="1" ht="13" x14ac:dyDescent="0.25">
      <c r="A110" s="78" t="s">
        <v>9</v>
      </c>
      <c r="B110" s="17" t="str">
        <f ca="1">GetNameRange(B111)</f>
        <v>RestructureRateMultMthsBefMaturity</v>
      </c>
    </row>
    <row r="111" spans="1:4" s="11" customFormat="1" ht="13" x14ac:dyDescent="0.25">
      <c r="A111" s="78" t="s">
        <v>368</v>
      </c>
      <c r="B111" s="53" t="s">
        <v>317</v>
      </c>
      <c r="C111" s="177" t="s">
        <v>457</v>
      </c>
      <c r="D111" s="177" t="s">
        <v>468</v>
      </c>
    </row>
    <row r="112" spans="1:4" s="11" customFormat="1" ht="13" x14ac:dyDescent="0.25">
      <c r="A112" s="14"/>
      <c r="B112" s="79" t="s">
        <v>371</v>
      </c>
      <c r="C112" s="34"/>
      <c r="D112" s="35"/>
    </row>
    <row r="113" spans="1:4" s="11" customFormat="1" x14ac:dyDescent="0.25">
      <c r="A113" s="86">
        <v>1</v>
      </c>
      <c r="B113" s="84">
        <v>1</v>
      </c>
      <c r="C113" s="87">
        <v>1</v>
      </c>
      <c r="D113" s="88">
        <v>1</v>
      </c>
    </row>
    <row r="114" spans="1:4" s="11" customFormat="1" x14ac:dyDescent="0.25">
      <c r="A114" s="86">
        <v>1</v>
      </c>
      <c r="B114" s="85">
        <v>999</v>
      </c>
      <c r="C114" s="89">
        <v>1</v>
      </c>
      <c r="D114" s="90">
        <v>1</v>
      </c>
    </row>
    <row r="115" spans="1:4" s="11" customFormat="1" x14ac:dyDescent="0.25">
      <c r="A115" s="14"/>
    </row>
    <row r="116" spans="1:4" s="11" customFormat="1" ht="13" x14ac:dyDescent="0.25">
      <c r="A116" s="78" t="s">
        <v>9</v>
      </c>
      <c r="B116" s="17" t="str">
        <f ca="1">GetNameRange(B117)</f>
        <v>SinkingFundPrinPmtPct</v>
      </c>
    </row>
    <row r="117" spans="1:4" s="11" customFormat="1" ht="13" x14ac:dyDescent="0.25">
      <c r="A117" s="78" t="s">
        <v>368</v>
      </c>
      <c r="B117" s="53" t="s">
        <v>393</v>
      </c>
      <c r="C117" s="41" t="s">
        <v>450</v>
      </c>
      <c r="D117" s="42" t="s">
        <v>451</v>
      </c>
    </row>
    <row r="118" spans="1:4" s="11" customFormat="1" ht="13" x14ac:dyDescent="0.25">
      <c r="A118" s="14"/>
      <c r="B118" s="79" t="s">
        <v>239</v>
      </c>
      <c r="C118" s="26"/>
      <c r="D118" s="24"/>
    </row>
    <row r="119" spans="1:4" s="11" customFormat="1" x14ac:dyDescent="0.25">
      <c r="A119" s="71">
        <v>0</v>
      </c>
      <c r="B119" s="98">
        <v>1</v>
      </c>
      <c r="C119" s="73">
        <v>0</v>
      </c>
      <c r="D119" s="82">
        <v>0</v>
      </c>
    </row>
    <row r="120" spans="1:4" s="11" customFormat="1" x14ac:dyDescent="0.25">
      <c r="A120" s="71">
        <v>0</v>
      </c>
      <c r="B120" s="99">
        <v>2958101</v>
      </c>
      <c r="C120" s="74">
        <v>0</v>
      </c>
      <c r="D120" s="83">
        <v>0</v>
      </c>
    </row>
    <row r="121" spans="1:4" s="11" customFormat="1" x14ac:dyDescent="0.25">
      <c r="A121" s="14"/>
    </row>
    <row r="122" spans="1:4" s="11" customFormat="1" ht="13" x14ac:dyDescent="0.25">
      <c r="A122" s="78" t="s">
        <v>9</v>
      </c>
      <c r="B122" s="17" t="str">
        <f ca="1">GetNameRange(B123)</f>
        <v>BalloonPrinPmtPct</v>
      </c>
    </row>
    <row r="123" spans="1:4" s="11" customFormat="1" ht="13" x14ac:dyDescent="0.25">
      <c r="A123" s="78" t="s">
        <v>368</v>
      </c>
      <c r="B123" s="117" t="s">
        <v>393</v>
      </c>
      <c r="C123" s="139" t="s">
        <v>443</v>
      </c>
      <c r="D123" s="148" t="s">
        <v>444</v>
      </c>
    </row>
    <row r="124" spans="1:4" s="11" customFormat="1" ht="13" x14ac:dyDescent="0.25">
      <c r="A124" s="14"/>
      <c r="B124" s="140" t="s">
        <v>239</v>
      </c>
      <c r="C124" s="26"/>
      <c r="D124" s="145"/>
    </row>
    <row r="125" spans="1:4" s="11" customFormat="1" x14ac:dyDescent="0.25">
      <c r="A125" s="71">
        <v>0</v>
      </c>
      <c r="B125" s="191">
        <v>1</v>
      </c>
      <c r="C125" s="73">
        <v>0</v>
      </c>
      <c r="D125" s="192">
        <v>0</v>
      </c>
    </row>
    <row r="126" spans="1:4" s="11" customFormat="1" x14ac:dyDescent="0.25">
      <c r="A126" s="71">
        <v>0</v>
      </c>
      <c r="B126" s="193">
        <v>2958101</v>
      </c>
      <c r="C126" s="194">
        <v>0</v>
      </c>
      <c r="D126" s="195">
        <v>0</v>
      </c>
    </row>
    <row r="127" spans="1:4" s="11" customFormat="1" x14ac:dyDescent="0.25">
      <c r="A127" s="14"/>
    </row>
    <row r="128" spans="1:4" s="11" customFormat="1" ht="13" x14ac:dyDescent="0.25">
      <c r="A128" s="78" t="s">
        <v>9</v>
      </c>
      <c r="B128" s="17" t="str">
        <f ca="1">GetNameRange(B129)</f>
        <v>CallPutPricePct</v>
      </c>
    </row>
    <row r="129" spans="1:11" s="11" customFormat="1" ht="13" x14ac:dyDescent="0.25">
      <c r="A129" s="78" t="s">
        <v>368</v>
      </c>
      <c r="B129" s="53" t="s">
        <v>393</v>
      </c>
      <c r="C129" s="41" t="s">
        <v>450</v>
      </c>
      <c r="D129" s="41" t="s">
        <v>451</v>
      </c>
      <c r="E129" s="41" t="s">
        <v>452</v>
      </c>
      <c r="F129" s="41" t="s">
        <v>453</v>
      </c>
      <c r="G129" s="42" t="s">
        <v>454</v>
      </c>
    </row>
    <row r="130" spans="1:11" s="11" customFormat="1" ht="13" x14ac:dyDescent="0.25">
      <c r="A130" s="14"/>
      <c r="B130" s="52" t="s">
        <v>366</v>
      </c>
      <c r="C130" s="26" t="s">
        <v>394</v>
      </c>
      <c r="D130" s="26" t="s">
        <v>394</v>
      </c>
      <c r="E130" s="26" t="s">
        <v>394</v>
      </c>
      <c r="F130" s="26" t="s">
        <v>395</v>
      </c>
      <c r="G130" s="24" t="s">
        <v>395</v>
      </c>
    </row>
    <row r="131" spans="1:11" s="11" customFormat="1" ht="13" x14ac:dyDescent="0.25">
      <c r="A131" s="14"/>
      <c r="B131" s="79" t="s">
        <v>239</v>
      </c>
      <c r="C131" s="26"/>
      <c r="D131" s="26"/>
      <c r="E131" s="26"/>
      <c r="F131" s="26"/>
      <c r="G131" s="24"/>
    </row>
    <row r="132" spans="1:11" s="11" customFormat="1" x14ac:dyDescent="0.25">
      <c r="A132" s="71">
        <v>1</v>
      </c>
      <c r="B132" s="98">
        <v>1</v>
      </c>
      <c r="C132" s="73">
        <v>1</v>
      </c>
      <c r="D132" s="73">
        <v>1</v>
      </c>
      <c r="E132" s="73">
        <v>1</v>
      </c>
      <c r="F132" s="73">
        <v>1</v>
      </c>
      <c r="G132" s="82">
        <v>1</v>
      </c>
    </row>
    <row r="133" spans="1:11" s="11" customFormat="1" x14ac:dyDescent="0.25">
      <c r="A133" s="71">
        <v>1</v>
      </c>
      <c r="B133" s="99">
        <v>2958101</v>
      </c>
      <c r="C133" s="74">
        <v>1</v>
      </c>
      <c r="D133" s="74">
        <v>1</v>
      </c>
      <c r="E133" s="74">
        <v>1</v>
      </c>
      <c r="F133" s="74">
        <v>1</v>
      </c>
      <c r="G133" s="83">
        <v>1</v>
      </c>
    </row>
    <row r="134" spans="1:11" s="11" customFormat="1" x14ac:dyDescent="0.25">
      <c r="A134" s="14"/>
    </row>
    <row r="135" spans="1:11" s="11" customFormat="1" ht="13" x14ac:dyDescent="0.25">
      <c r="A135" s="78" t="s">
        <v>9</v>
      </c>
      <c r="B135" s="17" t="str">
        <f ca="1">GetNameRange(B136)</f>
        <v>PrepmtPenaltyPct</v>
      </c>
    </row>
    <row r="136" spans="1:11" s="11" customFormat="1" ht="13" x14ac:dyDescent="0.25">
      <c r="A136" s="78" t="s">
        <v>368</v>
      </c>
      <c r="B136" s="53" t="s">
        <v>393</v>
      </c>
      <c r="C136" s="41" t="s">
        <v>443</v>
      </c>
      <c r="D136" s="42" t="s">
        <v>444</v>
      </c>
    </row>
    <row r="137" spans="1:11" s="11" customFormat="1" ht="13" x14ac:dyDescent="0.25">
      <c r="A137" s="14"/>
      <c r="B137" s="79" t="s">
        <v>239</v>
      </c>
      <c r="C137" s="26"/>
      <c r="D137" s="24"/>
    </row>
    <row r="138" spans="1:11" s="11" customFormat="1" x14ac:dyDescent="0.25">
      <c r="A138" s="71">
        <v>0</v>
      </c>
      <c r="B138" s="98">
        <v>1</v>
      </c>
      <c r="C138" s="73">
        <v>0</v>
      </c>
      <c r="D138" s="82">
        <v>0</v>
      </c>
    </row>
    <row r="139" spans="1:11" s="11" customFormat="1" x14ac:dyDescent="0.25">
      <c r="A139" s="71">
        <v>0</v>
      </c>
      <c r="B139" s="99">
        <v>2958101</v>
      </c>
      <c r="C139" s="74">
        <v>0</v>
      </c>
      <c r="D139" s="83">
        <v>0</v>
      </c>
    </row>
    <row r="140" spans="1:11" s="11" customFormat="1" x14ac:dyDescent="0.25">
      <c r="A140" s="14"/>
    </row>
    <row r="141" spans="1:11" ht="13" x14ac:dyDescent="0.25">
      <c r="A141" s="78" t="s">
        <v>9</v>
      </c>
      <c r="B141" s="17" t="str">
        <f ca="1">GetNameRange(B142)</f>
        <v>CallPutExercisePct</v>
      </c>
      <c r="I141" s="11"/>
      <c r="J141" s="11"/>
      <c r="K141" s="11"/>
    </row>
    <row r="142" spans="1:11" ht="13" x14ac:dyDescent="0.25">
      <c r="A142" s="78" t="s">
        <v>368</v>
      </c>
      <c r="B142" s="53" t="s">
        <v>317</v>
      </c>
      <c r="C142" s="177" t="s">
        <v>457</v>
      </c>
      <c r="D142" s="177" t="s">
        <v>468</v>
      </c>
      <c r="E142" s="177" t="s">
        <v>457</v>
      </c>
      <c r="F142" s="177" t="s">
        <v>468</v>
      </c>
      <c r="G142" s="177" t="s">
        <v>457</v>
      </c>
      <c r="H142" s="177" t="s">
        <v>468</v>
      </c>
      <c r="I142" s="11"/>
      <c r="J142" s="11"/>
      <c r="K142" s="11"/>
    </row>
    <row r="143" spans="1:11" ht="13" x14ac:dyDescent="0.25">
      <c r="B143" s="52" t="s">
        <v>366</v>
      </c>
      <c r="C143" s="26" t="s">
        <v>237</v>
      </c>
      <c r="D143" s="26" t="s">
        <v>238</v>
      </c>
      <c r="E143" s="26" t="s">
        <v>237</v>
      </c>
      <c r="F143" s="26" t="s">
        <v>238</v>
      </c>
      <c r="G143" s="26" t="s">
        <v>237</v>
      </c>
      <c r="H143" s="24" t="s">
        <v>238</v>
      </c>
      <c r="I143" s="11"/>
      <c r="J143" s="11"/>
      <c r="K143" s="11"/>
    </row>
    <row r="144" spans="1:11" ht="13" x14ac:dyDescent="0.25">
      <c r="B144" s="79" t="s">
        <v>367</v>
      </c>
      <c r="C144" s="26"/>
      <c r="D144" s="26"/>
      <c r="E144" s="26"/>
      <c r="F144" s="26"/>
      <c r="G144" s="26"/>
      <c r="H144" s="24"/>
      <c r="I144" s="11"/>
      <c r="J144" s="11"/>
      <c r="K144" s="11"/>
    </row>
    <row r="145" spans="1:11" x14ac:dyDescent="0.25">
      <c r="A145" s="72">
        <v>0</v>
      </c>
      <c r="B145" s="80">
        <v>0</v>
      </c>
      <c r="C145" s="73">
        <v>0</v>
      </c>
      <c r="D145" s="73">
        <v>0</v>
      </c>
      <c r="E145" s="73">
        <v>0</v>
      </c>
      <c r="F145" s="73">
        <v>0</v>
      </c>
      <c r="G145" s="73">
        <v>0</v>
      </c>
      <c r="H145" s="82">
        <v>0</v>
      </c>
      <c r="I145" s="11"/>
      <c r="J145" s="11"/>
      <c r="K145" s="11"/>
    </row>
    <row r="146" spans="1:11" x14ac:dyDescent="0.25">
      <c r="A146" s="72">
        <v>0</v>
      </c>
      <c r="B146" s="80">
        <v>1.9900000000000001E-2</v>
      </c>
      <c r="C146" s="73">
        <v>0</v>
      </c>
      <c r="D146" s="73">
        <v>0</v>
      </c>
      <c r="E146" s="73">
        <v>0</v>
      </c>
      <c r="F146" s="73">
        <v>0</v>
      </c>
      <c r="G146" s="73">
        <v>0</v>
      </c>
      <c r="H146" s="82">
        <v>0</v>
      </c>
      <c r="I146" s="11"/>
      <c r="J146" s="11"/>
      <c r="K146" s="11"/>
    </row>
    <row r="147" spans="1:11" x14ac:dyDescent="0.25">
      <c r="A147" s="72">
        <v>0</v>
      </c>
      <c r="B147" s="81">
        <v>0.02</v>
      </c>
      <c r="C147" s="74">
        <v>0</v>
      </c>
      <c r="D147" s="74">
        <v>0</v>
      </c>
      <c r="E147" s="74">
        <v>0</v>
      </c>
      <c r="F147" s="74">
        <v>0</v>
      </c>
      <c r="G147" s="74">
        <v>0</v>
      </c>
      <c r="H147" s="83">
        <v>0</v>
      </c>
      <c r="I147" s="11"/>
      <c r="J147" s="11"/>
      <c r="K147" s="11"/>
    </row>
    <row r="148" spans="1:11" x14ac:dyDescent="0.25">
      <c r="I148" s="11"/>
      <c r="J148" s="11"/>
      <c r="K148" s="11"/>
    </row>
    <row r="149" spans="1:11" ht="13" x14ac:dyDescent="0.25">
      <c r="A149" s="78" t="s">
        <v>9</v>
      </c>
      <c r="B149" s="17" t="str">
        <f ca="1">GetNameRange(B150)</f>
        <v>PrepmtExercisePct</v>
      </c>
    </row>
    <row r="150" spans="1:11" ht="13" x14ac:dyDescent="0.25">
      <c r="A150" s="78" t="s">
        <v>368</v>
      </c>
      <c r="B150" s="53" t="s">
        <v>317</v>
      </c>
      <c r="C150" s="177" t="s">
        <v>457</v>
      </c>
      <c r="D150" s="177" t="s">
        <v>468</v>
      </c>
    </row>
    <row r="151" spans="1:11" ht="13" x14ac:dyDescent="0.25">
      <c r="B151" s="79" t="s">
        <v>367</v>
      </c>
      <c r="C151" s="34"/>
      <c r="D151" s="35"/>
    </row>
    <row r="152" spans="1:11" x14ac:dyDescent="0.25">
      <c r="A152" s="72">
        <v>0</v>
      </c>
      <c r="B152" s="80">
        <v>0</v>
      </c>
      <c r="C152" s="73">
        <v>0</v>
      </c>
      <c r="D152" s="82">
        <v>0</v>
      </c>
    </row>
    <row r="153" spans="1:11" x14ac:dyDescent="0.25">
      <c r="A153" s="72">
        <v>0</v>
      </c>
      <c r="B153" s="80">
        <v>0.02</v>
      </c>
      <c r="C153" s="76">
        <v>0.5</v>
      </c>
      <c r="D153" s="76">
        <v>0.5</v>
      </c>
    </row>
    <row r="154" spans="1:11" x14ac:dyDescent="0.25">
      <c r="A154" s="72">
        <v>0</v>
      </c>
      <c r="B154" s="81">
        <v>0.04</v>
      </c>
      <c r="C154" s="74">
        <v>1</v>
      </c>
      <c r="D154" s="74">
        <v>1</v>
      </c>
    </row>
    <row r="156" spans="1:11" ht="13" x14ac:dyDescent="0.25">
      <c r="A156" s="78" t="s">
        <v>9</v>
      </c>
      <c r="B156" s="17" t="str">
        <f ca="1">GetNameRange(B157)</f>
        <v>PrepmtSeasoningSinceIssueMult</v>
      </c>
      <c r="C156" s="11"/>
      <c r="D156" s="11"/>
    </row>
    <row r="157" spans="1:11" ht="13" x14ac:dyDescent="0.25">
      <c r="A157" s="78" t="s">
        <v>368</v>
      </c>
      <c r="B157" s="53" t="s">
        <v>317</v>
      </c>
      <c r="C157" s="177" t="s">
        <v>457</v>
      </c>
      <c r="D157" s="177" t="s">
        <v>468</v>
      </c>
    </row>
    <row r="158" spans="1:11" ht="13" x14ac:dyDescent="0.25">
      <c r="A158" s="14"/>
      <c r="B158" s="79" t="s">
        <v>91</v>
      </c>
      <c r="C158" s="34"/>
      <c r="D158" s="35"/>
    </row>
    <row r="159" spans="1:11" x14ac:dyDescent="0.25">
      <c r="A159" s="86">
        <v>1</v>
      </c>
      <c r="B159" s="84">
        <v>1</v>
      </c>
      <c r="C159" s="87">
        <v>1</v>
      </c>
      <c r="D159" s="88">
        <v>1</v>
      </c>
    </row>
    <row r="160" spans="1:11" x14ac:dyDescent="0.25">
      <c r="A160" s="86">
        <v>1</v>
      </c>
      <c r="B160" s="85">
        <v>999</v>
      </c>
      <c r="C160" s="89">
        <v>1</v>
      </c>
      <c r="D160" s="90">
        <v>1</v>
      </c>
    </row>
    <row r="162" spans="1:4" ht="13" x14ac:dyDescent="0.25">
      <c r="A162" s="78" t="s">
        <v>9</v>
      </c>
      <c r="B162" s="17" t="str">
        <f ca="1">GetNameRange(B163)</f>
        <v>PrepmtNonfinancialSeasonalityAddn</v>
      </c>
    </row>
    <row r="163" spans="1:4" ht="13" x14ac:dyDescent="0.25">
      <c r="A163" s="78" t="s">
        <v>368</v>
      </c>
      <c r="B163" s="53" t="s">
        <v>317</v>
      </c>
      <c r="C163" s="177" t="s">
        <v>457</v>
      </c>
      <c r="D163" s="177" t="s">
        <v>468</v>
      </c>
    </row>
    <row r="164" spans="1:4" ht="13" x14ac:dyDescent="0.25">
      <c r="A164" s="14"/>
      <c r="B164" s="79" t="s">
        <v>370</v>
      </c>
      <c r="C164" s="34"/>
      <c r="D164" s="35"/>
    </row>
    <row r="165" spans="1:4" x14ac:dyDescent="0.25">
      <c r="A165" s="72">
        <v>0</v>
      </c>
      <c r="B165" s="84">
        <v>1</v>
      </c>
      <c r="C165" s="73">
        <v>0</v>
      </c>
      <c r="D165" s="82">
        <v>0</v>
      </c>
    </row>
    <row r="166" spans="1:4" x14ac:dyDescent="0.25">
      <c r="A166" s="72">
        <v>0</v>
      </c>
      <c r="B166" s="84">
        <v>2</v>
      </c>
      <c r="C166" s="73">
        <v>0</v>
      </c>
      <c r="D166" s="82">
        <v>0</v>
      </c>
    </row>
    <row r="167" spans="1:4" x14ac:dyDescent="0.25">
      <c r="A167" s="72">
        <v>0</v>
      </c>
      <c r="B167" s="84">
        <v>3</v>
      </c>
      <c r="C167" s="73">
        <v>0</v>
      </c>
      <c r="D167" s="82">
        <v>0</v>
      </c>
    </row>
    <row r="168" spans="1:4" x14ac:dyDescent="0.25">
      <c r="A168" s="72">
        <v>0</v>
      </c>
      <c r="B168" s="84">
        <v>4</v>
      </c>
      <c r="C168" s="73">
        <v>0</v>
      </c>
      <c r="D168" s="82">
        <v>0</v>
      </c>
    </row>
    <row r="169" spans="1:4" x14ac:dyDescent="0.25">
      <c r="A169" s="72">
        <v>0</v>
      </c>
      <c r="B169" s="84">
        <v>5</v>
      </c>
      <c r="C169" s="73">
        <v>0</v>
      </c>
      <c r="D169" s="82">
        <v>0</v>
      </c>
    </row>
    <row r="170" spans="1:4" x14ac:dyDescent="0.25">
      <c r="A170" s="72">
        <v>0</v>
      </c>
      <c r="B170" s="84">
        <v>6</v>
      </c>
      <c r="C170" s="73">
        <v>0</v>
      </c>
      <c r="D170" s="82">
        <v>0</v>
      </c>
    </row>
    <row r="171" spans="1:4" x14ac:dyDescent="0.25">
      <c r="A171" s="72">
        <v>0</v>
      </c>
      <c r="B171" s="84">
        <v>7</v>
      </c>
      <c r="C171" s="73">
        <v>0</v>
      </c>
      <c r="D171" s="82">
        <v>0</v>
      </c>
    </row>
    <row r="172" spans="1:4" x14ac:dyDescent="0.25">
      <c r="A172" s="72">
        <v>0</v>
      </c>
      <c r="B172" s="84">
        <v>8</v>
      </c>
      <c r="C172" s="73">
        <v>0</v>
      </c>
      <c r="D172" s="82">
        <v>0</v>
      </c>
    </row>
    <row r="173" spans="1:4" x14ac:dyDescent="0.25">
      <c r="A173" s="72">
        <v>0</v>
      </c>
      <c r="B173" s="84">
        <v>9</v>
      </c>
      <c r="C173" s="73">
        <v>0</v>
      </c>
      <c r="D173" s="82">
        <v>0</v>
      </c>
    </row>
    <row r="174" spans="1:4" x14ac:dyDescent="0.25">
      <c r="A174" s="72">
        <v>0</v>
      </c>
      <c r="B174" s="84">
        <v>10</v>
      </c>
      <c r="C174" s="73">
        <v>0</v>
      </c>
      <c r="D174" s="82">
        <v>0</v>
      </c>
    </row>
    <row r="175" spans="1:4" x14ac:dyDescent="0.25">
      <c r="A175" s="72">
        <v>0</v>
      </c>
      <c r="B175" s="84">
        <v>11</v>
      </c>
      <c r="C175" s="73">
        <v>0</v>
      </c>
      <c r="D175" s="82">
        <v>0</v>
      </c>
    </row>
    <row r="176" spans="1:4" x14ac:dyDescent="0.25">
      <c r="A176" s="72">
        <v>0</v>
      </c>
      <c r="B176" s="85">
        <v>12</v>
      </c>
      <c r="C176" s="74">
        <v>0</v>
      </c>
      <c r="D176" s="83">
        <v>0</v>
      </c>
    </row>
    <row r="178" spans="1:4" ht="13" x14ac:dyDescent="0.25">
      <c r="A178" s="78" t="s">
        <v>9</v>
      </c>
      <c r="B178" s="17" t="str">
        <f ca="1">GetNameRange(B179)</f>
        <v>PrepmtNonfinancialAdj</v>
      </c>
    </row>
    <row r="179" spans="1:4" ht="13" x14ac:dyDescent="0.25">
      <c r="A179" s="78" t="s">
        <v>368</v>
      </c>
      <c r="B179" s="53" t="s">
        <v>317</v>
      </c>
      <c r="C179" s="177" t="s">
        <v>457</v>
      </c>
      <c r="D179" s="177" t="s">
        <v>468</v>
      </c>
    </row>
    <row r="180" spans="1:4" ht="13" x14ac:dyDescent="0.25">
      <c r="B180" s="79" t="s">
        <v>455</v>
      </c>
      <c r="C180" s="34"/>
      <c r="D180" s="35"/>
    </row>
    <row r="181" spans="1:4" x14ac:dyDescent="0.25">
      <c r="A181" s="72">
        <v>0</v>
      </c>
      <c r="B181" s="80">
        <v>0</v>
      </c>
      <c r="C181" s="73">
        <v>0</v>
      </c>
      <c r="D181" s="82">
        <v>0</v>
      </c>
    </row>
    <row r="182" spans="1:4" x14ac:dyDescent="0.25">
      <c r="A182" s="72">
        <v>0</v>
      </c>
      <c r="B182" s="80">
        <v>0.02</v>
      </c>
      <c r="C182" s="73">
        <v>0</v>
      </c>
      <c r="D182" s="82">
        <v>0</v>
      </c>
    </row>
    <row r="183" spans="1:4" x14ac:dyDescent="0.25">
      <c r="A183" s="72">
        <v>0</v>
      </c>
      <c r="B183" s="81">
        <v>0.04</v>
      </c>
      <c r="C183" s="74">
        <v>0</v>
      </c>
      <c r="D183" s="83">
        <v>0</v>
      </c>
    </row>
  </sheetData>
  <conditionalFormatting sqref="C65:D66">
    <cfRule type="cellIs" dxfId="2708" priority="1386" operator="notEqual">
      <formula>$A65</formula>
    </cfRule>
  </conditionalFormatting>
  <conditionalFormatting sqref="C71:D72">
    <cfRule type="cellIs" dxfId="2707" priority="1385" operator="notEqual">
      <formula>$A71</formula>
    </cfRule>
  </conditionalFormatting>
  <conditionalFormatting sqref="C83:D84">
    <cfRule type="cellIs" dxfId="2706" priority="1379" operator="notEqual">
      <formula>$A83</formula>
    </cfRule>
  </conditionalFormatting>
  <conditionalFormatting sqref="C101:D102">
    <cfRule type="cellIs" dxfId="2705" priority="1378" operator="notEqual">
      <formula>$A101</formula>
    </cfRule>
  </conditionalFormatting>
  <conditionalFormatting sqref="C119:D120">
    <cfRule type="cellIs" dxfId="2704" priority="1377" operator="notEqual">
      <formula>$A119</formula>
    </cfRule>
  </conditionalFormatting>
  <conditionalFormatting sqref="C132:G133">
    <cfRule type="cellIs" dxfId="2703" priority="1376" operator="notEqual">
      <formula>$A132</formula>
    </cfRule>
  </conditionalFormatting>
  <conditionalFormatting sqref="C138:D139">
    <cfRule type="cellIs" dxfId="2702" priority="1375" operator="notEqual">
      <formula>$A138</formula>
    </cfRule>
  </conditionalFormatting>
  <conditionalFormatting sqref="C145:H147">
    <cfRule type="cellIs" dxfId="2701" priority="1374" operator="notEqual">
      <formula>$A145</formula>
    </cfRule>
  </conditionalFormatting>
  <conditionalFormatting sqref="C152:D152">
    <cfRule type="cellIs" dxfId="2700" priority="1373" operator="notEqual">
      <formula>$A152</formula>
    </cfRule>
  </conditionalFormatting>
  <conditionalFormatting sqref="C159:D160">
    <cfRule type="cellIs" dxfId="2699" priority="1372" operator="notEqual">
      <formula>$A159</formula>
    </cfRule>
  </conditionalFormatting>
  <conditionalFormatting sqref="C165:D176">
    <cfRule type="cellIs" dxfId="2698" priority="1371" operator="notEqual">
      <formula>$A165</formula>
    </cfRule>
  </conditionalFormatting>
  <conditionalFormatting sqref="C181:D183">
    <cfRule type="cellIs" dxfId="2697" priority="1370" operator="notEqual">
      <formula>$A181</formula>
    </cfRule>
  </conditionalFormatting>
  <conditionalFormatting sqref="C77:D78">
    <cfRule type="cellIs" dxfId="2696" priority="1369" operator="notEqual">
      <formula>$A77</formula>
    </cfRule>
  </conditionalFormatting>
  <conditionalFormatting sqref="C89:D90">
    <cfRule type="cellIs" dxfId="2695" priority="1368" operator="notEqual">
      <formula>$A89</formula>
    </cfRule>
  </conditionalFormatting>
  <conditionalFormatting sqref="C95:D96">
    <cfRule type="cellIs" dxfId="2694" priority="1367" operator="notEqual">
      <formula>$A95</formula>
    </cfRule>
  </conditionalFormatting>
  <conditionalFormatting sqref="C107:D108">
    <cfRule type="cellIs" dxfId="2693" priority="1366" operator="notEqual">
      <formula>$A107</formula>
    </cfRule>
  </conditionalFormatting>
  <conditionalFormatting sqref="C113:D114">
    <cfRule type="cellIs" dxfId="2692" priority="1365" operator="notEqual">
      <formula>$A113</formula>
    </cfRule>
  </conditionalFormatting>
  <conditionalFormatting sqref="C153">
    <cfRule type="cellIs" dxfId="2691" priority="1360" operator="notEqual">
      <formula>$A153</formula>
    </cfRule>
    <cfRule type="cellIs" dxfId="2690" priority="1361" operator="equal">
      <formula>"""&lt;&gt;$A6"""</formula>
    </cfRule>
    <cfRule type="cellIs" dxfId="2689" priority="1362" operator="equal">
      <formula>"&lt;&gt;$A6"</formula>
    </cfRule>
    <cfRule type="cellIs" dxfId="2688" priority="1363" operator="equal">
      <formula>$A153</formula>
    </cfRule>
    <cfRule type="cellIs" dxfId="2687" priority="1364" operator="equal">
      <formula>$A153</formula>
    </cfRule>
  </conditionalFormatting>
  <conditionalFormatting sqref="S42:S43">
    <cfRule type="cellIs" dxfId="2686" priority="24" operator="notEqual">
      <formula>$A42</formula>
    </cfRule>
    <cfRule type="cellIs" dxfId="2685" priority="25" operator="equal">
      <formula>"""&lt;&gt;$A6"""</formula>
    </cfRule>
    <cfRule type="cellIs" dxfId="2684" priority="26" operator="equal">
      <formula>"&lt;&gt;$A6"</formula>
    </cfRule>
    <cfRule type="cellIs" dxfId="2683" priority="27" operator="equal">
      <formula>$A42</formula>
    </cfRule>
    <cfRule type="cellIs" dxfId="2682" priority="28" operator="equal">
      <formula>$A42</formula>
    </cfRule>
  </conditionalFormatting>
  <conditionalFormatting sqref="D153">
    <cfRule type="cellIs" dxfId="2681" priority="1350" operator="notEqual">
      <formula>$A153</formula>
    </cfRule>
    <cfRule type="cellIs" dxfId="2680" priority="1351" operator="equal">
      <formula>"""&lt;&gt;$A6"""</formula>
    </cfRule>
    <cfRule type="cellIs" dxfId="2679" priority="1352" operator="equal">
      <formula>"&lt;&gt;$A6"</formula>
    </cfRule>
    <cfRule type="cellIs" dxfId="2678" priority="1353" operator="equal">
      <formula>$A153</formula>
    </cfRule>
    <cfRule type="cellIs" dxfId="2677" priority="1354" operator="equal">
      <formula>$A153</formula>
    </cfRule>
  </conditionalFormatting>
  <conditionalFormatting sqref="S48">
    <cfRule type="cellIs" dxfId="2676" priority="14" operator="notEqual">
      <formula>$A48</formula>
    </cfRule>
    <cfRule type="cellIs" dxfId="2675" priority="15" operator="equal">
      <formula>"""&lt;&gt;$A6"""</formula>
    </cfRule>
    <cfRule type="cellIs" dxfId="2674" priority="16" operator="equal">
      <formula>"&lt;&gt;$A6"</formula>
    </cfRule>
    <cfRule type="cellIs" dxfId="2673" priority="17" operator="equal">
      <formula>$A48</formula>
    </cfRule>
    <cfRule type="cellIs" dxfId="2672" priority="18" operator="equal">
      <formula>$A48</formula>
    </cfRule>
  </conditionalFormatting>
  <conditionalFormatting sqref="C154:D154">
    <cfRule type="cellIs" dxfId="2671" priority="1344" operator="notEqual">
      <formula>$A154</formula>
    </cfRule>
  </conditionalFormatting>
  <conditionalFormatting sqref="G9:J9">
    <cfRule type="cellIs" dxfId="2670" priority="999" operator="notEqual">
      <formula>$A9</formula>
    </cfRule>
    <cfRule type="cellIs" dxfId="2669" priority="1000" operator="equal">
      <formula>"""&lt;&gt;$A6"""</formula>
    </cfRule>
    <cfRule type="cellIs" dxfId="2668" priority="1001" operator="equal">
      <formula>"&lt;&gt;$A6"</formula>
    </cfRule>
    <cfRule type="cellIs" dxfId="2667" priority="1002" operator="equal">
      <formula>$A9</formula>
    </cfRule>
    <cfRule type="cellIs" dxfId="2666" priority="1003" operator="equal">
      <formula>$A9</formula>
    </cfRule>
  </conditionalFormatting>
  <conditionalFormatting sqref="C38:C40">
    <cfRule type="cellIs" dxfId="2665" priority="1299" operator="notEqual">
      <formula>$A38</formula>
    </cfRule>
    <cfRule type="cellIs" dxfId="2664" priority="1300" operator="equal">
      <formula>"""&lt;&gt;$A6"""</formula>
    </cfRule>
    <cfRule type="cellIs" dxfId="2663" priority="1301" operator="equal">
      <formula>"&lt;&gt;$A6"</formula>
    </cfRule>
    <cfRule type="cellIs" dxfId="2662" priority="1302" operator="equal">
      <formula>$A38</formula>
    </cfRule>
    <cfRule type="cellIs" dxfId="2661" priority="1303" operator="equal">
      <formula>$A38</formula>
    </cfRule>
  </conditionalFormatting>
  <conditionalFormatting sqref="C5">
    <cfRule type="cellIs" dxfId="2660" priority="1339" operator="notEqual">
      <formula>$A5</formula>
    </cfRule>
    <cfRule type="cellIs" dxfId="2659" priority="1340" operator="equal">
      <formula>"""&lt;&gt;$A6"""</formula>
    </cfRule>
    <cfRule type="cellIs" dxfId="2658" priority="1341" operator="equal">
      <formula>"&lt;&gt;$A6"</formula>
    </cfRule>
    <cfRule type="cellIs" dxfId="2657" priority="1342" operator="equal">
      <formula>$A5</formula>
    </cfRule>
    <cfRule type="cellIs" dxfId="2656" priority="1343" operator="equal">
      <formula>$A5</formula>
    </cfRule>
  </conditionalFormatting>
  <conditionalFormatting sqref="C8">
    <cfRule type="cellIs" dxfId="2655" priority="1334" operator="notEqual">
      <formula>$A8</formula>
    </cfRule>
    <cfRule type="cellIs" dxfId="2654" priority="1335" operator="equal">
      <formula>"""&lt;&gt;$A6"""</formula>
    </cfRule>
    <cfRule type="cellIs" dxfId="2653" priority="1336" operator="equal">
      <formula>"&lt;&gt;$A6"</formula>
    </cfRule>
    <cfRule type="cellIs" dxfId="2652" priority="1337" operator="equal">
      <formula>$A8</formula>
    </cfRule>
    <cfRule type="cellIs" dxfId="2651" priority="1338" operator="equal">
      <formula>$A8</formula>
    </cfRule>
  </conditionalFormatting>
  <conditionalFormatting sqref="C9">
    <cfRule type="cellIs" dxfId="2650" priority="1329" operator="notEqual">
      <formula>$A9</formula>
    </cfRule>
    <cfRule type="cellIs" dxfId="2649" priority="1330" operator="equal">
      <formula>"""&lt;&gt;$A6"""</formula>
    </cfRule>
    <cfRule type="cellIs" dxfId="2648" priority="1331" operator="equal">
      <formula>"&lt;&gt;$A6"</formula>
    </cfRule>
    <cfRule type="cellIs" dxfId="2647" priority="1332" operator="equal">
      <formula>$A9</formula>
    </cfRule>
    <cfRule type="cellIs" dxfId="2646" priority="1333" operator="equal">
      <formula>$A9</formula>
    </cfRule>
  </conditionalFormatting>
  <conditionalFormatting sqref="C10:C23">
    <cfRule type="cellIs" dxfId="2645" priority="1324" operator="notEqual">
      <formula>$A10</formula>
    </cfRule>
    <cfRule type="cellIs" dxfId="2644" priority="1325" operator="equal">
      <formula>"""&lt;&gt;$A6"""</formula>
    </cfRule>
    <cfRule type="cellIs" dxfId="2643" priority="1326" operator="equal">
      <formula>"&lt;&gt;$A6"</formula>
    </cfRule>
    <cfRule type="cellIs" dxfId="2642" priority="1327" operator="equal">
      <formula>$A10</formula>
    </cfRule>
    <cfRule type="cellIs" dxfId="2641" priority="1328" operator="equal">
      <formula>$A10</formula>
    </cfRule>
  </conditionalFormatting>
  <conditionalFormatting sqref="C26">
    <cfRule type="cellIs" dxfId="2640" priority="1319" operator="notEqual">
      <formula>$A26</formula>
    </cfRule>
    <cfRule type="cellIs" dxfId="2639" priority="1320" operator="equal">
      <formula>"""&lt;&gt;$A6"""</formula>
    </cfRule>
    <cfRule type="cellIs" dxfId="2638" priority="1321" operator="equal">
      <formula>"&lt;&gt;$A6"</formula>
    </cfRule>
    <cfRule type="cellIs" dxfId="2637" priority="1322" operator="equal">
      <formula>$A26</formula>
    </cfRule>
    <cfRule type="cellIs" dxfId="2636" priority="1323" operator="equal">
      <formula>$A26</formula>
    </cfRule>
  </conditionalFormatting>
  <conditionalFormatting sqref="C36">
    <cfRule type="cellIs" dxfId="2635" priority="1314" operator="notEqual">
      <formula>$A36</formula>
    </cfRule>
    <cfRule type="cellIs" dxfId="2634" priority="1315" operator="equal">
      <formula>"""&lt;&gt;$A6"""</formula>
    </cfRule>
    <cfRule type="cellIs" dxfId="2633" priority="1316" operator="equal">
      <formula>"&lt;&gt;$A6"</formula>
    </cfRule>
    <cfRule type="cellIs" dxfId="2632" priority="1317" operator="equal">
      <formula>$A36</formula>
    </cfRule>
    <cfRule type="cellIs" dxfId="2631" priority="1318" operator="equal">
      <formula>$A36</formula>
    </cfRule>
  </conditionalFormatting>
  <conditionalFormatting sqref="C32:C35">
    <cfRule type="cellIs" dxfId="2630" priority="1309" operator="notEqual">
      <formula>$A32</formula>
    </cfRule>
    <cfRule type="cellIs" dxfId="2629" priority="1310" operator="equal">
      <formula>"""&lt;&gt;$A6"""</formula>
    </cfRule>
    <cfRule type="cellIs" dxfId="2628" priority="1311" operator="equal">
      <formula>"&lt;&gt;$A6"</formula>
    </cfRule>
    <cfRule type="cellIs" dxfId="2627" priority="1312" operator="equal">
      <formula>$A32</formula>
    </cfRule>
    <cfRule type="cellIs" dxfId="2626" priority="1313" operator="equal">
      <formula>$A32</formula>
    </cfRule>
  </conditionalFormatting>
  <conditionalFormatting sqref="C37:S37">
    <cfRule type="cellIs" dxfId="2625" priority="1304" operator="notEqual">
      <formula>$A37</formula>
    </cfRule>
    <cfRule type="cellIs" dxfId="2624" priority="1305" operator="equal">
      <formula>"""&lt;&gt;$A6"""</formula>
    </cfRule>
    <cfRule type="cellIs" dxfId="2623" priority="1306" operator="equal">
      <formula>"&lt;&gt;$A6"</formula>
    </cfRule>
    <cfRule type="cellIs" dxfId="2622" priority="1307" operator="equal">
      <formula>$A37</formula>
    </cfRule>
    <cfRule type="cellIs" dxfId="2621" priority="1308" operator="equal">
      <formula>$A37</formula>
    </cfRule>
  </conditionalFormatting>
  <conditionalFormatting sqref="C41">
    <cfRule type="cellIs" dxfId="2620" priority="1294" operator="notEqual">
      <formula>$A41</formula>
    </cfRule>
    <cfRule type="cellIs" dxfId="2619" priority="1295" operator="equal">
      <formula>"""&lt;&gt;$A6"""</formula>
    </cfRule>
    <cfRule type="cellIs" dxfId="2618" priority="1296" operator="equal">
      <formula>"&lt;&gt;$A6"</formula>
    </cfRule>
    <cfRule type="cellIs" dxfId="2617" priority="1297" operator="equal">
      <formula>$A41</formula>
    </cfRule>
    <cfRule type="cellIs" dxfId="2616" priority="1298" operator="equal">
      <formula>$A41</formula>
    </cfRule>
  </conditionalFormatting>
  <conditionalFormatting sqref="C42:C43">
    <cfRule type="cellIs" dxfId="2615" priority="1289" operator="notEqual">
      <formula>$A42</formula>
    </cfRule>
    <cfRule type="cellIs" dxfId="2614" priority="1290" operator="equal">
      <formula>"""&lt;&gt;$A6"""</formula>
    </cfRule>
    <cfRule type="cellIs" dxfId="2613" priority="1291" operator="equal">
      <formula>"&lt;&gt;$A6"</formula>
    </cfRule>
    <cfRule type="cellIs" dxfId="2612" priority="1292" operator="equal">
      <formula>$A42</formula>
    </cfRule>
    <cfRule type="cellIs" dxfId="2611" priority="1293" operator="equal">
      <formula>$A42</formula>
    </cfRule>
  </conditionalFormatting>
  <conditionalFormatting sqref="C44">
    <cfRule type="cellIs" dxfId="2610" priority="1284" operator="notEqual">
      <formula>$A44</formula>
    </cfRule>
    <cfRule type="cellIs" dxfId="2609" priority="1285" operator="equal">
      <formula>"""&lt;&gt;$A6"""</formula>
    </cfRule>
    <cfRule type="cellIs" dxfId="2608" priority="1286" operator="equal">
      <formula>"&lt;&gt;$A6"</formula>
    </cfRule>
    <cfRule type="cellIs" dxfId="2607" priority="1287" operator="equal">
      <formula>$A44</formula>
    </cfRule>
    <cfRule type="cellIs" dxfId="2606" priority="1288" operator="equal">
      <formula>$A44</formula>
    </cfRule>
  </conditionalFormatting>
  <conditionalFormatting sqref="C45">
    <cfRule type="cellIs" dxfId="2605" priority="1279" operator="notEqual">
      <formula>$A45</formula>
    </cfRule>
    <cfRule type="cellIs" dxfId="2604" priority="1280" operator="equal">
      <formula>"""&lt;&gt;$A6"""</formula>
    </cfRule>
    <cfRule type="cellIs" dxfId="2603" priority="1281" operator="equal">
      <formula>"&lt;&gt;$A6"</formula>
    </cfRule>
    <cfRule type="cellIs" dxfId="2602" priority="1282" operator="equal">
      <formula>$A45</formula>
    </cfRule>
    <cfRule type="cellIs" dxfId="2601" priority="1283" operator="equal">
      <formula>$A45</formula>
    </cfRule>
  </conditionalFormatting>
  <conditionalFormatting sqref="C46">
    <cfRule type="cellIs" dxfId="2600" priority="1274" operator="notEqual">
      <formula>$A46</formula>
    </cfRule>
    <cfRule type="cellIs" dxfId="2599" priority="1275" operator="equal">
      <formula>"""&lt;&gt;$A6"""</formula>
    </cfRule>
    <cfRule type="cellIs" dxfId="2598" priority="1276" operator="equal">
      <formula>"&lt;&gt;$A6"</formula>
    </cfRule>
    <cfRule type="cellIs" dxfId="2597" priority="1277" operator="equal">
      <formula>$A46</formula>
    </cfRule>
    <cfRule type="cellIs" dxfId="2596" priority="1278" operator="equal">
      <formula>$A46</formula>
    </cfRule>
  </conditionalFormatting>
  <conditionalFormatting sqref="C50:C51">
    <cfRule type="cellIs" dxfId="2595" priority="1269" operator="notEqual">
      <formula>$A50</formula>
    </cfRule>
    <cfRule type="cellIs" dxfId="2594" priority="1270" operator="equal">
      <formula>"""&lt;&gt;$A6"""</formula>
    </cfRule>
    <cfRule type="cellIs" dxfId="2593" priority="1271" operator="equal">
      <formula>"&lt;&gt;$A6"</formula>
    </cfRule>
    <cfRule type="cellIs" dxfId="2592" priority="1272" operator="equal">
      <formula>$A50</formula>
    </cfRule>
    <cfRule type="cellIs" dxfId="2591" priority="1273" operator="equal">
      <formula>$A50</formula>
    </cfRule>
  </conditionalFormatting>
  <conditionalFormatting sqref="C47">
    <cfRule type="cellIs" dxfId="2590" priority="1264" operator="notEqual">
      <formula>$A47</formula>
    </cfRule>
    <cfRule type="cellIs" dxfId="2589" priority="1265" operator="equal">
      <formula>"""&lt;&gt;$A6"""</formula>
    </cfRule>
    <cfRule type="cellIs" dxfId="2588" priority="1266" operator="equal">
      <formula>"&lt;&gt;$A6"</formula>
    </cfRule>
    <cfRule type="cellIs" dxfId="2587" priority="1267" operator="equal">
      <formula>$A47</formula>
    </cfRule>
    <cfRule type="cellIs" dxfId="2586" priority="1268" operator="equal">
      <formula>$A47</formula>
    </cfRule>
  </conditionalFormatting>
  <conditionalFormatting sqref="D32:D35">
    <cfRule type="cellIs" dxfId="2585" priority="1219" operator="notEqual">
      <formula>$A32</formula>
    </cfRule>
    <cfRule type="cellIs" dxfId="2584" priority="1220" operator="equal">
      <formula>"""&lt;&gt;$A6"""</formula>
    </cfRule>
    <cfRule type="cellIs" dxfId="2583" priority="1221" operator="equal">
      <formula>"&lt;&gt;$A6"</formula>
    </cfRule>
    <cfRule type="cellIs" dxfId="2582" priority="1222" operator="equal">
      <formula>$A32</formula>
    </cfRule>
    <cfRule type="cellIs" dxfId="2581" priority="1223" operator="equal">
      <formula>$A32</formula>
    </cfRule>
  </conditionalFormatting>
  <conditionalFormatting sqref="C49">
    <cfRule type="cellIs" dxfId="2580" priority="1259" operator="notEqual">
      <formula>$A49</formula>
    </cfRule>
    <cfRule type="cellIs" dxfId="2579" priority="1260" operator="equal">
      <formula>"""&lt;&gt;$A6"""</formula>
    </cfRule>
    <cfRule type="cellIs" dxfId="2578" priority="1261" operator="equal">
      <formula>"&lt;&gt;$A6"</formula>
    </cfRule>
    <cfRule type="cellIs" dxfId="2577" priority="1262" operator="equal">
      <formula>$A49</formula>
    </cfRule>
    <cfRule type="cellIs" dxfId="2576" priority="1263" operator="equal">
      <formula>$A49</formula>
    </cfRule>
  </conditionalFormatting>
  <conditionalFormatting sqref="C53:C60">
    <cfRule type="cellIs" dxfId="2575" priority="1254" operator="notEqual">
      <formula>$A53</formula>
    </cfRule>
    <cfRule type="cellIs" dxfId="2574" priority="1255" operator="equal">
      <formula>"""&lt;&gt;$A6"""</formula>
    </cfRule>
    <cfRule type="cellIs" dxfId="2573" priority="1256" operator="equal">
      <formula>"&lt;&gt;$A6"</formula>
    </cfRule>
    <cfRule type="cellIs" dxfId="2572" priority="1257" operator="equal">
      <formula>$A53</formula>
    </cfRule>
    <cfRule type="cellIs" dxfId="2571" priority="1258" operator="equal">
      <formula>$A53</formula>
    </cfRule>
  </conditionalFormatting>
  <conditionalFormatting sqref="D5">
    <cfRule type="cellIs" dxfId="2570" priority="1249" operator="notEqual">
      <formula>$A5</formula>
    </cfRule>
    <cfRule type="cellIs" dxfId="2569" priority="1250" operator="equal">
      <formula>"""&lt;&gt;$A6"""</formula>
    </cfRule>
    <cfRule type="cellIs" dxfId="2568" priority="1251" operator="equal">
      <formula>"&lt;&gt;$A6"</formula>
    </cfRule>
    <cfRule type="cellIs" dxfId="2567" priority="1252" operator="equal">
      <formula>$A5</formula>
    </cfRule>
    <cfRule type="cellIs" dxfId="2566" priority="1253" operator="equal">
      <formula>$A5</formula>
    </cfRule>
  </conditionalFormatting>
  <conditionalFormatting sqref="D8">
    <cfRule type="cellIs" dxfId="2565" priority="1244" operator="notEqual">
      <formula>$A8</formula>
    </cfRule>
    <cfRule type="cellIs" dxfId="2564" priority="1245" operator="equal">
      <formula>"""&lt;&gt;$A6"""</formula>
    </cfRule>
    <cfRule type="cellIs" dxfId="2563" priority="1246" operator="equal">
      <formula>"&lt;&gt;$A6"</formula>
    </cfRule>
    <cfRule type="cellIs" dxfId="2562" priority="1247" operator="equal">
      <formula>$A8</formula>
    </cfRule>
    <cfRule type="cellIs" dxfId="2561" priority="1248" operator="equal">
      <formula>$A8</formula>
    </cfRule>
  </conditionalFormatting>
  <conditionalFormatting sqref="D9">
    <cfRule type="cellIs" dxfId="2560" priority="1239" operator="notEqual">
      <formula>$A9</formula>
    </cfRule>
    <cfRule type="cellIs" dxfId="2559" priority="1240" operator="equal">
      <formula>"""&lt;&gt;$A6"""</formula>
    </cfRule>
    <cfRule type="cellIs" dxfId="2558" priority="1241" operator="equal">
      <formula>"&lt;&gt;$A6"</formula>
    </cfRule>
    <cfRule type="cellIs" dxfId="2557" priority="1242" operator="equal">
      <formula>$A9</formula>
    </cfRule>
    <cfRule type="cellIs" dxfId="2556" priority="1243" operator="equal">
      <formula>$A9</formula>
    </cfRule>
  </conditionalFormatting>
  <conditionalFormatting sqref="D10:D23">
    <cfRule type="cellIs" dxfId="2555" priority="1234" operator="notEqual">
      <formula>$A10</formula>
    </cfRule>
    <cfRule type="cellIs" dxfId="2554" priority="1235" operator="equal">
      <formula>"""&lt;&gt;$A6"""</formula>
    </cfRule>
    <cfRule type="cellIs" dxfId="2553" priority="1236" operator="equal">
      <formula>"&lt;&gt;$A6"</formula>
    </cfRule>
    <cfRule type="cellIs" dxfId="2552" priority="1237" operator="equal">
      <formula>$A10</formula>
    </cfRule>
    <cfRule type="cellIs" dxfId="2551" priority="1238" operator="equal">
      <formula>$A10</formula>
    </cfRule>
  </conditionalFormatting>
  <conditionalFormatting sqref="D26">
    <cfRule type="cellIs" dxfId="2550" priority="1229" operator="notEqual">
      <formula>$A26</formula>
    </cfRule>
    <cfRule type="cellIs" dxfId="2549" priority="1230" operator="equal">
      <formula>"""&lt;&gt;$A6"""</formula>
    </cfRule>
    <cfRule type="cellIs" dxfId="2548" priority="1231" operator="equal">
      <formula>"&lt;&gt;$A6"</formula>
    </cfRule>
    <cfRule type="cellIs" dxfId="2547" priority="1232" operator="equal">
      <formula>$A26</formula>
    </cfRule>
    <cfRule type="cellIs" dxfId="2546" priority="1233" operator="equal">
      <formula>$A26</formula>
    </cfRule>
  </conditionalFormatting>
  <conditionalFormatting sqref="D36">
    <cfRule type="cellIs" dxfId="2545" priority="1224" operator="notEqual">
      <formula>$A36</formula>
    </cfRule>
    <cfRule type="cellIs" dxfId="2544" priority="1225" operator="equal">
      <formula>"""&lt;&gt;$A6"""</formula>
    </cfRule>
    <cfRule type="cellIs" dxfId="2543" priority="1226" operator="equal">
      <formula>"&lt;&gt;$A6"</formula>
    </cfRule>
    <cfRule type="cellIs" dxfId="2542" priority="1227" operator="equal">
      <formula>$A36</formula>
    </cfRule>
    <cfRule type="cellIs" dxfId="2541" priority="1228" operator="equal">
      <formula>$A36</formula>
    </cfRule>
  </conditionalFormatting>
  <conditionalFormatting sqref="D37">
    <cfRule type="cellIs" dxfId="2540" priority="1214" operator="notEqual">
      <formula>$A37</formula>
    </cfRule>
    <cfRule type="cellIs" dxfId="2539" priority="1215" operator="equal">
      <formula>"""&lt;&gt;$A6"""</formula>
    </cfRule>
    <cfRule type="cellIs" dxfId="2538" priority="1216" operator="equal">
      <formula>"&lt;&gt;$A6"</formula>
    </cfRule>
    <cfRule type="cellIs" dxfId="2537" priority="1217" operator="equal">
      <formula>$A37</formula>
    </cfRule>
    <cfRule type="cellIs" dxfId="2536" priority="1218" operator="equal">
      <formula>$A37</formula>
    </cfRule>
  </conditionalFormatting>
  <conditionalFormatting sqref="D38:D40">
    <cfRule type="cellIs" dxfId="2535" priority="1209" operator="notEqual">
      <formula>$A38</formula>
    </cfRule>
    <cfRule type="cellIs" dxfId="2534" priority="1210" operator="equal">
      <formula>"""&lt;&gt;$A6"""</formula>
    </cfRule>
    <cfRule type="cellIs" dxfId="2533" priority="1211" operator="equal">
      <formula>"&lt;&gt;$A6"</formula>
    </cfRule>
    <cfRule type="cellIs" dxfId="2532" priority="1212" operator="equal">
      <formula>$A38</formula>
    </cfRule>
    <cfRule type="cellIs" dxfId="2531" priority="1213" operator="equal">
      <formula>$A38</formula>
    </cfRule>
  </conditionalFormatting>
  <conditionalFormatting sqref="D41">
    <cfRule type="cellIs" dxfId="2530" priority="1204" operator="notEqual">
      <formula>$A41</formula>
    </cfRule>
    <cfRule type="cellIs" dxfId="2529" priority="1205" operator="equal">
      <formula>"""&lt;&gt;$A6"""</formula>
    </cfRule>
    <cfRule type="cellIs" dxfId="2528" priority="1206" operator="equal">
      <formula>"&lt;&gt;$A6"</formula>
    </cfRule>
    <cfRule type="cellIs" dxfId="2527" priority="1207" operator="equal">
      <formula>$A41</formula>
    </cfRule>
    <cfRule type="cellIs" dxfId="2526" priority="1208" operator="equal">
      <formula>$A41</formula>
    </cfRule>
  </conditionalFormatting>
  <conditionalFormatting sqref="D50:D51">
    <cfRule type="cellIs" dxfId="2525" priority="1184" operator="notEqual">
      <formula>$A50</formula>
    </cfRule>
    <cfRule type="cellIs" dxfId="2524" priority="1185" operator="equal">
      <formula>"""&lt;&gt;$A6"""</formula>
    </cfRule>
    <cfRule type="cellIs" dxfId="2523" priority="1186" operator="equal">
      <formula>"&lt;&gt;$A6"</formula>
    </cfRule>
    <cfRule type="cellIs" dxfId="2522" priority="1187" operator="equal">
      <formula>$A50</formula>
    </cfRule>
    <cfRule type="cellIs" dxfId="2521" priority="1188" operator="equal">
      <formula>$A50</formula>
    </cfRule>
  </conditionalFormatting>
  <conditionalFormatting sqref="D46">
    <cfRule type="cellIs" dxfId="2520" priority="1189" operator="notEqual">
      <formula>$A46</formula>
    </cfRule>
    <cfRule type="cellIs" dxfId="2519" priority="1190" operator="equal">
      <formula>"""&lt;&gt;$A6"""</formula>
    </cfRule>
    <cfRule type="cellIs" dxfId="2518" priority="1191" operator="equal">
      <formula>"&lt;&gt;$A6"</formula>
    </cfRule>
    <cfRule type="cellIs" dxfId="2517" priority="1192" operator="equal">
      <formula>$A46</formula>
    </cfRule>
    <cfRule type="cellIs" dxfId="2516" priority="1193" operator="equal">
      <formula>$A46</formula>
    </cfRule>
  </conditionalFormatting>
  <conditionalFormatting sqref="E26">
    <cfRule type="cellIs" dxfId="2515" priority="1149" operator="notEqual">
      <formula>$A26</formula>
    </cfRule>
    <cfRule type="cellIs" dxfId="2514" priority="1150" operator="equal">
      <formula>"""&lt;&gt;$A6"""</formula>
    </cfRule>
    <cfRule type="cellIs" dxfId="2513" priority="1151" operator="equal">
      <formula>"&lt;&gt;$A6"</formula>
    </cfRule>
    <cfRule type="cellIs" dxfId="2512" priority="1152" operator="equal">
      <formula>$A26</formula>
    </cfRule>
    <cfRule type="cellIs" dxfId="2511" priority="1153" operator="equal">
      <formula>$A26</formula>
    </cfRule>
  </conditionalFormatting>
  <conditionalFormatting sqref="E36">
    <cfRule type="cellIs" dxfId="2510" priority="1144" operator="notEqual">
      <formula>$A36</formula>
    </cfRule>
    <cfRule type="cellIs" dxfId="2509" priority="1145" operator="equal">
      <formula>"""&lt;&gt;$A6"""</formula>
    </cfRule>
    <cfRule type="cellIs" dxfId="2508" priority="1146" operator="equal">
      <formula>"&lt;&gt;$A6"</formula>
    </cfRule>
    <cfRule type="cellIs" dxfId="2507" priority="1147" operator="equal">
      <formula>$A36</formula>
    </cfRule>
    <cfRule type="cellIs" dxfId="2506" priority="1148" operator="equal">
      <formula>$A36</formula>
    </cfRule>
  </conditionalFormatting>
  <conditionalFormatting sqref="D49">
    <cfRule type="cellIs" dxfId="2505" priority="1179" operator="notEqual">
      <formula>$A49</formula>
    </cfRule>
    <cfRule type="cellIs" dxfId="2504" priority="1180" operator="equal">
      <formula>"""&lt;&gt;$A6"""</formula>
    </cfRule>
    <cfRule type="cellIs" dxfId="2503" priority="1181" operator="equal">
      <formula>"&lt;&gt;$A6"</formula>
    </cfRule>
    <cfRule type="cellIs" dxfId="2502" priority="1182" operator="equal">
      <formula>$A49</formula>
    </cfRule>
    <cfRule type="cellIs" dxfId="2501" priority="1183" operator="equal">
      <formula>$A49</formula>
    </cfRule>
  </conditionalFormatting>
  <conditionalFormatting sqref="D53:D60">
    <cfRule type="cellIs" dxfId="2500" priority="1174" operator="notEqual">
      <formula>$A53</formula>
    </cfRule>
    <cfRule type="cellIs" dxfId="2499" priority="1175" operator="equal">
      <formula>"""&lt;&gt;$A6"""</formula>
    </cfRule>
    <cfRule type="cellIs" dxfId="2498" priority="1176" operator="equal">
      <formula>"&lt;&gt;$A6"</formula>
    </cfRule>
    <cfRule type="cellIs" dxfId="2497" priority="1177" operator="equal">
      <formula>$A53</formula>
    </cfRule>
    <cfRule type="cellIs" dxfId="2496" priority="1178" operator="equal">
      <formula>$A53</formula>
    </cfRule>
  </conditionalFormatting>
  <conditionalFormatting sqref="E5">
    <cfRule type="cellIs" dxfId="2495" priority="1169" operator="notEqual">
      <formula>$A5</formula>
    </cfRule>
    <cfRule type="cellIs" dxfId="2494" priority="1170" operator="equal">
      <formula>"""&lt;&gt;$A6"""</formula>
    </cfRule>
    <cfRule type="cellIs" dxfId="2493" priority="1171" operator="equal">
      <formula>"&lt;&gt;$A6"</formula>
    </cfRule>
    <cfRule type="cellIs" dxfId="2492" priority="1172" operator="equal">
      <formula>$A5</formula>
    </cfRule>
    <cfRule type="cellIs" dxfId="2491" priority="1173" operator="equal">
      <formula>$A5</formula>
    </cfRule>
  </conditionalFormatting>
  <conditionalFormatting sqref="E8">
    <cfRule type="cellIs" dxfId="2490" priority="1164" operator="notEqual">
      <formula>$A8</formula>
    </cfRule>
    <cfRule type="cellIs" dxfId="2489" priority="1165" operator="equal">
      <formula>"""&lt;&gt;$A6"""</formula>
    </cfRule>
    <cfRule type="cellIs" dxfId="2488" priority="1166" operator="equal">
      <formula>"&lt;&gt;$A6"</formula>
    </cfRule>
    <cfRule type="cellIs" dxfId="2487" priority="1167" operator="equal">
      <formula>$A8</formula>
    </cfRule>
    <cfRule type="cellIs" dxfId="2486" priority="1168" operator="equal">
      <formula>$A8</formula>
    </cfRule>
  </conditionalFormatting>
  <conditionalFormatting sqref="E9">
    <cfRule type="cellIs" dxfId="2485" priority="1159" operator="notEqual">
      <formula>$A9</formula>
    </cfRule>
    <cfRule type="cellIs" dxfId="2484" priority="1160" operator="equal">
      <formula>"""&lt;&gt;$A6"""</formula>
    </cfRule>
    <cfRule type="cellIs" dxfId="2483" priority="1161" operator="equal">
      <formula>"&lt;&gt;$A6"</formula>
    </cfRule>
    <cfRule type="cellIs" dxfId="2482" priority="1162" operator="equal">
      <formula>$A9</formula>
    </cfRule>
    <cfRule type="cellIs" dxfId="2481" priority="1163" operator="equal">
      <formula>$A9</formula>
    </cfRule>
  </conditionalFormatting>
  <conditionalFormatting sqref="E10:E23">
    <cfRule type="cellIs" dxfId="2480" priority="1154" operator="notEqual">
      <formula>$A10</formula>
    </cfRule>
    <cfRule type="cellIs" dxfId="2479" priority="1155" operator="equal">
      <formula>"""&lt;&gt;$A6"""</formula>
    </cfRule>
    <cfRule type="cellIs" dxfId="2478" priority="1156" operator="equal">
      <formula>"&lt;&gt;$A6"</formula>
    </cfRule>
    <cfRule type="cellIs" dxfId="2477" priority="1157" operator="equal">
      <formula>$A10</formula>
    </cfRule>
    <cfRule type="cellIs" dxfId="2476" priority="1158" operator="equal">
      <formula>$A10</formula>
    </cfRule>
  </conditionalFormatting>
  <conditionalFormatting sqref="E32:E35">
    <cfRule type="cellIs" dxfId="2475" priority="1139" operator="notEqual">
      <formula>$A32</formula>
    </cfRule>
    <cfRule type="cellIs" dxfId="2474" priority="1140" operator="equal">
      <formula>"""&lt;&gt;$A6"""</formula>
    </cfRule>
    <cfRule type="cellIs" dxfId="2473" priority="1141" operator="equal">
      <formula>"&lt;&gt;$A6"</formula>
    </cfRule>
    <cfRule type="cellIs" dxfId="2472" priority="1142" operator="equal">
      <formula>$A32</formula>
    </cfRule>
    <cfRule type="cellIs" dxfId="2471" priority="1143" operator="equal">
      <formula>$A32</formula>
    </cfRule>
  </conditionalFormatting>
  <conditionalFormatting sqref="E37">
    <cfRule type="cellIs" dxfId="2470" priority="1134" operator="notEqual">
      <formula>$A37</formula>
    </cfRule>
    <cfRule type="cellIs" dxfId="2469" priority="1135" operator="equal">
      <formula>"""&lt;&gt;$A6"""</formula>
    </cfRule>
    <cfRule type="cellIs" dxfId="2468" priority="1136" operator="equal">
      <formula>"&lt;&gt;$A6"</formula>
    </cfRule>
    <cfRule type="cellIs" dxfId="2467" priority="1137" operator="equal">
      <formula>$A37</formula>
    </cfRule>
    <cfRule type="cellIs" dxfId="2466" priority="1138" operator="equal">
      <formula>$A37</formula>
    </cfRule>
  </conditionalFormatting>
  <conditionalFormatting sqref="E38:E40">
    <cfRule type="cellIs" dxfId="2465" priority="1129" operator="notEqual">
      <formula>$A38</formula>
    </cfRule>
    <cfRule type="cellIs" dxfId="2464" priority="1130" operator="equal">
      <formula>"""&lt;&gt;$A6"""</formula>
    </cfRule>
    <cfRule type="cellIs" dxfId="2463" priority="1131" operator="equal">
      <formula>"&lt;&gt;$A6"</formula>
    </cfRule>
    <cfRule type="cellIs" dxfId="2462" priority="1132" operator="equal">
      <formula>$A38</formula>
    </cfRule>
    <cfRule type="cellIs" dxfId="2461" priority="1133" operator="equal">
      <formula>$A38</formula>
    </cfRule>
  </conditionalFormatting>
  <conditionalFormatting sqref="E41">
    <cfRule type="cellIs" dxfId="2460" priority="1124" operator="notEqual">
      <formula>$A41</formula>
    </cfRule>
    <cfRule type="cellIs" dxfId="2459" priority="1125" operator="equal">
      <formula>"""&lt;&gt;$A6"""</formula>
    </cfRule>
    <cfRule type="cellIs" dxfId="2458" priority="1126" operator="equal">
      <formula>"&lt;&gt;$A6"</formula>
    </cfRule>
    <cfRule type="cellIs" dxfId="2457" priority="1127" operator="equal">
      <formula>$A41</formula>
    </cfRule>
    <cfRule type="cellIs" dxfId="2456" priority="1128" operator="equal">
      <formula>$A41</formula>
    </cfRule>
  </conditionalFormatting>
  <conditionalFormatting sqref="E46">
    <cfRule type="cellIs" dxfId="2455" priority="1109" operator="notEqual">
      <formula>$A46</formula>
    </cfRule>
    <cfRule type="cellIs" dxfId="2454" priority="1110" operator="equal">
      <formula>"""&lt;&gt;$A6"""</formula>
    </cfRule>
    <cfRule type="cellIs" dxfId="2453" priority="1111" operator="equal">
      <formula>"&lt;&gt;$A6"</formula>
    </cfRule>
    <cfRule type="cellIs" dxfId="2452" priority="1112" operator="equal">
      <formula>$A46</formula>
    </cfRule>
    <cfRule type="cellIs" dxfId="2451" priority="1113" operator="equal">
      <formula>$A46</formula>
    </cfRule>
  </conditionalFormatting>
  <conditionalFormatting sqref="F10:F23">
    <cfRule type="cellIs" dxfId="2450" priority="1074" operator="notEqual">
      <formula>$A10</formula>
    </cfRule>
    <cfRule type="cellIs" dxfId="2449" priority="1075" operator="equal">
      <formula>"""&lt;&gt;$A6"""</formula>
    </cfRule>
    <cfRule type="cellIs" dxfId="2448" priority="1076" operator="equal">
      <formula>"&lt;&gt;$A6"</formula>
    </cfRule>
    <cfRule type="cellIs" dxfId="2447" priority="1077" operator="equal">
      <formula>$A10</formula>
    </cfRule>
    <cfRule type="cellIs" dxfId="2446" priority="1078" operator="equal">
      <formula>$A10</formula>
    </cfRule>
  </conditionalFormatting>
  <conditionalFormatting sqref="E50:E51">
    <cfRule type="cellIs" dxfId="2445" priority="1104" operator="notEqual">
      <formula>$A50</formula>
    </cfRule>
    <cfRule type="cellIs" dxfId="2444" priority="1105" operator="equal">
      <formula>"""&lt;&gt;$A6"""</formula>
    </cfRule>
    <cfRule type="cellIs" dxfId="2443" priority="1106" operator="equal">
      <formula>"&lt;&gt;$A6"</formula>
    </cfRule>
    <cfRule type="cellIs" dxfId="2442" priority="1107" operator="equal">
      <formula>$A50</formula>
    </cfRule>
    <cfRule type="cellIs" dxfId="2441" priority="1108" operator="equal">
      <formula>$A50</formula>
    </cfRule>
  </conditionalFormatting>
  <conditionalFormatting sqref="F9">
    <cfRule type="cellIs" dxfId="2440" priority="1079" operator="notEqual">
      <formula>$A9</formula>
    </cfRule>
    <cfRule type="cellIs" dxfId="2439" priority="1080" operator="equal">
      <formula>"""&lt;&gt;$A6"""</formula>
    </cfRule>
    <cfRule type="cellIs" dxfId="2438" priority="1081" operator="equal">
      <formula>"&lt;&gt;$A6"</formula>
    </cfRule>
    <cfRule type="cellIs" dxfId="2437" priority="1082" operator="equal">
      <formula>$A9</formula>
    </cfRule>
    <cfRule type="cellIs" dxfId="2436" priority="1083" operator="equal">
      <formula>$A9</formula>
    </cfRule>
  </conditionalFormatting>
  <conditionalFormatting sqref="E49">
    <cfRule type="cellIs" dxfId="2435" priority="1099" operator="notEqual">
      <formula>$A49</formula>
    </cfRule>
    <cfRule type="cellIs" dxfId="2434" priority="1100" operator="equal">
      <formula>"""&lt;&gt;$A6"""</formula>
    </cfRule>
    <cfRule type="cellIs" dxfId="2433" priority="1101" operator="equal">
      <formula>"&lt;&gt;$A6"</formula>
    </cfRule>
    <cfRule type="cellIs" dxfId="2432" priority="1102" operator="equal">
      <formula>$A49</formula>
    </cfRule>
    <cfRule type="cellIs" dxfId="2431" priority="1103" operator="equal">
      <formula>$A49</formula>
    </cfRule>
  </conditionalFormatting>
  <conditionalFormatting sqref="E53:E60">
    <cfRule type="cellIs" dxfId="2430" priority="1094" operator="notEqual">
      <formula>$A53</formula>
    </cfRule>
    <cfRule type="cellIs" dxfId="2429" priority="1095" operator="equal">
      <formula>"""&lt;&gt;$A6"""</formula>
    </cfRule>
    <cfRule type="cellIs" dxfId="2428" priority="1096" operator="equal">
      <formula>"&lt;&gt;$A6"</formula>
    </cfRule>
    <cfRule type="cellIs" dxfId="2427" priority="1097" operator="equal">
      <formula>$A53</formula>
    </cfRule>
    <cfRule type="cellIs" dxfId="2426" priority="1098" operator="equal">
      <formula>$A53</formula>
    </cfRule>
  </conditionalFormatting>
  <conditionalFormatting sqref="F5">
    <cfRule type="cellIs" dxfId="2425" priority="1089" operator="notEqual">
      <formula>$A5</formula>
    </cfRule>
    <cfRule type="cellIs" dxfId="2424" priority="1090" operator="equal">
      <formula>"""&lt;&gt;$A6"""</formula>
    </cfRule>
    <cfRule type="cellIs" dxfId="2423" priority="1091" operator="equal">
      <formula>"&lt;&gt;$A6"</formula>
    </cfRule>
    <cfRule type="cellIs" dxfId="2422" priority="1092" operator="equal">
      <formula>$A5</formula>
    </cfRule>
    <cfRule type="cellIs" dxfId="2421" priority="1093" operator="equal">
      <formula>$A5</formula>
    </cfRule>
  </conditionalFormatting>
  <conditionalFormatting sqref="F8">
    <cfRule type="cellIs" dxfId="2420" priority="1084" operator="notEqual">
      <formula>$A8</formula>
    </cfRule>
    <cfRule type="cellIs" dxfId="2419" priority="1085" operator="equal">
      <formula>"""&lt;&gt;$A6"""</formula>
    </cfRule>
    <cfRule type="cellIs" dxfId="2418" priority="1086" operator="equal">
      <formula>"&lt;&gt;$A6"</formula>
    </cfRule>
    <cfRule type="cellIs" dxfId="2417" priority="1087" operator="equal">
      <formula>$A8</formula>
    </cfRule>
    <cfRule type="cellIs" dxfId="2416" priority="1088" operator="equal">
      <formula>$A8</formula>
    </cfRule>
  </conditionalFormatting>
  <conditionalFormatting sqref="F26">
    <cfRule type="cellIs" dxfId="2415" priority="1069" operator="notEqual">
      <formula>$A26</formula>
    </cfRule>
    <cfRule type="cellIs" dxfId="2414" priority="1070" operator="equal">
      <formula>"""&lt;&gt;$A6"""</formula>
    </cfRule>
    <cfRule type="cellIs" dxfId="2413" priority="1071" operator="equal">
      <formula>"&lt;&gt;$A6"</formula>
    </cfRule>
    <cfRule type="cellIs" dxfId="2412" priority="1072" operator="equal">
      <formula>$A26</formula>
    </cfRule>
    <cfRule type="cellIs" dxfId="2411" priority="1073" operator="equal">
      <formula>$A26</formula>
    </cfRule>
  </conditionalFormatting>
  <conditionalFormatting sqref="F36">
    <cfRule type="cellIs" dxfId="2410" priority="1064" operator="notEqual">
      <formula>$A36</formula>
    </cfRule>
    <cfRule type="cellIs" dxfId="2409" priority="1065" operator="equal">
      <formula>"""&lt;&gt;$A6"""</formula>
    </cfRule>
    <cfRule type="cellIs" dxfId="2408" priority="1066" operator="equal">
      <formula>"&lt;&gt;$A6"</formula>
    </cfRule>
    <cfRule type="cellIs" dxfId="2407" priority="1067" operator="equal">
      <formula>$A36</formula>
    </cfRule>
    <cfRule type="cellIs" dxfId="2406" priority="1068" operator="equal">
      <formula>$A36</formula>
    </cfRule>
  </conditionalFormatting>
  <conditionalFormatting sqref="F32:F35">
    <cfRule type="cellIs" dxfId="2405" priority="1059" operator="notEqual">
      <formula>$A32</formula>
    </cfRule>
    <cfRule type="cellIs" dxfId="2404" priority="1060" operator="equal">
      <formula>"""&lt;&gt;$A6"""</formula>
    </cfRule>
    <cfRule type="cellIs" dxfId="2403" priority="1061" operator="equal">
      <formula>"&lt;&gt;$A6"</formula>
    </cfRule>
    <cfRule type="cellIs" dxfId="2402" priority="1062" operator="equal">
      <formula>$A32</formula>
    </cfRule>
    <cfRule type="cellIs" dxfId="2401" priority="1063" operator="equal">
      <formula>$A32</formula>
    </cfRule>
  </conditionalFormatting>
  <conditionalFormatting sqref="F37">
    <cfRule type="cellIs" dxfId="2400" priority="1054" operator="notEqual">
      <formula>$A37</formula>
    </cfRule>
    <cfRule type="cellIs" dxfId="2399" priority="1055" operator="equal">
      <formula>"""&lt;&gt;$A6"""</formula>
    </cfRule>
    <cfRule type="cellIs" dxfId="2398" priority="1056" operator="equal">
      <formula>"&lt;&gt;$A6"</formula>
    </cfRule>
    <cfRule type="cellIs" dxfId="2397" priority="1057" operator="equal">
      <formula>$A37</formula>
    </cfRule>
    <cfRule type="cellIs" dxfId="2396" priority="1058" operator="equal">
      <formula>$A37</formula>
    </cfRule>
  </conditionalFormatting>
  <conditionalFormatting sqref="F38:F40">
    <cfRule type="cellIs" dxfId="2395" priority="1049" operator="notEqual">
      <formula>$A38</formula>
    </cfRule>
    <cfRule type="cellIs" dxfId="2394" priority="1050" operator="equal">
      <formula>"""&lt;&gt;$A6"""</formula>
    </cfRule>
    <cfRule type="cellIs" dxfId="2393" priority="1051" operator="equal">
      <formula>"&lt;&gt;$A6"</formula>
    </cfRule>
    <cfRule type="cellIs" dxfId="2392" priority="1052" operator="equal">
      <formula>$A38</formula>
    </cfRule>
    <cfRule type="cellIs" dxfId="2391" priority="1053" operator="equal">
      <formula>$A38</formula>
    </cfRule>
  </conditionalFormatting>
  <conditionalFormatting sqref="F41">
    <cfRule type="cellIs" dxfId="2390" priority="1044" operator="notEqual">
      <formula>$A41</formula>
    </cfRule>
    <cfRule type="cellIs" dxfId="2389" priority="1045" operator="equal">
      <formula>"""&lt;&gt;$A6"""</formula>
    </cfRule>
    <cfRule type="cellIs" dxfId="2388" priority="1046" operator="equal">
      <formula>"&lt;&gt;$A6"</formula>
    </cfRule>
    <cfRule type="cellIs" dxfId="2387" priority="1047" operator="equal">
      <formula>$A41</formula>
    </cfRule>
    <cfRule type="cellIs" dxfId="2386" priority="1048" operator="equal">
      <formula>$A41</formula>
    </cfRule>
  </conditionalFormatting>
  <conditionalFormatting sqref="F46">
    <cfRule type="cellIs" dxfId="2385" priority="1029" operator="notEqual">
      <formula>$A46</formula>
    </cfRule>
    <cfRule type="cellIs" dxfId="2384" priority="1030" operator="equal">
      <formula>"""&lt;&gt;$A6"""</formula>
    </cfRule>
    <cfRule type="cellIs" dxfId="2383" priority="1031" operator="equal">
      <formula>"&lt;&gt;$A6"</formula>
    </cfRule>
    <cfRule type="cellIs" dxfId="2382" priority="1032" operator="equal">
      <formula>$A46</formula>
    </cfRule>
    <cfRule type="cellIs" dxfId="2381" priority="1033" operator="equal">
      <formula>$A46</formula>
    </cfRule>
  </conditionalFormatting>
  <conditionalFormatting sqref="F50:F51">
    <cfRule type="cellIs" dxfId="2380" priority="1024" operator="notEqual">
      <formula>$A50</formula>
    </cfRule>
    <cfRule type="cellIs" dxfId="2379" priority="1025" operator="equal">
      <formula>"""&lt;&gt;$A6"""</formula>
    </cfRule>
    <cfRule type="cellIs" dxfId="2378" priority="1026" operator="equal">
      <formula>"&lt;&gt;$A6"</formula>
    </cfRule>
    <cfRule type="cellIs" dxfId="2377" priority="1027" operator="equal">
      <formula>$A50</formula>
    </cfRule>
    <cfRule type="cellIs" dxfId="2376" priority="1028" operator="equal">
      <formula>$A50</formula>
    </cfRule>
  </conditionalFormatting>
  <conditionalFormatting sqref="G5:J5">
    <cfRule type="cellIs" dxfId="2375" priority="1009" operator="notEqual">
      <formula>$A5</formula>
    </cfRule>
    <cfRule type="cellIs" dxfId="2374" priority="1010" operator="equal">
      <formula>"""&lt;&gt;$A6"""</formula>
    </cfRule>
    <cfRule type="cellIs" dxfId="2373" priority="1011" operator="equal">
      <formula>"&lt;&gt;$A6"</formula>
    </cfRule>
    <cfRule type="cellIs" dxfId="2372" priority="1012" operator="equal">
      <formula>$A5</formula>
    </cfRule>
    <cfRule type="cellIs" dxfId="2371" priority="1013" operator="equal">
      <formula>$A5</formula>
    </cfRule>
  </conditionalFormatting>
  <conditionalFormatting sqref="G8:J8">
    <cfRule type="cellIs" dxfId="2370" priority="1004" operator="notEqual">
      <formula>$A8</formula>
    </cfRule>
    <cfRule type="cellIs" dxfId="2369" priority="1005" operator="equal">
      <formula>"""&lt;&gt;$A6"""</formula>
    </cfRule>
    <cfRule type="cellIs" dxfId="2368" priority="1006" operator="equal">
      <formula>"&lt;&gt;$A6"</formula>
    </cfRule>
    <cfRule type="cellIs" dxfId="2367" priority="1007" operator="equal">
      <formula>$A8</formula>
    </cfRule>
    <cfRule type="cellIs" dxfId="2366" priority="1008" operator="equal">
      <formula>$A8</formula>
    </cfRule>
  </conditionalFormatting>
  <conditionalFormatting sqref="F49">
    <cfRule type="cellIs" dxfId="2365" priority="1019" operator="notEqual">
      <formula>$A49</formula>
    </cfRule>
    <cfRule type="cellIs" dxfId="2364" priority="1020" operator="equal">
      <formula>"""&lt;&gt;$A6"""</formula>
    </cfRule>
    <cfRule type="cellIs" dxfId="2363" priority="1021" operator="equal">
      <formula>"&lt;&gt;$A6"</formula>
    </cfRule>
    <cfRule type="cellIs" dxfId="2362" priority="1022" operator="equal">
      <formula>$A49</formula>
    </cfRule>
    <cfRule type="cellIs" dxfId="2361" priority="1023" operator="equal">
      <formula>$A49</formula>
    </cfRule>
  </conditionalFormatting>
  <conditionalFormatting sqref="F53:F60">
    <cfRule type="cellIs" dxfId="2360" priority="1014" operator="notEqual">
      <formula>$A53</formula>
    </cfRule>
    <cfRule type="cellIs" dxfId="2359" priority="1015" operator="equal">
      <formula>"""&lt;&gt;$A6"""</formula>
    </cfRule>
    <cfRule type="cellIs" dxfId="2358" priority="1016" operator="equal">
      <formula>"&lt;&gt;$A6"</formula>
    </cfRule>
    <cfRule type="cellIs" dxfId="2357" priority="1017" operator="equal">
      <formula>$A53</formula>
    </cfRule>
    <cfRule type="cellIs" dxfId="2356" priority="1018" operator="equal">
      <formula>$A53</formula>
    </cfRule>
  </conditionalFormatting>
  <conditionalFormatting sqref="G10:J23">
    <cfRule type="cellIs" dxfId="2355" priority="994" operator="notEqual">
      <formula>$A10</formula>
    </cfRule>
    <cfRule type="cellIs" dxfId="2354" priority="995" operator="equal">
      <formula>"""&lt;&gt;$A6"""</formula>
    </cfRule>
    <cfRule type="cellIs" dxfId="2353" priority="996" operator="equal">
      <formula>"&lt;&gt;$A6"</formula>
    </cfRule>
    <cfRule type="cellIs" dxfId="2352" priority="997" operator="equal">
      <formula>$A10</formula>
    </cfRule>
    <cfRule type="cellIs" dxfId="2351" priority="998" operator="equal">
      <formula>$A10</formula>
    </cfRule>
  </conditionalFormatting>
  <conditionalFormatting sqref="G26:J26">
    <cfRule type="cellIs" dxfId="2350" priority="989" operator="notEqual">
      <formula>$A26</formula>
    </cfRule>
    <cfRule type="cellIs" dxfId="2349" priority="990" operator="equal">
      <formula>"""&lt;&gt;$A6"""</formula>
    </cfRule>
    <cfRule type="cellIs" dxfId="2348" priority="991" operator="equal">
      <formula>"&lt;&gt;$A6"</formula>
    </cfRule>
    <cfRule type="cellIs" dxfId="2347" priority="992" operator="equal">
      <formula>$A26</formula>
    </cfRule>
    <cfRule type="cellIs" dxfId="2346" priority="993" operator="equal">
      <formula>$A26</formula>
    </cfRule>
  </conditionalFormatting>
  <conditionalFormatting sqref="G36:J36">
    <cfRule type="cellIs" dxfId="2345" priority="984" operator="notEqual">
      <formula>$A36</formula>
    </cfRule>
    <cfRule type="cellIs" dxfId="2344" priority="985" operator="equal">
      <formula>"""&lt;&gt;$A6"""</formula>
    </cfRule>
    <cfRule type="cellIs" dxfId="2343" priority="986" operator="equal">
      <formula>"&lt;&gt;$A6"</formula>
    </cfRule>
    <cfRule type="cellIs" dxfId="2342" priority="987" operator="equal">
      <formula>$A36</formula>
    </cfRule>
    <cfRule type="cellIs" dxfId="2341" priority="988" operator="equal">
      <formula>$A36</formula>
    </cfRule>
  </conditionalFormatting>
  <conditionalFormatting sqref="G32:J35">
    <cfRule type="cellIs" dxfId="2340" priority="979" operator="notEqual">
      <formula>$A32</formula>
    </cfRule>
    <cfRule type="cellIs" dxfId="2339" priority="980" operator="equal">
      <formula>"""&lt;&gt;$A6"""</formula>
    </cfRule>
    <cfRule type="cellIs" dxfId="2338" priority="981" operator="equal">
      <formula>"&lt;&gt;$A6"</formula>
    </cfRule>
    <cfRule type="cellIs" dxfId="2337" priority="982" operator="equal">
      <formula>$A32</formula>
    </cfRule>
    <cfRule type="cellIs" dxfId="2336" priority="983" operator="equal">
      <formula>$A32</formula>
    </cfRule>
  </conditionalFormatting>
  <conditionalFormatting sqref="G37:J37">
    <cfRule type="cellIs" dxfId="2335" priority="974" operator="notEqual">
      <formula>$A37</formula>
    </cfRule>
    <cfRule type="cellIs" dxfId="2334" priority="975" operator="equal">
      <formula>"""&lt;&gt;$A6"""</formula>
    </cfRule>
    <cfRule type="cellIs" dxfId="2333" priority="976" operator="equal">
      <formula>"&lt;&gt;$A6"</formula>
    </cfRule>
    <cfRule type="cellIs" dxfId="2332" priority="977" operator="equal">
      <formula>$A37</formula>
    </cfRule>
    <cfRule type="cellIs" dxfId="2331" priority="978" operator="equal">
      <formula>$A37</formula>
    </cfRule>
  </conditionalFormatting>
  <conditionalFormatting sqref="G38:J40">
    <cfRule type="cellIs" dxfId="2330" priority="969" operator="notEqual">
      <formula>$A38</formula>
    </cfRule>
    <cfRule type="cellIs" dxfId="2329" priority="970" operator="equal">
      <formula>"""&lt;&gt;$A6"""</formula>
    </cfRule>
    <cfRule type="cellIs" dxfId="2328" priority="971" operator="equal">
      <formula>"&lt;&gt;$A6"</formula>
    </cfRule>
    <cfRule type="cellIs" dxfId="2327" priority="972" operator="equal">
      <formula>$A38</formula>
    </cfRule>
    <cfRule type="cellIs" dxfId="2326" priority="973" operator="equal">
      <formula>$A38</formula>
    </cfRule>
  </conditionalFormatting>
  <conditionalFormatting sqref="G41:J41">
    <cfRule type="cellIs" dxfId="2325" priority="964" operator="notEqual">
      <formula>$A41</formula>
    </cfRule>
    <cfRule type="cellIs" dxfId="2324" priority="965" operator="equal">
      <formula>"""&lt;&gt;$A6"""</formula>
    </cfRule>
    <cfRule type="cellIs" dxfId="2323" priority="966" operator="equal">
      <formula>"&lt;&gt;$A6"</formula>
    </cfRule>
    <cfRule type="cellIs" dxfId="2322" priority="967" operator="equal">
      <formula>$A41</formula>
    </cfRule>
    <cfRule type="cellIs" dxfId="2321" priority="968" operator="equal">
      <formula>$A41</formula>
    </cfRule>
  </conditionalFormatting>
  <conditionalFormatting sqref="E42:E43">
    <cfRule type="cellIs" dxfId="2320" priority="924" operator="notEqual">
      <formula>$A42</formula>
    </cfRule>
    <cfRule type="cellIs" dxfId="2319" priority="925" operator="equal">
      <formula>"""&lt;&gt;$A6"""</formula>
    </cfRule>
    <cfRule type="cellIs" dxfId="2318" priority="926" operator="equal">
      <formula>"&lt;&gt;$A6"</formula>
    </cfRule>
    <cfRule type="cellIs" dxfId="2317" priority="927" operator="equal">
      <formula>$A42</formula>
    </cfRule>
    <cfRule type="cellIs" dxfId="2316" priority="928" operator="equal">
      <formula>$A42</formula>
    </cfRule>
  </conditionalFormatting>
  <conditionalFormatting sqref="G46:J46">
    <cfRule type="cellIs" dxfId="2315" priority="949" operator="notEqual">
      <formula>$A46</formula>
    </cfRule>
    <cfRule type="cellIs" dxfId="2314" priority="950" operator="equal">
      <formula>"""&lt;&gt;$A6"""</formula>
    </cfRule>
    <cfRule type="cellIs" dxfId="2313" priority="951" operator="equal">
      <formula>"&lt;&gt;$A6"</formula>
    </cfRule>
    <cfRule type="cellIs" dxfId="2312" priority="952" operator="equal">
      <formula>$A46</formula>
    </cfRule>
    <cfRule type="cellIs" dxfId="2311" priority="953" operator="equal">
      <formula>$A46</formula>
    </cfRule>
  </conditionalFormatting>
  <conditionalFormatting sqref="G50:J51">
    <cfRule type="cellIs" dxfId="2310" priority="944" operator="notEqual">
      <formula>$A50</formula>
    </cfRule>
    <cfRule type="cellIs" dxfId="2309" priority="945" operator="equal">
      <formula>"""&lt;&gt;$A6"""</formula>
    </cfRule>
    <cfRule type="cellIs" dxfId="2308" priority="946" operator="equal">
      <formula>"&lt;&gt;$A6"</formula>
    </cfRule>
    <cfRule type="cellIs" dxfId="2307" priority="947" operator="equal">
      <formula>$A50</formula>
    </cfRule>
    <cfRule type="cellIs" dxfId="2306" priority="948" operator="equal">
      <formula>$A50</formula>
    </cfRule>
  </conditionalFormatting>
  <conditionalFormatting sqref="G49:J49">
    <cfRule type="cellIs" dxfId="2305" priority="939" operator="notEqual">
      <formula>$A49</formula>
    </cfRule>
    <cfRule type="cellIs" dxfId="2304" priority="940" operator="equal">
      <formula>"""&lt;&gt;$A6"""</formula>
    </cfRule>
    <cfRule type="cellIs" dxfId="2303" priority="941" operator="equal">
      <formula>"&lt;&gt;$A6"</formula>
    </cfRule>
    <cfRule type="cellIs" dxfId="2302" priority="942" operator="equal">
      <formula>$A49</formula>
    </cfRule>
    <cfRule type="cellIs" dxfId="2301" priority="943" operator="equal">
      <formula>$A49</formula>
    </cfRule>
  </conditionalFormatting>
  <conditionalFormatting sqref="G53:J60">
    <cfRule type="cellIs" dxfId="2300" priority="934" operator="notEqual">
      <formula>$A53</formula>
    </cfRule>
    <cfRule type="cellIs" dxfId="2299" priority="935" operator="equal">
      <formula>"""&lt;&gt;$A6"""</formula>
    </cfRule>
    <cfRule type="cellIs" dxfId="2298" priority="936" operator="equal">
      <formula>"&lt;&gt;$A6"</formula>
    </cfRule>
    <cfRule type="cellIs" dxfId="2297" priority="937" operator="equal">
      <formula>$A53</formula>
    </cfRule>
    <cfRule type="cellIs" dxfId="2296" priority="938" operator="equal">
      <formula>$A53</formula>
    </cfRule>
  </conditionalFormatting>
  <conditionalFormatting sqref="D42:D43">
    <cfRule type="cellIs" dxfId="2295" priority="929" operator="notEqual">
      <formula>$A42</formula>
    </cfRule>
    <cfRule type="cellIs" dxfId="2294" priority="930" operator="equal">
      <formula>"""&lt;&gt;$A6"""</formula>
    </cfRule>
    <cfRule type="cellIs" dxfId="2293" priority="931" operator="equal">
      <formula>"&lt;&gt;$A6"</formula>
    </cfRule>
    <cfRule type="cellIs" dxfId="2292" priority="932" operator="equal">
      <formula>$A42</formula>
    </cfRule>
    <cfRule type="cellIs" dxfId="2291" priority="933" operator="equal">
      <formula>$A42</formula>
    </cfRule>
  </conditionalFormatting>
  <conditionalFormatting sqref="F42:F43">
    <cfRule type="cellIs" dxfId="2290" priority="919" operator="notEqual">
      <formula>$A42</formula>
    </cfRule>
    <cfRule type="cellIs" dxfId="2289" priority="920" operator="equal">
      <formula>"""&lt;&gt;$A6"""</formula>
    </cfRule>
    <cfRule type="cellIs" dxfId="2288" priority="921" operator="equal">
      <formula>"&lt;&gt;$A6"</formula>
    </cfRule>
    <cfRule type="cellIs" dxfId="2287" priority="922" operator="equal">
      <formula>$A42</formula>
    </cfRule>
    <cfRule type="cellIs" dxfId="2286" priority="923" operator="equal">
      <formula>$A42</formula>
    </cfRule>
  </conditionalFormatting>
  <conditionalFormatting sqref="G42:J43">
    <cfRule type="cellIs" dxfId="2285" priority="914" operator="notEqual">
      <formula>$A42</formula>
    </cfRule>
    <cfRule type="cellIs" dxfId="2284" priority="915" operator="equal">
      <formula>"""&lt;&gt;$A6"""</formula>
    </cfRule>
    <cfRule type="cellIs" dxfId="2283" priority="916" operator="equal">
      <formula>"&lt;&gt;$A6"</formula>
    </cfRule>
    <cfRule type="cellIs" dxfId="2282" priority="917" operator="equal">
      <formula>$A42</formula>
    </cfRule>
    <cfRule type="cellIs" dxfId="2281" priority="918" operator="equal">
      <formula>$A42</formula>
    </cfRule>
  </conditionalFormatting>
  <conditionalFormatting sqref="F47">
    <cfRule type="cellIs" dxfId="2280" priority="899" operator="notEqual">
      <formula>$A47</formula>
    </cfRule>
    <cfRule type="cellIs" dxfId="2279" priority="900" operator="equal">
      <formula>"""&lt;&gt;$A6"""</formula>
    </cfRule>
    <cfRule type="cellIs" dxfId="2278" priority="901" operator="equal">
      <formula>"&lt;&gt;$A6"</formula>
    </cfRule>
    <cfRule type="cellIs" dxfId="2277" priority="902" operator="equal">
      <formula>$A47</formula>
    </cfRule>
    <cfRule type="cellIs" dxfId="2276" priority="903" operator="equal">
      <formula>$A47</formula>
    </cfRule>
  </conditionalFormatting>
  <conditionalFormatting sqref="D47">
    <cfRule type="cellIs" dxfId="2275" priority="909" operator="notEqual">
      <formula>$A47</formula>
    </cfRule>
    <cfRule type="cellIs" dxfId="2274" priority="910" operator="equal">
      <formula>"""&lt;&gt;$A6"""</formula>
    </cfRule>
    <cfRule type="cellIs" dxfId="2273" priority="911" operator="equal">
      <formula>"&lt;&gt;$A6"</formula>
    </cfRule>
    <cfRule type="cellIs" dxfId="2272" priority="912" operator="equal">
      <formula>$A47</formula>
    </cfRule>
    <cfRule type="cellIs" dxfId="2271" priority="913" operator="equal">
      <formula>$A47</formula>
    </cfRule>
  </conditionalFormatting>
  <conditionalFormatting sqref="G47:J47">
    <cfRule type="cellIs" dxfId="2270" priority="894" operator="notEqual">
      <formula>$A47</formula>
    </cfRule>
    <cfRule type="cellIs" dxfId="2269" priority="895" operator="equal">
      <formula>"""&lt;&gt;$A6"""</formula>
    </cfRule>
    <cfRule type="cellIs" dxfId="2268" priority="896" operator="equal">
      <formula>"&lt;&gt;$A6"</formula>
    </cfRule>
    <cfRule type="cellIs" dxfId="2267" priority="897" operator="equal">
      <formula>$A47</formula>
    </cfRule>
    <cfRule type="cellIs" dxfId="2266" priority="898" operator="equal">
      <formula>$A47</formula>
    </cfRule>
  </conditionalFormatting>
  <conditionalFormatting sqref="E47">
    <cfRule type="cellIs" dxfId="2265" priority="904" operator="notEqual">
      <formula>$A47</formula>
    </cfRule>
    <cfRule type="cellIs" dxfId="2264" priority="905" operator="equal">
      <formula>"""&lt;&gt;$A6"""</formula>
    </cfRule>
    <cfRule type="cellIs" dxfId="2263" priority="906" operator="equal">
      <formula>"&lt;&gt;$A6"</formula>
    </cfRule>
    <cfRule type="cellIs" dxfId="2262" priority="907" operator="equal">
      <formula>$A47</formula>
    </cfRule>
    <cfRule type="cellIs" dxfId="2261" priority="908" operator="equal">
      <formula>$A47</formula>
    </cfRule>
  </conditionalFormatting>
  <conditionalFormatting sqref="C48">
    <cfRule type="cellIs" dxfId="2260" priority="889" operator="notEqual">
      <formula>$A48</formula>
    </cfRule>
    <cfRule type="cellIs" dxfId="2259" priority="890" operator="equal">
      <formula>"""&lt;&gt;$A6"""</formula>
    </cfRule>
    <cfRule type="cellIs" dxfId="2258" priority="891" operator="equal">
      <formula>"&lt;&gt;$A6"</formula>
    </cfRule>
    <cfRule type="cellIs" dxfId="2257" priority="892" operator="equal">
      <formula>$A48</formula>
    </cfRule>
    <cfRule type="cellIs" dxfId="2256" priority="893" operator="equal">
      <formula>$A48</formula>
    </cfRule>
  </conditionalFormatting>
  <conditionalFormatting sqref="E48">
    <cfRule type="cellIs" dxfId="2255" priority="879" operator="notEqual">
      <formula>$A48</formula>
    </cfRule>
    <cfRule type="cellIs" dxfId="2254" priority="880" operator="equal">
      <formula>"""&lt;&gt;$A6"""</formula>
    </cfRule>
    <cfRule type="cellIs" dxfId="2253" priority="881" operator="equal">
      <formula>"&lt;&gt;$A6"</formula>
    </cfRule>
    <cfRule type="cellIs" dxfId="2252" priority="882" operator="equal">
      <formula>$A48</formula>
    </cfRule>
    <cfRule type="cellIs" dxfId="2251" priority="883" operator="equal">
      <formula>$A48</formula>
    </cfRule>
  </conditionalFormatting>
  <conditionalFormatting sqref="G48:J48">
    <cfRule type="cellIs" dxfId="2250" priority="869" operator="notEqual">
      <formula>$A48</formula>
    </cfRule>
    <cfRule type="cellIs" dxfId="2249" priority="870" operator="equal">
      <formula>"""&lt;&gt;$A6"""</formula>
    </cfRule>
    <cfRule type="cellIs" dxfId="2248" priority="871" operator="equal">
      <formula>"&lt;&gt;$A6"</formula>
    </cfRule>
    <cfRule type="cellIs" dxfId="2247" priority="872" operator="equal">
      <formula>$A48</formula>
    </cfRule>
    <cfRule type="cellIs" dxfId="2246" priority="873" operator="equal">
      <formula>$A48</formula>
    </cfRule>
  </conditionalFormatting>
  <conditionalFormatting sqref="D48">
    <cfRule type="cellIs" dxfId="2245" priority="884" operator="notEqual">
      <formula>$A48</formula>
    </cfRule>
    <cfRule type="cellIs" dxfId="2244" priority="885" operator="equal">
      <formula>"""&lt;&gt;$A6"""</formula>
    </cfRule>
    <cfRule type="cellIs" dxfId="2243" priority="886" operator="equal">
      <formula>"&lt;&gt;$A6"</formula>
    </cfRule>
    <cfRule type="cellIs" dxfId="2242" priority="887" operator="equal">
      <formula>$A48</formula>
    </cfRule>
    <cfRule type="cellIs" dxfId="2241" priority="888" operator="equal">
      <formula>$A48</formula>
    </cfRule>
  </conditionalFormatting>
  <conditionalFormatting sqref="F48">
    <cfRule type="cellIs" dxfId="2240" priority="874" operator="notEqual">
      <formula>$A48</formula>
    </cfRule>
    <cfRule type="cellIs" dxfId="2239" priority="875" operator="equal">
      <formula>"""&lt;&gt;$A6"""</formula>
    </cfRule>
    <cfRule type="cellIs" dxfId="2238" priority="876" operator="equal">
      <formula>"&lt;&gt;$A6"</formula>
    </cfRule>
    <cfRule type="cellIs" dxfId="2237" priority="877" operator="equal">
      <formula>$A48</formula>
    </cfRule>
    <cfRule type="cellIs" dxfId="2236" priority="878" operator="equal">
      <formula>$A48</formula>
    </cfRule>
  </conditionalFormatting>
  <conditionalFormatting sqref="K9">
    <cfRule type="cellIs" dxfId="2235" priority="854" operator="notEqual">
      <formula>$A9</formula>
    </cfRule>
    <cfRule type="cellIs" dxfId="2234" priority="855" operator="equal">
      <formula>"""&lt;&gt;$A6"""</formula>
    </cfRule>
    <cfRule type="cellIs" dxfId="2233" priority="856" operator="equal">
      <formula>"&lt;&gt;$A6"</formula>
    </cfRule>
    <cfRule type="cellIs" dxfId="2232" priority="857" operator="equal">
      <formula>$A9</formula>
    </cfRule>
    <cfRule type="cellIs" dxfId="2231" priority="858" operator="equal">
      <formula>$A9</formula>
    </cfRule>
  </conditionalFormatting>
  <conditionalFormatting sqref="K5">
    <cfRule type="cellIs" dxfId="2230" priority="864" operator="notEqual">
      <formula>$A5</formula>
    </cfRule>
    <cfRule type="cellIs" dxfId="2229" priority="865" operator="equal">
      <formula>"""&lt;&gt;$A6"""</formula>
    </cfRule>
    <cfRule type="cellIs" dxfId="2228" priority="866" operator="equal">
      <formula>"&lt;&gt;$A6"</formula>
    </cfRule>
    <cfRule type="cellIs" dxfId="2227" priority="867" operator="equal">
      <formula>$A5</formula>
    </cfRule>
    <cfRule type="cellIs" dxfId="2226" priority="868" operator="equal">
      <formula>$A5</formula>
    </cfRule>
  </conditionalFormatting>
  <conditionalFormatting sqref="K8">
    <cfRule type="cellIs" dxfId="2225" priority="859" operator="notEqual">
      <formula>$A8</formula>
    </cfRule>
    <cfRule type="cellIs" dxfId="2224" priority="860" operator="equal">
      <formula>"""&lt;&gt;$A6"""</formula>
    </cfRule>
    <cfRule type="cellIs" dxfId="2223" priority="861" operator="equal">
      <formula>"&lt;&gt;$A6"</formula>
    </cfRule>
    <cfRule type="cellIs" dxfId="2222" priority="862" operator="equal">
      <formula>$A8</formula>
    </cfRule>
    <cfRule type="cellIs" dxfId="2221" priority="863" operator="equal">
      <formula>$A8</formula>
    </cfRule>
  </conditionalFormatting>
  <conditionalFormatting sqref="K10:K23">
    <cfRule type="cellIs" dxfId="2220" priority="849" operator="notEqual">
      <formula>$A10</formula>
    </cfRule>
    <cfRule type="cellIs" dxfId="2219" priority="850" operator="equal">
      <formula>"""&lt;&gt;$A6"""</formula>
    </cfRule>
    <cfRule type="cellIs" dxfId="2218" priority="851" operator="equal">
      <formula>"&lt;&gt;$A6"</formula>
    </cfRule>
    <cfRule type="cellIs" dxfId="2217" priority="852" operator="equal">
      <formula>$A10</formula>
    </cfRule>
    <cfRule type="cellIs" dxfId="2216" priority="853" operator="equal">
      <formula>$A10</formula>
    </cfRule>
  </conditionalFormatting>
  <conditionalFormatting sqref="K26">
    <cfRule type="cellIs" dxfId="2215" priority="844" operator="notEqual">
      <formula>$A26</formula>
    </cfRule>
    <cfRule type="cellIs" dxfId="2214" priority="845" operator="equal">
      <formula>"""&lt;&gt;$A6"""</formula>
    </cfRule>
    <cfRule type="cellIs" dxfId="2213" priority="846" operator="equal">
      <formula>"&lt;&gt;$A6"</formula>
    </cfRule>
    <cfRule type="cellIs" dxfId="2212" priority="847" operator="equal">
      <formula>$A26</formula>
    </cfRule>
    <cfRule type="cellIs" dxfId="2211" priority="848" operator="equal">
      <formula>$A26</formula>
    </cfRule>
  </conditionalFormatting>
  <conditionalFormatting sqref="K36">
    <cfRule type="cellIs" dxfId="2210" priority="839" operator="notEqual">
      <formula>$A36</formula>
    </cfRule>
    <cfRule type="cellIs" dxfId="2209" priority="840" operator="equal">
      <formula>"""&lt;&gt;$A6"""</formula>
    </cfRule>
    <cfRule type="cellIs" dxfId="2208" priority="841" operator="equal">
      <formula>"&lt;&gt;$A6"</formula>
    </cfRule>
    <cfRule type="cellIs" dxfId="2207" priority="842" operator="equal">
      <formula>$A36</formula>
    </cfRule>
    <cfRule type="cellIs" dxfId="2206" priority="843" operator="equal">
      <formula>$A36</formula>
    </cfRule>
  </conditionalFormatting>
  <conditionalFormatting sqref="K32:K35">
    <cfRule type="cellIs" dxfId="2205" priority="834" operator="notEqual">
      <formula>$A32</formula>
    </cfRule>
    <cfRule type="cellIs" dxfId="2204" priority="835" operator="equal">
      <formula>"""&lt;&gt;$A6"""</formula>
    </cfRule>
    <cfRule type="cellIs" dxfId="2203" priority="836" operator="equal">
      <formula>"&lt;&gt;$A6"</formula>
    </cfRule>
    <cfRule type="cellIs" dxfId="2202" priority="837" operator="equal">
      <formula>$A32</formula>
    </cfRule>
    <cfRule type="cellIs" dxfId="2201" priority="838" operator="equal">
      <formula>$A32</formula>
    </cfRule>
  </conditionalFormatting>
  <conditionalFormatting sqref="K37">
    <cfRule type="cellIs" dxfId="2200" priority="829" operator="notEqual">
      <formula>$A37</formula>
    </cfRule>
    <cfRule type="cellIs" dxfId="2199" priority="830" operator="equal">
      <formula>"""&lt;&gt;$A6"""</formula>
    </cfRule>
    <cfRule type="cellIs" dxfId="2198" priority="831" operator="equal">
      <formula>"&lt;&gt;$A6"</formula>
    </cfRule>
    <cfRule type="cellIs" dxfId="2197" priority="832" operator="equal">
      <formula>$A37</formula>
    </cfRule>
    <cfRule type="cellIs" dxfId="2196" priority="833" operator="equal">
      <formula>$A37</formula>
    </cfRule>
  </conditionalFormatting>
  <conditionalFormatting sqref="K38:K40">
    <cfRule type="cellIs" dxfId="2195" priority="824" operator="notEqual">
      <formula>$A38</formula>
    </cfRule>
    <cfRule type="cellIs" dxfId="2194" priority="825" operator="equal">
      <formula>"""&lt;&gt;$A6"""</formula>
    </cfRule>
    <cfRule type="cellIs" dxfId="2193" priority="826" operator="equal">
      <formula>"&lt;&gt;$A6"</formula>
    </cfRule>
    <cfRule type="cellIs" dxfId="2192" priority="827" operator="equal">
      <formula>$A38</formula>
    </cfRule>
    <cfRule type="cellIs" dxfId="2191" priority="828" operator="equal">
      <formula>$A38</formula>
    </cfRule>
  </conditionalFormatting>
  <conditionalFormatting sqref="K41">
    <cfRule type="cellIs" dxfId="2190" priority="819" operator="notEqual">
      <formula>$A41</formula>
    </cfRule>
    <cfRule type="cellIs" dxfId="2189" priority="820" operator="equal">
      <formula>"""&lt;&gt;$A6"""</formula>
    </cfRule>
    <cfRule type="cellIs" dxfId="2188" priority="821" operator="equal">
      <formula>"&lt;&gt;$A6"</formula>
    </cfRule>
    <cfRule type="cellIs" dxfId="2187" priority="822" operator="equal">
      <formula>$A41</formula>
    </cfRule>
    <cfRule type="cellIs" dxfId="2186" priority="823" operator="equal">
      <formula>$A41</formula>
    </cfRule>
  </conditionalFormatting>
  <conditionalFormatting sqref="K46">
    <cfRule type="cellIs" dxfId="2185" priority="804" operator="notEqual">
      <formula>$A46</formula>
    </cfRule>
    <cfRule type="cellIs" dxfId="2184" priority="805" operator="equal">
      <formula>"""&lt;&gt;$A6"""</formula>
    </cfRule>
    <cfRule type="cellIs" dxfId="2183" priority="806" operator="equal">
      <formula>"&lt;&gt;$A6"</formula>
    </cfRule>
    <cfRule type="cellIs" dxfId="2182" priority="807" operator="equal">
      <formula>$A46</formula>
    </cfRule>
    <cfRule type="cellIs" dxfId="2181" priority="808" operator="equal">
      <formula>$A46</formula>
    </cfRule>
  </conditionalFormatting>
  <conditionalFormatting sqref="K50:K51">
    <cfRule type="cellIs" dxfId="2180" priority="799" operator="notEqual">
      <formula>$A50</formula>
    </cfRule>
    <cfRule type="cellIs" dxfId="2179" priority="800" operator="equal">
      <formula>"""&lt;&gt;$A6"""</formula>
    </cfRule>
    <cfRule type="cellIs" dxfId="2178" priority="801" operator="equal">
      <formula>"&lt;&gt;$A6"</formula>
    </cfRule>
    <cfRule type="cellIs" dxfId="2177" priority="802" operator="equal">
      <formula>$A50</formula>
    </cfRule>
    <cfRule type="cellIs" dxfId="2176" priority="803" operator="equal">
      <formula>$A50</formula>
    </cfRule>
  </conditionalFormatting>
  <conditionalFormatting sqref="K49">
    <cfRule type="cellIs" dxfId="2175" priority="794" operator="notEqual">
      <formula>$A49</formula>
    </cfRule>
    <cfRule type="cellIs" dxfId="2174" priority="795" operator="equal">
      <formula>"""&lt;&gt;$A6"""</formula>
    </cfRule>
    <cfRule type="cellIs" dxfId="2173" priority="796" operator="equal">
      <formula>"&lt;&gt;$A6"</formula>
    </cfRule>
    <cfRule type="cellIs" dxfId="2172" priority="797" operator="equal">
      <formula>$A49</formula>
    </cfRule>
    <cfRule type="cellIs" dxfId="2171" priority="798" operator="equal">
      <formula>$A49</formula>
    </cfRule>
  </conditionalFormatting>
  <conditionalFormatting sqref="K53:K60">
    <cfRule type="cellIs" dxfId="2170" priority="789" operator="notEqual">
      <formula>$A53</formula>
    </cfRule>
    <cfRule type="cellIs" dxfId="2169" priority="790" operator="equal">
      <formula>"""&lt;&gt;$A6"""</formula>
    </cfRule>
    <cfRule type="cellIs" dxfId="2168" priority="791" operator="equal">
      <formula>"&lt;&gt;$A6"</formula>
    </cfRule>
    <cfRule type="cellIs" dxfId="2167" priority="792" operator="equal">
      <formula>$A53</formula>
    </cfRule>
    <cfRule type="cellIs" dxfId="2166" priority="793" operator="equal">
      <formula>$A53</formula>
    </cfRule>
  </conditionalFormatting>
  <conditionalFormatting sqref="K42:K43">
    <cfRule type="cellIs" dxfId="2165" priority="784" operator="notEqual">
      <formula>$A42</formula>
    </cfRule>
    <cfRule type="cellIs" dxfId="2164" priority="785" operator="equal">
      <formula>"""&lt;&gt;$A6"""</formula>
    </cfRule>
    <cfRule type="cellIs" dxfId="2163" priority="786" operator="equal">
      <formula>"&lt;&gt;$A6"</formula>
    </cfRule>
    <cfRule type="cellIs" dxfId="2162" priority="787" operator="equal">
      <formula>$A42</formula>
    </cfRule>
    <cfRule type="cellIs" dxfId="2161" priority="788" operator="equal">
      <formula>$A42</formula>
    </cfRule>
  </conditionalFormatting>
  <conditionalFormatting sqref="K47">
    <cfRule type="cellIs" dxfId="2160" priority="779" operator="notEqual">
      <formula>$A47</formula>
    </cfRule>
    <cfRule type="cellIs" dxfId="2159" priority="780" operator="equal">
      <formula>"""&lt;&gt;$A6"""</formula>
    </cfRule>
    <cfRule type="cellIs" dxfId="2158" priority="781" operator="equal">
      <formula>"&lt;&gt;$A6"</formula>
    </cfRule>
    <cfRule type="cellIs" dxfId="2157" priority="782" operator="equal">
      <formula>$A47</formula>
    </cfRule>
    <cfRule type="cellIs" dxfId="2156" priority="783" operator="equal">
      <formula>$A47</formula>
    </cfRule>
  </conditionalFormatting>
  <conditionalFormatting sqref="K48">
    <cfRule type="cellIs" dxfId="2155" priority="774" operator="notEqual">
      <formula>$A48</formula>
    </cfRule>
    <cfRule type="cellIs" dxfId="2154" priority="775" operator="equal">
      <formula>"""&lt;&gt;$A6"""</formula>
    </cfRule>
    <cfRule type="cellIs" dxfId="2153" priority="776" operator="equal">
      <formula>"&lt;&gt;$A6"</formula>
    </cfRule>
    <cfRule type="cellIs" dxfId="2152" priority="777" operator="equal">
      <formula>$A48</formula>
    </cfRule>
    <cfRule type="cellIs" dxfId="2151" priority="778" operator="equal">
      <formula>$A48</formula>
    </cfRule>
  </conditionalFormatting>
  <conditionalFormatting sqref="L9">
    <cfRule type="cellIs" dxfId="2150" priority="759" operator="notEqual">
      <formula>$A9</formula>
    </cfRule>
    <cfRule type="cellIs" dxfId="2149" priority="760" operator="equal">
      <formula>"""&lt;&gt;$A6"""</formula>
    </cfRule>
    <cfRule type="cellIs" dxfId="2148" priority="761" operator="equal">
      <formula>"&lt;&gt;$A6"</formula>
    </cfRule>
    <cfRule type="cellIs" dxfId="2147" priority="762" operator="equal">
      <formula>$A9</formula>
    </cfRule>
    <cfRule type="cellIs" dxfId="2146" priority="763" operator="equal">
      <formula>$A9</formula>
    </cfRule>
  </conditionalFormatting>
  <conditionalFormatting sqref="L5">
    <cfRule type="cellIs" dxfId="2145" priority="769" operator="notEqual">
      <formula>$A5</formula>
    </cfRule>
    <cfRule type="cellIs" dxfId="2144" priority="770" operator="equal">
      <formula>"""&lt;&gt;$A6"""</formula>
    </cfRule>
    <cfRule type="cellIs" dxfId="2143" priority="771" operator="equal">
      <formula>"&lt;&gt;$A6"</formula>
    </cfRule>
    <cfRule type="cellIs" dxfId="2142" priority="772" operator="equal">
      <formula>$A5</formula>
    </cfRule>
    <cfRule type="cellIs" dxfId="2141" priority="773" operator="equal">
      <formula>$A5</formula>
    </cfRule>
  </conditionalFormatting>
  <conditionalFormatting sqref="L8">
    <cfRule type="cellIs" dxfId="2140" priority="764" operator="notEqual">
      <formula>$A8</formula>
    </cfRule>
    <cfRule type="cellIs" dxfId="2139" priority="765" operator="equal">
      <formula>"""&lt;&gt;$A6"""</formula>
    </cfRule>
    <cfRule type="cellIs" dxfId="2138" priority="766" operator="equal">
      <formula>"&lt;&gt;$A6"</formula>
    </cfRule>
    <cfRule type="cellIs" dxfId="2137" priority="767" operator="equal">
      <formula>$A8</formula>
    </cfRule>
    <cfRule type="cellIs" dxfId="2136" priority="768" operator="equal">
      <formula>$A8</formula>
    </cfRule>
  </conditionalFormatting>
  <conditionalFormatting sqref="L10:L23">
    <cfRule type="cellIs" dxfId="2135" priority="754" operator="notEqual">
      <formula>$A10</formula>
    </cfRule>
    <cfRule type="cellIs" dxfId="2134" priority="755" operator="equal">
      <formula>"""&lt;&gt;$A6"""</formula>
    </cfRule>
    <cfRule type="cellIs" dxfId="2133" priority="756" operator="equal">
      <formula>"&lt;&gt;$A6"</formula>
    </cfRule>
    <cfRule type="cellIs" dxfId="2132" priority="757" operator="equal">
      <formula>$A10</formula>
    </cfRule>
    <cfRule type="cellIs" dxfId="2131" priority="758" operator="equal">
      <formula>$A10</formula>
    </cfRule>
  </conditionalFormatting>
  <conditionalFormatting sqref="L26">
    <cfRule type="cellIs" dxfId="2130" priority="749" operator="notEqual">
      <formula>$A26</formula>
    </cfRule>
    <cfRule type="cellIs" dxfId="2129" priority="750" operator="equal">
      <formula>"""&lt;&gt;$A6"""</formula>
    </cfRule>
    <cfRule type="cellIs" dxfId="2128" priority="751" operator="equal">
      <formula>"&lt;&gt;$A6"</formula>
    </cfRule>
    <cfRule type="cellIs" dxfId="2127" priority="752" operator="equal">
      <formula>$A26</formula>
    </cfRule>
    <cfRule type="cellIs" dxfId="2126" priority="753" operator="equal">
      <formula>$A26</formula>
    </cfRule>
  </conditionalFormatting>
  <conditionalFormatting sqref="L36">
    <cfRule type="cellIs" dxfId="2125" priority="744" operator="notEqual">
      <formula>$A36</formula>
    </cfRule>
    <cfRule type="cellIs" dxfId="2124" priority="745" operator="equal">
      <formula>"""&lt;&gt;$A6"""</formula>
    </cfRule>
    <cfRule type="cellIs" dxfId="2123" priority="746" operator="equal">
      <formula>"&lt;&gt;$A6"</formula>
    </cfRule>
    <cfRule type="cellIs" dxfId="2122" priority="747" operator="equal">
      <formula>$A36</formula>
    </cfRule>
    <cfRule type="cellIs" dxfId="2121" priority="748" operator="equal">
      <formula>$A36</formula>
    </cfRule>
  </conditionalFormatting>
  <conditionalFormatting sqref="L32:L35">
    <cfRule type="cellIs" dxfId="2120" priority="739" operator="notEqual">
      <formula>$A32</formula>
    </cfRule>
    <cfRule type="cellIs" dxfId="2119" priority="740" operator="equal">
      <formula>"""&lt;&gt;$A6"""</formula>
    </cfRule>
    <cfRule type="cellIs" dxfId="2118" priority="741" operator="equal">
      <formula>"&lt;&gt;$A6"</formula>
    </cfRule>
    <cfRule type="cellIs" dxfId="2117" priority="742" operator="equal">
      <formula>$A32</formula>
    </cfRule>
    <cfRule type="cellIs" dxfId="2116" priority="743" operator="equal">
      <formula>$A32</formula>
    </cfRule>
  </conditionalFormatting>
  <conditionalFormatting sqref="L37">
    <cfRule type="cellIs" dxfId="2115" priority="734" operator="notEqual">
      <formula>$A37</formula>
    </cfRule>
    <cfRule type="cellIs" dxfId="2114" priority="735" operator="equal">
      <formula>"""&lt;&gt;$A6"""</formula>
    </cfRule>
    <cfRule type="cellIs" dxfId="2113" priority="736" operator="equal">
      <formula>"&lt;&gt;$A6"</formula>
    </cfRule>
    <cfRule type="cellIs" dxfId="2112" priority="737" operator="equal">
      <formula>$A37</formula>
    </cfRule>
    <cfRule type="cellIs" dxfId="2111" priority="738" operator="equal">
      <formula>$A37</formula>
    </cfRule>
  </conditionalFormatting>
  <conditionalFormatting sqref="L38:L40">
    <cfRule type="cellIs" dxfId="2110" priority="729" operator="notEqual">
      <formula>$A38</formula>
    </cfRule>
    <cfRule type="cellIs" dxfId="2109" priority="730" operator="equal">
      <formula>"""&lt;&gt;$A6"""</formula>
    </cfRule>
    <cfRule type="cellIs" dxfId="2108" priority="731" operator="equal">
      <formula>"&lt;&gt;$A6"</formula>
    </cfRule>
    <cfRule type="cellIs" dxfId="2107" priority="732" operator="equal">
      <formula>$A38</formula>
    </cfRule>
    <cfRule type="cellIs" dxfId="2106" priority="733" operator="equal">
      <formula>$A38</formula>
    </cfRule>
  </conditionalFormatting>
  <conditionalFormatting sqref="L41">
    <cfRule type="cellIs" dxfId="2105" priority="724" operator="notEqual">
      <formula>$A41</formula>
    </cfRule>
    <cfRule type="cellIs" dxfId="2104" priority="725" operator="equal">
      <formula>"""&lt;&gt;$A6"""</formula>
    </cfRule>
    <cfRule type="cellIs" dxfId="2103" priority="726" operator="equal">
      <formula>"&lt;&gt;$A6"</formula>
    </cfRule>
    <cfRule type="cellIs" dxfId="2102" priority="727" operator="equal">
      <formula>$A41</formula>
    </cfRule>
    <cfRule type="cellIs" dxfId="2101" priority="728" operator="equal">
      <formula>$A41</formula>
    </cfRule>
  </conditionalFormatting>
  <conditionalFormatting sqref="L46">
    <cfRule type="cellIs" dxfId="2100" priority="709" operator="notEqual">
      <formula>$A46</formula>
    </cfRule>
    <cfRule type="cellIs" dxfId="2099" priority="710" operator="equal">
      <formula>"""&lt;&gt;$A6"""</formula>
    </cfRule>
    <cfRule type="cellIs" dxfId="2098" priority="711" operator="equal">
      <formula>"&lt;&gt;$A6"</formula>
    </cfRule>
    <cfRule type="cellIs" dxfId="2097" priority="712" operator="equal">
      <formula>$A46</formula>
    </cfRule>
    <cfRule type="cellIs" dxfId="2096" priority="713" operator="equal">
      <formula>$A46</formula>
    </cfRule>
  </conditionalFormatting>
  <conditionalFormatting sqref="L50:L51">
    <cfRule type="cellIs" dxfId="2095" priority="704" operator="notEqual">
      <formula>$A50</formula>
    </cfRule>
    <cfRule type="cellIs" dxfId="2094" priority="705" operator="equal">
      <formula>"""&lt;&gt;$A6"""</formula>
    </cfRule>
    <cfRule type="cellIs" dxfId="2093" priority="706" operator="equal">
      <formula>"&lt;&gt;$A6"</formula>
    </cfRule>
    <cfRule type="cellIs" dxfId="2092" priority="707" operator="equal">
      <formula>$A50</formula>
    </cfRule>
    <cfRule type="cellIs" dxfId="2091" priority="708" operator="equal">
      <formula>$A50</formula>
    </cfRule>
  </conditionalFormatting>
  <conditionalFormatting sqref="L49">
    <cfRule type="cellIs" dxfId="2090" priority="699" operator="notEqual">
      <formula>$A49</formula>
    </cfRule>
    <cfRule type="cellIs" dxfId="2089" priority="700" operator="equal">
      <formula>"""&lt;&gt;$A6"""</formula>
    </cfRule>
    <cfRule type="cellIs" dxfId="2088" priority="701" operator="equal">
      <formula>"&lt;&gt;$A6"</formula>
    </cfRule>
    <cfRule type="cellIs" dxfId="2087" priority="702" operator="equal">
      <formula>$A49</formula>
    </cfRule>
    <cfRule type="cellIs" dxfId="2086" priority="703" operator="equal">
      <formula>$A49</formula>
    </cfRule>
  </conditionalFormatting>
  <conditionalFormatting sqref="L53:L60">
    <cfRule type="cellIs" dxfId="2085" priority="694" operator="notEqual">
      <formula>$A53</formula>
    </cfRule>
    <cfRule type="cellIs" dxfId="2084" priority="695" operator="equal">
      <formula>"""&lt;&gt;$A6"""</formula>
    </cfRule>
    <cfRule type="cellIs" dxfId="2083" priority="696" operator="equal">
      <formula>"&lt;&gt;$A6"</formula>
    </cfRule>
    <cfRule type="cellIs" dxfId="2082" priority="697" operator="equal">
      <formula>$A53</formula>
    </cfRule>
    <cfRule type="cellIs" dxfId="2081" priority="698" operator="equal">
      <formula>$A53</formula>
    </cfRule>
  </conditionalFormatting>
  <conditionalFormatting sqref="L42:L43">
    <cfRule type="cellIs" dxfId="2080" priority="689" operator="notEqual">
      <formula>$A42</formula>
    </cfRule>
    <cfRule type="cellIs" dxfId="2079" priority="690" operator="equal">
      <formula>"""&lt;&gt;$A6"""</formula>
    </cfRule>
    <cfRule type="cellIs" dxfId="2078" priority="691" operator="equal">
      <formula>"&lt;&gt;$A6"</formula>
    </cfRule>
    <cfRule type="cellIs" dxfId="2077" priority="692" operator="equal">
      <formula>$A42</formula>
    </cfRule>
    <cfRule type="cellIs" dxfId="2076" priority="693" operator="equal">
      <formula>$A42</formula>
    </cfRule>
  </conditionalFormatting>
  <conditionalFormatting sqref="L47">
    <cfRule type="cellIs" dxfId="2075" priority="684" operator="notEqual">
      <formula>$A47</formula>
    </cfRule>
    <cfRule type="cellIs" dxfId="2074" priority="685" operator="equal">
      <formula>"""&lt;&gt;$A6"""</formula>
    </cfRule>
    <cfRule type="cellIs" dxfId="2073" priority="686" operator="equal">
      <formula>"&lt;&gt;$A6"</formula>
    </cfRule>
    <cfRule type="cellIs" dxfId="2072" priority="687" operator="equal">
      <formula>$A47</formula>
    </cfRule>
    <cfRule type="cellIs" dxfId="2071" priority="688" operator="equal">
      <formula>$A47</formula>
    </cfRule>
  </conditionalFormatting>
  <conditionalFormatting sqref="L48">
    <cfRule type="cellIs" dxfId="2070" priority="679" operator="notEqual">
      <formula>$A48</formula>
    </cfRule>
    <cfRule type="cellIs" dxfId="2069" priority="680" operator="equal">
      <formula>"""&lt;&gt;$A6"""</formula>
    </cfRule>
    <cfRule type="cellIs" dxfId="2068" priority="681" operator="equal">
      <formula>"&lt;&gt;$A6"</formula>
    </cfRule>
    <cfRule type="cellIs" dxfId="2067" priority="682" operator="equal">
      <formula>$A48</formula>
    </cfRule>
    <cfRule type="cellIs" dxfId="2066" priority="683" operator="equal">
      <formula>$A48</formula>
    </cfRule>
  </conditionalFormatting>
  <conditionalFormatting sqref="M9">
    <cfRule type="cellIs" dxfId="2065" priority="664" operator="notEqual">
      <formula>$A9</formula>
    </cfRule>
    <cfRule type="cellIs" dxfId="2064" priority="665" operator="equal">
      <formula>"""&lt;&gt;$A6"""</formula>
    </cfRule>
    <cfRule type="cellIs" dxfId="2063" priority="666" operator="equal">
      <formula>"&lt;&gt;$A6"</formula>
    </cfRule>
    <cfRule type="cellIs" dxfId="2062" priority="667" operator="equal">
      <formula>$A9</formula>
    </cfRule>
    <cfRule type="cellIs" dxfId="2061" priority="668" operator="equal">
      <formula>$A9</formula>
    </cfRule>
  </conditionalFormatting>
  <conditionalFormatting sqref="M5">
    <cfRule type="cellIs" dxfId="2060" priority="674" operator="notEqual">
      <formula>$A5</formula>
    </cfRule>
    <cfRule type="cellIs" dxfId="2059" priority="675" operator="equal">
      <formula>"""&lt;&gt;$A6"""</formula>
    </cfRule>
    <cfRule type="cellIs" dxfId="2058" priority="676" operator="equal">
      <formula>"&lt;&gt;$A6"</formula>
    </cfRule>
    <cfRule type="cellIs" dxfId="2057" priority="677" operator="equal">
      <formula>$A5</formula>
    </cfRule>
    <cfRule type="cellIs" dxfId="2056" priority="678" operator="equal">
      <formula>$A5</formula>
    </cfRule>
  </conditionalFormatting>
  <conditionalFormatting sqref="M8">
    <cfRule type="cellIs" dxfId="2055" priority="669" operator="notEqual">
      <formula>$A8</formula>
    </cfRule>
    <cfRule type="cellIs" dxfId="2054" priority="670" operator="equal">
      <formula>"""&lt;&gt;$A6"""</formula>
    </cfRule>
    <cfRule type="cellIs" dxfId="2053" priority="671" operator="equal">
      <formula>"&lt;&gt;$A6"</formula>
    </cfRule>
    <cfRule type="cellIs" dxfId="2052" priority="672" operator="equal">
      <formula>$A8</formula>
    </cfRule>
    <cfRule type="cellIs" dxfId="2051" priority="673" operator="equal">
      <formula>$A8</formula>
    </cfRule>
  </conditionalFormatting>
  <conditionalFormatting sqref="M10:M23">
    <cfRule type="cellIs" dxfId="2050" priority="659" operator="notEqual">
      <formula>$A10</formula>
    </cfRule>
    <cfRule type="cellIs" dxfId="2049" priority="660" operator="equal">
      <formula>"""&lt;&gt;$A6"""</formula>
    </cfRule>
    <cfRule type="cellIs" dxfId="2048" priority="661" operator="equal">
      <formula>"&lt;&gt;$A6"</formula>
    </cfRule>
    <cfRule type="cellIs" dxfId="2047" priority="662" operator="equal">
      <formula>$A10</formula>
    </cfRule>
    <cfRule type="cellIs" dxfId="2046" priority="663" operator="equal">
      <formula>$A10</formula>
    </cfRule>
  </conditionalFormatting>
  <conditionalFormatting sqref="M26">
    <cfRule type="cellIs" dxfId="2045" priority="654" operator="notEqual">
      <formula>$A26</formula>
    </cfRule>
    <cfRule type="cellIs" dxfId="2044" priority="655" operator="equal">
      <formula>"""&lt;&gt;$A6"""</formula>
    </cfRule>
    <cfRule type="cellIs" dxfId="2043" priority="656" operator="equal">
      <formula>"&lt;&gt;$A6"</formula>
    </cfRule>
    <cfRule type="cellIs" dxfId="2042" priority="657" operator="equal">
      <formula>$A26</formula>
    </cfRule>
    <cfRule type="cellIs" dxfId="2041" priority="658" operator="equal">
      <formula>$A26</formula>
    </cfRule>
  </conditionalFormatting>
  <conditionalFormatting sqref="M36">
    <cfRule type="cellIs" dxfId="2040" priority="649" operator="notEqual">
      <formula>$A36</formula>
    </cfRule>
    <cfRule type="cellIs" dxfId="2039" priority="650" operator="equal">
      <formula>"""&lt;&gt;$A6"""</formula>
    </cfRule>
    <cfRule type="cellIs" dxfId="2038" priority="651" operator="equal">
      <formula>"&lt;&gt;$A6"</formula>
    </cfRule>
    <cfRule type="cellIs" dxfId="2037" priority="652" operator="equal">
      <formula>$A36</formula>
    </cfRule>
    <cfRule type="cellIs" dxfId="2036" priority="653" operator="equal">
      <formula>$A36</formula>
    </cfRule>
  </conditionalFormatting>
  <conditionalFormatting sqref="M32:M35">
    <cfRule type="cellIs" dxfId="2035" priority="644" operator="notEqual">
      <formula>$A32</formula>
    </cfRule>
    <cfRule type="cellIs" dxfId="2034" priority="645" operator="equal">
      <formula>"""&lt;&gt;$A6"""</formula>
    </cfRule>
    <cfRule type="cellIs" dxfId="2033" priority="646" operator="equal">
      <formula>"&lt;&gt;$A6"</formula>
    </cfRule>
    <cfRule type="cellIs" dxfId="2032" priority="647" operator="equal">
      <formula>$A32</formula>
    </cfRule>
    <cfRule type="cellIs" dxfId="2031" priority="648" operator="equal">
      <formula>$A32</formula>
    </cfRule>
  </conditionalFormatting>
  <conditionalFormatting sqref="M37">
    <cfRule type="cellIs" dxfId="2030" priority="639" operator="notEqual">
      <formula>$A37</formula>
    </cfRule>
    <cfRule type="cellIs" dxfId="2029" priority="640" operator="equal">
      <formula>"""&lt;&gt;$A6"""</formula>
    </cfRule>
    <cfRule type="cellIs" dxfId="2028" priority="641" operator="equal">
      <formula>"&lt;&gt;$A6"</formula>
    </cfRule>
    <cfRule type="cellIs" dxfId="2027" priority="642" operator="equal">
      <formula>$A37</formula>
    </cfRule>
    <cfRule type="cellIs" dxfId="2026" priority="643" operator="equal">
      <formula>$A37</formula>
    </cfRule>
  </conditionalFormatting>
  <conditionalFormatting sqref="M38:M40">
    <cfRule type="cellIs" dxfId="2025" priority="634" operator="notEqual">
      <formula>$A38</formula>
    </cfRule>
    <cfRule type="cellIs" dxfId="2024" priority="635" operator="equal">
      <formula>"""&lt;&gt;$A6"""</formula>
    </cfRule>
    <cfRule type="cellIs" dxfId="2023" priority="636" operator="equal">
      <formula>"&lt;&gt;$A6"</formula>
    </cfRule>
    <cfRule type="cellIs" dxfId="2022" priority="637" operator="equal">
      <formula>$A38</formula>
    </cfRule>
    <cfRule type="cellIs" dxfId="2021" priority="638" operator="equal">
      <formula>$A38</formula>
    </cfRule>
  </conditionalFormatting>
  <conditionalFormatting sqref="M41">
    <cfRule type="cellIs" dxfId="2020" priority="629" operator="notEqual">
      <formula>$A41</formula>
    </cfRule>
    <cfRule type="cellIs" dxfId="2019" priority="630" operator="equal">
      <formula>"""&lt;&gt;$A6"""</formula>
    </cfRule>
    <cfRule type="cellIs" dxfId="2018" priority="631" operator="equal">
      <formula>"&lt;&gt;$A6"</formula>
    </cfRule>
    <cfRule type="cellIs" dxfId="2017" priority="632" operator="equal">
      <formula>$A41</formula>
    </cfRule>
    <cfRule type="cellIs" dxfId="2016" priority="633" operator="equal">
      <formula>$A41</formula>
    </cfRule>
  </conditionalFormatting>
  <conditionalFormatting sqref="M46">
    <cfRule type="cellIs" dxfId="2015" priority="614" operator="notEqual">
      <formula>$A46</formula>
    </cfRule>
    <cfRule type="cellIs" dxfId="2014" priority="615" operator="equal">
      <formula>"""&lt;&gt;$A6"""</formula>
    </cfRule>
    <cfRule type="cellIs" dxfId="2013" priority="616" operator="equal">
      <formula>"&lt;&gt;$A6"</formula>
    </cfRule>
    <cfRule type="cellIs" dxfId="2012" priority="617" operator="equal">
      <formula>$A46</formula>
    </cfRule>
    <cfRule type="cellIs" dxfId="2011" priority="618" operator="equal">
      <formula>$A46</formula>
    </cfRule>
  </conditionalFormatting>
  <conditionalFormatting sqref="M50:M51">
    <cfRule type="cellIs" dxfId="2010" priority="609" operator="notEqual">
      <formula>$A50</formula>
    </cfRule>
    <cfRule type="cellIs" dxfId="2009" priority="610" operator="equal">
      <formula>"""&lt;&gt;$A6"""</formula>
    </cfRule>
    <cfRule type="cellIs" dxfId="2008" priority="611" operator="equal">
      <formula>"&lt;&gt;$A6"</formula>
    </cfRule>
    <cfRule type="cellIs" dxfId="2007" priority="612" operator="equal">
      <formula>$A50</formula>
    </cfRule>
    <cfRule type="cellIs" dxfId="2006" priority="613" operator="equal">
      <formula>$A50</formula>
    </cfRule>
  </conditionalFormatting>
  <conditionalFormatting sqref="M49">
    <cfRule type="cellIs" dxfId="2005" priority="604" operator="notEqual">
      <formula>$A49</formula>
    </cfRule>
    <cfRule type="cellIs" dxfId="2004" priority="605" operator="equal">
      <formula>"""&lt;&gt;$A6"""</formula>
    </cfRule>
    <cfRule type="cellIs" dxfId="2003" priority="606" operator="equal">
      <formula>"&lt;&gt;$A6"</formula>
    </cfRule>
    <cfRule type="cellIs" dxfId="2002" priority="607" operator="equal">
      <formula>$A49</formula>
    </cfRule>
    <cfRule type="cellIs" dxfId="2001" priority="608" operator="equal">
      <formula>$A49</formula>
    </cfRule>
  </conditionalFormatting>
  <conditionalFormatting sqref="M53:M60">
    <cfRule type="cellIs" dxfId="2000" priority="599" operator="notEqual">
      <formula>$A53</formula>
    </cfRule>
    <cfRule type="cellIs" dxfId="1999" priority="600" operator="equal">
      <formula>"""&lt;&gt;$A6"""</formula>
    </cfRule>
    <cfRule type="cellIs" dxfId="1998" priority="601" operator="equal">
      <formula>"&lt;&gt;$A6"</formula>
    </cfRule>
    <cfRule type="cellIs" dxfId="1997" priority="602" operator="equal">
      <formula>$A53</formula>
    </cfRule>
    <cfRule type="cellIs" dxfId="1996" priority="603" operator="equal">
      <formula>$A53</formula>
    </cfRule>
  </conditionalFormatting>
  <conditionalFormatting sqref="M42:M43">
    <cfRule type="cellIs" dxfId="1995" priority="594" operator="notEqual">
      <formula>$A42</formula>
    </cfRule>
    <cfRule type="cellIs" dxfId="1994" priority="595" operator="equal">
      <formula>"""&lt;&gt;$A6"""</formula>
    </cfRule>
    <cfRule type="cellIs" dxfId="1993" priority="596" operator="equal">
      <formula>"&lt;&gt;$A6"</formula>
    </cfRule>
    <cfRule type="cellIs" dxfId="1992" priority="597" operator="equal">
      <formula>$A42</formula>
    </cfRule>
    <cfRule type="cellIs" dxfId="1991" priority="598" operator="equal">
      <formula>$A42</formula>
    </cfRule>
  </conditionalFormatting>
  <conditionalFormatting sqref="M47">
    <cfRule type="cellIs" dxfId="1990" priority="589" operator="notEqual">
      <formula>$A47</formula>
    </cfRule>
    <cfRule type="cellIs" dxfId="1989" priority="590" operator="equal">
      <formula>"""&lt;&gt;$A6"""</formula>
    </cfRule>
    <cfRule type="cellIs" dxfId="1988" priority="591" operator="equal">
      <formula>"&lt;&gt;$A6"</formula>
    </cfRule>
    <cfRule type="cellIs" dxfId="1987" priority="592" operator="equal">
      <formula>$A47</formula>
    </cfRule>
    <cfRule type="cellIs" dxfId="1986" priority="593" operator="equal">
      <formula>$A47</formula>
    </cfRule>
  </conditionalFormatting>
  <conditionalFormatting sqref="M48">
    <cfRule type="cellIs" dxfId="1985" priority="584" operator="notEqual">
      <formula>$A48</formula>
    </cfRule>
    <cfRule type="cellIs" dxfId="1984" priority="585" operator="equal">
      <formula>"""&lt;&gt;$A6"""</formula>
    </cfRule>
    <cfRule type="cellIs" dxfId="1983" priority="586" operator="equal">
      <formula>"&lt;&gt;$A6"</formula>
    </cfRule>
    <cfRule type="cellIs" dxfId="1982" priority="587" operator="equal">
      <formula>$A48</formula>
    </cfRule>
    <cfRule type="cellIs" dxfId="1981" priority="588" operator="equal">
      <formula>$A48</formula>
    </cfRule>
  </conditionalFormatting>
  <conditionalFormatting sqref="N9">
    <cfRule type="cellIs" dxfId="1980" priority="569" operator="notEqual">
      <formula>$A9</formula>
    </cfRule>
    <cfRule type="cellIs" dxfId="1979" priority="570" operator="equal">
      <formula>"""&lt;&gt;$A6"""</formula>
    </cfRule>
    <cfRule type="cellIs" dxfId="1978" priority="571" operator="equal">
      <formula>"&lt;&gt;$A6"</formula>
    </cfRule>
    <cfRule type="cellIs" dxfId="1977" priority="572" operator="equal">
      <formula>$A9</formula>
    </cfRule>
    <cfRule type="cellIs" dxfId="1976" priority="573" operator="equal">
      <formula>$A9</formula>
    </cfRule>
  </conditionalFormatting>
  <conditionalFormatting sqref="N5">
    <cfRule type="cellIs" dxfId="1975" priority="579" operator="notEqual">
      <formula>$A5</formula>
    </cfRule>
    <cfRule type="cellIs" dxfId="1974" priority="580" operator="equal">
      <formula>"""&lt;&gt;$A6"""</formula>
    </cfRule>
    <cfRule type="cellIs" dxfId="1973" priority="581" operator="equal">
      <formula>"&lt;&gt;$A6"</formula>
    </cfRule>
    <cfRule type="cellIs" dxfId="1972" priority="582" operator="equal">
      <formula>$A5</formula>
    </cfRule>
    <cfRule type="cellIs" dxfId="1971" priority="583" operator="equal">
      <formula>$A5</formula>
    </cfRule>
  </conditionalFormatting>
  <conditionalFormatting sqref="N8">
    <cfRule type="cellIs" dxfId="1970" priority="574" operator="notEqual">
      <formula>$A8</formula>
    </cfRule>
    <cfRule type="cellIs" dxfId="1969" priority="575" operator="equal">
      <formula>"""&lt;&gt;$A6"""</formula>
    </cfRule>
    <cfRule type="cellIs" dxfId="1968" priority="576" operator="equal">
      <formula>"&lt;&gt;$A6"</formula>
    </cfRule>
    <cfRule type="cellIs" dxfId="1967" priority="577" operator="equal">
      <formula>$A8</formula>
    </cfRule>
    <cfRule type="cellIs" dxfId="1966" priority="578" operator="equal">
      <formula>$A8</formula>
    </cfRule>
  </conditionalFormatting>
  <conditionalFormatting sqref="N10:N23">
    <cfRule type="cellIs" dxfId="1965" priority="564" operator="notEqual">
      <formula>$A10</formula>
    </cfRule>
    <cfRule type="cellIs" dxfId="1964" priority="565" operator="equal">
      <formula>"""&lt;&gt;$A6"""</formula>
    </cfRule>
    <cfRule type="cellIs" dxfId="1963" priority="566" operator="equal">
      <formula>"&lt;&gt;$A6"</formula>
    </cfRule>
    <cfRule type="cellIs" dxfId="1962" priority="567" operator="equal">
      <formula>$A10</formula>
    </cfRule>
    <cfRule type="cellIs" dxfId="1961" priority="568" operator="equal">
      <formula>$A10</formula>
    </cfRule>
  </conditionalFormatting>
  <conditionalFormatting sqref="N26">
    <cfRule type="cellIs" dxfId="1960" priority="559" operator="notEqual">
      <formula>$A26</formula>
    </cfRule>
    <cfRule type="cellIs" dxfId="1959" priority="560" operator="equal">
      <formula>"""&lt;&gt;$A6"""</formula>
    </cfRule>
    <cfRule type="cellIs" dxfId="1958" priority="561" operator="equal">
      <formula>"&lt;&gt;$A6"</formula>
    </cfRule>
    <cfRule type="cellIs" dxfId="1957" priority="562" operator="equal">
      <formula>$A26</formula>
    </cfRule>
    <cfRule type="cellIs" dxfId="1956" priority="563" operator="equal">
      <formula>$A26</formula>
    </cfRule>
  </conditionalFormatting>
  <conditionalFormatting sqref="N36">
    <cfRule type="cellIs" dxfId="1955" priority="554" operator="notEqual">
      <formula>$A36</formula>
    </cfRule>
    <cfRule type="cellIs" dxfId="1954" priority="555" operator="equal">
      <formula>"""&lt;&gt;$A6"""</formula>
    </cfRule>
    <cfRule type="cellIs" dxfId="1953" priority="556" operator="equal">
      <formula>"&lt;&gt;$A6"</formula>
    </cfRule>
    <cfRule type="cellIs" dxfId="1952" priority="557" operator="equal">
      <formula>$A36</formula>
    </cfRule>
    <cfRule type="cellIs" dxfId="1951" priority="558" operator="equal">
      <formula>$A36</formula>
    </cfRule>
  </conditionalFormatting>
  <conditionalFormatting sqref="N32:N35">
    <cfRule type="cellIs" dxfId="1950" priority="549" operator="notEqual">
      <formula>$A32</formula>
    </cfRule>
    <cfRule type="cellIs" dxfId="1949" priority="550" operator="equal">
      <formula>"""&lt;&gt;$A6"""</formula>
    </cfRule>
    <cfRule type="cellIs" dxfId="1948" priority="551" operator="equal">
      <formula>"&lt;&gt;$A6"</formula>
    </cfRule>
    <cfRule type="cellIs" dxfId="1947" priority="552" operator="equal">
      <formula>$A32</formula>
    </cfRule>
    <cfRule type="cellIs" dxfId="1946" priority="553" operator="equal">
      <formula>$A32</formula>
    </cfRule>
  </conditionalFormatting>
  <conditionalFormatting sqref="N37">
    <cfRule type="cellIs" dxfId="1945" priority="544" operator="notEqual">
      <formula>$A37</formula>
    </cfRule>
    <cfRule type="cellIs" dxfId="1944" priority="545" operator="equal">
      <formula>"""&lt;&gt;$A6"""</formula>
    </cfRule>
    <cfRule type="cellIs" dxfId="1943" priority="546" operator="equal">
      <formula>"&lt;&gt;$A6"</formula>
    </cfRule>
    <cfRule type="cellIs" dxfId="1942" priority="547" operator="equal">
      <formula>$A37</formula>
    </cfRule>
    <cfRule type="cellIs" dxfId="1941" priority="548" operator="equal">
      <formula>$A37</formula>
    </cfRule>
  </conditionalFormatting>
  <conditionalFormatting sqref="N38:N40">
    <cfRule type="cellIs" dxfId="1940" priority="539" operator="notEqual">
      <formula>$A38</formula>
    </cfRule>
    <cfRule type="cellIs" dxfId="1939" priority="540" operator="equal">
      <formula>"""&lt;&gt;$A6"""</formula>
    </cfRule>
    <cfRule type="cellIs" dxfId="1938" priority="541" operator="equal">
      <formula>"&lt;&gt;$A6"</formula>
    </cfRule>
    <cfRule type="cellIs" dxfId="1937" priority="542" operator="equal">
      <formula>$A38</formula>
    </cfRule>
    <cfRule type="cellIs" dxfId="1936" priority="543" operator="equal">
      <formula>$A38</formula>
    </cfRule>
  </conditionalFormatting>
  <conditionalFormatting sqref="N41">
    <cfRule type="cellIs" dxfId="1935" priority="534" operator="notEqual">
      <formula>$A41</formula>
    </cfRule>
    <cfRule type="cellIs" dxfId="1934" priority="535" operator="equal">
      <formula>"""&lt;&gt;$A6"""</formula>
    </cfRule>
    <cfRule type="cellIs" dxfId="1933" priority="536" operator="equal">
      <formula>"&lt;&gt;$A6"</formula>
    </cfRule>
    <cfRule type="cellIs" dxfId="1932" priority="537" operator="equal">
      <formula>$A41</formula>
    </cfRule>
    <cfRule type="cellIs" dxfId="1931" priority="538" operator="equal">
      <formula>$A41</formula>
    </cfRule>
  </conditionalFormatting>
  <conditionalFormatting sqref="N46">
    <cfRule type="cellIs" dxfId="1930" priority="519" operator="notEqual">
      <formula>$A46</formula>
    </cfRule>
    <cfRule type="cellIs" dxfId="1929" priority="520" operator="equal">
      <formula>"""&lt;&gt;$A6"""</formula>
    </cfRule>
    <cfRule type="cellIs" dxfId="1928" priority="521" operator="equal">
      <formula>"&lt;&gt;$A6"</formula>
    </cfRule>
    <cfRule type="cellIs" dxfId="1927" priority="522" operator="equal">
      <formula>$A46</formula>
    </cfRule>
    <cfRule type="cellIs" dxfId="1926" priority="523" operator="equal">
      <formula>$A46</formula>
    </cfRule>
  </conditionalFormatting>
  <conditionalFormatting sqref="N50:N51">
    <cfRule type="cellIs" dxfId="1925" priority="514" operator="notEqual">
      <formula>$A50</formula>
    </cfRule>
    <cfRule type="cellIs" dxfId="1924" priority="515" operator="equal">
      <formula>"""&lt;&gt;$A6"""</formula>
    </cfRule>
    <cfRule type="cellIs" dxfId="1923" priority="516" operator="equal">
      <formula>"&lt;&gt;$A6"</formula>
    </cfRule>
    <cfRule type="cellIs" dxfId="1922" priority="517" operator="equal">
      <formula>$A50</formula>
    </cfRule>
    <cfRule type="cellIs" dxfId="1921" priority="518" operator="equal">
      <formula>$A50</formula>
    </cfRule>
  </conditionalFormatting>
  <conditionalFormatting sqref="N49">
    <cfRule type="cellIs" dxfId="1920" priority="509" operator="notEqual">
      <formula>$A49</formula>
    </cfRule>
    <cfRule type="cellIs" dxfId="1919" priority="510" operator="equal">
      <formula>"""&lt;&gt;$A6"""</formula>
    </cfRule>
    <cfRule type="cellIs" dxfId="1918" priority="511" operator="equal">
      <formula>"&lt;&gt;$A6"</formula>
    </cfRule>
    <cfRule type="cellIs" dxfId="1917" priority="512" operator="equal">
      <formula>$A49</formula>
    </cfRule>
    <cfRule type="cellIs" dxfId="1916" priority="513" operator="equal">
      <formula>$A49</formula>
    </cfRule>
  </conditionalFormatting>
  <conditionalFormatting sqref="N53:N60">
    <cfRule type="cellIs" dxfId="1915" priority="504" operator="notEqual">
      <formula>$A53</formula>
    </cfRule>
    <cfRule type="cellIs" dxfId="1914" priority="505" operator="equal">
      <formula>"""&lt;&gt;$A6"""</formula>
    </cfRule>
    <cfRule type="cellIs" dxfId="1913" priority="506" operator="equal">
      <formula>"&lt;&gt;$A6"</formula>
    </cfRule>
    <cfRule type="cellIs" dxfId="1912" priority="507" operator="equal">
      <formula>$A53</formula>
    </cfRule>
    <cfRule type="cellIs" dxfId="1911" priority="508" operator="equal">
      <formula>$A53</formula>
    </cfRule>
  </conditionalFormatting>
  <conditionalFormatting sqref="N42:N43">
    <cfRule type="cellIs" dxfId="1910" priority="499" operator="notEqual">
      <formula>$A42</formula>
    </cfRule>
    <cfRule type="cellIs" dxfId="1909" priority="500" operator="equal">
      <formula>"""&lt;&gt;$A6"""</formula>
    </cfRule>
    <cfRule type="cellIs" dxfId="1908" priority="501" operator="equal">
      <formula>"&lt;&gt;$A6"</formula>
    </cfRule>
    <cfRule type="cellIs" dxfId="1907" priority="502" operator="equal">
      <formula>$A42</formula>
    </cfRule>
    <cfRule type="cellIs" dxfId="1906" priority="503" operator="equal">
      <formula>$A42</formula>
    </cfRule>
  </conditionalFormatting>
  <conditionalFormatting sqref="N47">
    <cfRule type="cellIs" dxfId="1905" priority="494" operator="notEqual">
      <formula>$A47</formula>
    </cfRule>
    <cfRule type="cellIs" dxfId="1904" priority="495" operator="equal">
      <formula>"""&lt;&gt;$A6"""</formula>
    </cfRule>
    <cfRule type="cellIs" dxfId="1903" priority="496" operator="equal">
      <formula>"&lt;&gt;$A6"</formula>
    </cfRule>
    <cfRule type="cellIs" dxfId="1902" priority="497" operator="equal">
      <formula>$A47</formula>
    </cfRule>
    <cfRule type="cellIs" dxfId="1901" priority="498" operator="equal">
      <formula>$A47</formula>
    </cfRule>
  </conditionalFormatting>
  <conditionalFormatting sqref="N48">
    <cfRule type="cellIs" dxfId="1900" priority="489" operator="notEqual">
      <formula>$A48</formula>
    </cfRule>
    <cfRule type="cellIs" dxfId="1899" priority="490" operator="equal">
      <formula>"""&lt;&gt;$A6"""</formula>
    </cfRule>
    <cfRule type="cellIs" dxfId="1898" priority="491" operator="equal">
      <formula>"&lt;&gt;$A6"</formula>
    </cfRule>
    <cfRule type="cellIs" dxfId="1897" priority="492" operator="equal">
      <formula>$A48</formula>
    </cfRule>
    <cfRule type="cellIs" dxfId="1896" priority="493" operator="equal">
      <formula>$A48</formula>
    </cfRule>
  </conditionalFormatting>
  <conditionalFormatting sqref="O9">
    <cfRule type="cellIs" dxfId="1895" priority="474" operator="notEqual">
      <formula>$A9</formula>
    </cfRule>
    <cfRule type="cellIs" dxfId="1894" priority="475" operator="equal">
      <formula>"""&lt;&gt;$A6"""</formula>
    </cfRule>
    <cfRule type="cellIs" dxfId="1893" priority="476" operator="equal">
      <formula>"&lt;&gt;$A6"</formula>
    </cfRule>
    <cfRule type="cellIs" dxfId="1892" priority="477" operator="equal">
      <formula>$A9</formula>
    </cfRule>
    <cfRule type="cellIs" dxfId="1891" priority="478" operator="equal">
      <formula>$A9</formula>
    </cfRule>
  </conditionalFormatting>
  <conditionalFormatting sqref="O5">
    <cfRule type="cellIs" dxfId="1890" priority="484" operator="notEqual">
      <formula>$A5</formula>
    </cfRule>
    <cfRule type="cellIs" dxfId="1889" priority="485" operator="equal">
      <formula>"""&lt;&gt;$A6"""</formula>
    </cfRule>
    <cfRule type="cellIs" dxfId="1888" priority="486" operator="equal">
      <formula>"&lt;&gt;$A6"</formula>
    </cfRule>
    <cfRule type="cellIs" dxfId="1887" priority="487" operator="equal">
      <formula>$A5</formula>
    </cfRule>
    <cfRule type="cellIs" dxfId="1886" priority="488" operator="equal">
      <formula>$A5</formula>
    </cfRule>
  </conditionalFormatting>
  <conditionalFormatting sqref="O8">
    <cfRule type="cellIs" dxfId="1885" priority="479" operator="notEqual">
      <formula>$A8</formula>
    </cfRule>
    <cfRule type="cellIs" dxfId="1884" priority="480" operator="equal">
      <formula>"""&lt;&gt;$A6"""</formula>
    </cfRule>
    <cfRule type="cellIs" dxfId="1883" priority="481" operator="equal">
      <formula>"&lt;&gt;$A6"</formula>
    </cfRule>
    <cfRule type="cellIs" dxfId="1882" priority="482" operator="equal">
      <formula>$A8</formula>
    </cfRule>
    <cfRule type="cellIs" dxfId="1881" priority="483" operator="equal">
      <formula>$A8</formula>
    </cfRule>
  </conditionalFormatting>
  <conditionalFormatting sqref="O10:O23">
    <cfRule type="cellIs" dxfId="1880" priority="469" operator="notEqual">
      <formula>$A10</formula>
    </cfRule>
    <cfRule type="cellIs" dxfId="1879" priority="470" operator="equal">
      <formula>"""&lt;&gt;$A6"""</formula>
    </cfRule>
    <cfRule type="cellIs" dxfId="1878" priority="471" operator="equal">
      <formula>"&lt;&gt;$A6"</formula>
    </cfRule>
    <cfRule type="cellIs" dxfId="1877" priority="472" operator="equal">
      <formula>$A10</formula>
    </cfRule>
    <cfRule type="cellIs" dxfId="1876" priority="473" operator="equal">
      <formula>$A10</formula>
    </cfRule>
  </conditionalFormatting>
  <conditionalFormatting sqref="O26">
    <cfRule type="cellIs" dxfId="1875" priority="464" operator="notEqual">
      <formula>$A26</formula>
    </cfRule>
    <cfRule type="cellIs" dxfId="1874" priority="465" operator="equal">
      <formula>"""&lt;&gt;$A6"""</formula>
    </cfRule>
    <cfRule type="cellIs" dxfId="1873" priority="466" operator="equal">
      <formula>"&lt;&gt;$A6"</formula>
    </cfRule>
    <cfRule type="cellIs" dxfId="1872" priority="467" operator="equal">
      <formula>$A26</formula>
    </cfRule>
    <cfRule type="cellIs" dxfId="1871" priority="468" operator="equal">
      <formula>$A26</formula>
    </cfRule>
  </conditionalFormatting>
  <conditionalFormatting sqref="O36">
    <cfRule type="cellIs" dxfId="1870" priority="459" operator="notEqual">
      <formula>$A36</formula>
    </cfRule>
    <cfRule type="cellIs" dxfId="1869" priority="460" operator="equal">
      <formula>"""&lt;&gt;$A6"""</formula>
    </cfRule>
    <cfRule type="cellIs" dxfId="1868" priority="461" operator="equal">
      <formula>"&lt;&gt;$A6"</formula>
    </cfRule>
    <cfRule type="cellIs" dxfId="1867" priority="462" operator="equal">
      <formula>$A36</formula>
    </cfRule>
    <cfRule type="cellIs" dxfId="1866" priority="463" operator="equal">
      <formula>$A36</formula>
    </cfRule>
  </conditionalFormatting>
  <conditionalFormatting sqref="O32:O35">
    <cfRule type="cellIs" dxfId="1865" priority="454" operator="notEqual">
      <formula>$A32</formula>
    </cfRule>
    <cfRule type="cellIs" dxfId="1864" priority="455" operator="equal">
      <formula>"""&lt;&gt;$A6"""</formula>
    </cfRule>
    <cfRule type="cellIs" dxfId="1863" priority="456" operator="equal">
      <formula>"&lt;&gt;$A6"</formula>
    </cfRule>
    <cfRule type="cellIs" dxfId="1862" priority="457" operator="equal">
      <formula>$A32</formula>
    </cfRule>
    <cfRule type="cellIs" dxfId="1861" priority="458" operator="equal">
      <formula>$A32</formula>
    </cfRule>
  </conditionalFormatting>
  <conditionalFormatting sqref="O37">
    <cfRule type="cellIs" dxfId="1860" priority="449" operator="notEqual">
      <formula>$A37</formula>
    </cfRule>
    <cfRule type="cellIs" dxfId="1859" priority="450" operator="equal">
      <formula>"""&lt;&gt;$A6"""</formula>
    </cfRule>
    <cfRule type="cellIs" dxfId="1858" priority="451" operator="equal">
      <formula>"&lt;&gt;$A6"</formula>
    </cfRule>
    <cfRule type="cellIs" dxfId="1857" priority="452" operator="equal">
      <formula>$A37</formula>
    </cfRule>
    <cfRule type="cellIs" dxfId="1856" priority="453" operator="equal">
      <formula>$A37</formula>
    </cfRule>
  </conditionalFormatting>
  <conditionalFormatting sqref="O38:O40">
    <cfRule type="cellIs" dxfId="1855" priority="444" operator="notEqual">
      <formula>$A38</formula>
    </cfRule>
    <cfRule type="cellIs" dxfId="1854" priority="445" operator="equal">
      <formula>"""&lt;&gt;$A6"""</formula>
    </cfRule>
    <cfRule type="cellIs" dxfId="1853" priority="446" operator="equal">
      <formula>"&lt;&gt;$A6"</formula>
    </cfRule>
    <cfRule type="cellIs" dxfId="1852" priority="447" operator="equal">
      <formula>$A38</formula>
    </cfRule>
    <cfRule type="cellIs" dxfId="1851" priority="448" operator="equal">
      <formula>$A38</formula>
    </cfRule>
  </conditionalFormatting>
  <conditionalFormatting sqref="O41">
    <cfRule type="cellIs" dxfId="1850" priority="439" operator="notEqual">
      <formula>$A41</formula>
    </cfRule>
    <cfRule type="cellIs" dxfId="1849" priority="440" operator="equal">
      <formula>"""&lt;&gt;$A6"""</formula>
    </cfRule>
    <cfRule type="cellIs" dxfId="1848" priority="441" operator="equal">
      <formula>"&lt;&gt;$A6"</formula>
    </cfRule>
    <cfRule type="cellIs" dxfId="1847" priority="442" operator="equal">
      <formula>$A41</formula>
    </cfRule>
    <cfRule type="cellIs" dxfId="1846" priority="443" operator="equal">
      <formula>$A41</formula>
    </cfRule>
  </conditionalFormatting>
  <conditionalFormatting sqref="O46">
    <cfRule type="cellIs" dxfId="1845" priority="424" operator="notEqual">
      <formula>$A46</formula>
    </cfRule>
    <cfRule type="cellIs" dxfId="1844" priority="425" operator="equal">
      <formula>"""&lt;&gt;$A6"""</formula>
    </cfRule>
    <cfRule type="cellIs" dxfId="1843" priority="426" operator="equal">
      <formula>"&lt;&gt;$A6"</formula>
    </cfRule>
    <cfRule type="cellIs" dxfId="1842" priority="427" operator="equal">
      <formula>$A46</formula>
    </cfRule>
    <cfRule type="cellIs" dxfId="1841" priority="428" operator="equal">
      <formula>$A46</formula>
    </cfRule>
  </conditionalFormatting>
  <conditionalFormatting sqref="O50:O51">
    <cfRule type="cellIs" dxfId="1840" priority="419" operator="notEqual">
      <formula>$A50</formula>
    </cfRule>
    <cfRule type="cellIs" dxfId="1839" priority="420" operator="equal">
      <formula>"""&lt;&gt;$A6"""</formula>
    </cfRule>
    <cfRule type="cellIs" dxfId="1838" priority="421" operator="equal">
      <formula>"&lt;&gt;$A6"</formula>
    </cfRule>
    <cfRule type="cellIs" dxfId="1837" priority="422" operator="equal">
      <formula>$A50</formula>
    </cfRule>
    <cfRule type="cellIs" dxfId="1836" priority="423" operator="equal">
      <formula>$A50</formula>
    </cfRule>
  </conditionalFormatting>
  <conditionalFormatting sqref="O49">
    <cfRule type="cellIs" dxfId="1835" priority="414" operator="notEqual">
      <formula>$A49</formula>
    </cfRule>
    <cfRule type="cellIs" dxfId="1834" priority="415" operator="equal">
      <formula>"""&lt;&gt;$A6"""</formula>
    </cfRule>
    <cfRule type="cellIs" dxfId="1833" priority="416" operator="equal">
      <formula>"&lt;&gt;$A6"</formula>
    </cfRule>
    <cfRule type="cellIs" dxfId="1832" priority="417" operator="equal">
      <formula>$A49</formula>
    </cfRule>
    <cfRule type="cellIs" dxfId="1831" priority="418" operator="equal">
      <formula>$A49</formula>
    </cfRule>
  </conditionalFormatting>
  <conditionalFormatting sqref="O53:O60">
    <cfRule type="cellIs" dxfId="1830" priority="409" operator="notEqual">
      <formula>$A53</formula>
    </cfRule>
    <cfRule type="cellIs" dxfId="1829" priority="410" operator="equal">
      <formula>"""&lt;&gt;$A6"""</formula>
    </cfRule>
    <cfRule type="cellIs" dxfId="1828" priority="411" operator="equal">
      <formula>"&lt;&gt;$A6"</formula>
    </cfRule>
    <cfRule type="cellIs" dxfId="1827" priority="412" operator="equal">
      <formula>$A53</formula>
    </cfRule>
    <cfRule type="cellIs" dxfId="1826" priority="413" operator="equal">
      <formula>$A53</formula>
    </cfRule>
  </conditionalFormatting>
  <conditionalFormatting sqref="O42:O43">
    <cfRule type="cellIs" dxfId="1825" priority="404" operator="notEqual">
      <formula>$A42</formula>
    </cfRule>
    <cfRule type="cellIs" dxfId="1824" priority="405" operator="equal">
      <formula>"""&lt;&gt;$A6"""</formula>
    </cfRule>
    <cfRule type="cellIs" dxfId="1823" priority="406" operator="equal">
      <formula>"&lt;&gt;$A6"</formula>
    </cfRule>
    <cfRule type="cellIs" dxfId="1822" priority="407" operator="equal">
      <formula>$A42</formula>
    </cfRule>
    <cfRule type="cellIs" dxfId="1821" priority="408" operator="equal">
      <formula>$A42</formula>
    </cfRule>
  </conditionalFormatting>
  <conditionalFormatting sqref="O47">
    <cfRule type="cellIs" dxfId="1820" priority="399" operator="notEqual">
      <formula>$A47</formula>
    </cfRule>
    <cfRule type="cellIs" dxfId="1819" priority="400" operator="equal">
      <formula>"""&lt;&gt;$A6"""</formula>
    </cfRule>
    <cfRule type="cellIs" dxfId="1818" priority="401" operator="equal">
      <formula>"&lt;&gt;$A6"</formula>
    </cfRule>
    <cfRule type="cellIs" dxfId="1817" priority="402" operator="equal">
      <formula>$A47</formula>
    </cfRule>
    <cfRule type="cellIs" dxfId="1816" priority="403" operator="equal">
      <formula>$A47</formula>
    </cfRule>
  </conditionalFormatting>
  <conditionalFormatting sqref="O48">
    <cfRule type="cellIs" dxfId="1815" priority="394" operator="notEqual">
      <formula>$A48</formula>
    </cfRule>
    <cfRule type="cellIs" dxfId="1814" priority="395" operator="equal">
      <formula>"""&lt;&gt;$A6"""</formula>
    </cfRule>
    <cfRule type="cellIs" dxfId="1813" priority="396" operator="equal">
      <formula>"&lt;&gt;$A6"</formula>
    </cfRule>
    <cfRule type="cellIs" dxfId="1812" priority="397" operator="equal">
      <formula>$A48</formula>
    </cfRule>
    <cfRule type="cellIs" dxfId="1811" priority="398" operator="equal">
      <formula>$A48</formula>
    </cfRule>
  </conditionalFormatting>
  <conditionalFormatting sqref="P9">
    <cfRule type="cellIs" dxfId="1810" priority="379" operator="notEqual">
      <formula>$A9</formula>
    </cfRule>
    <cfRule type="cellIs" dxfId="1809" priority="380" operator="equal">
      <formula>"""&lt;&gt;$A6"""</formula>
    </cfRule>
    <cfRule type="cellIs" dxfId="1808" priority="381" operator="equal">
      <formula>"&lt;&gt;$A6"</formula>
    </cfRule>
    <cfRule type="cellIs" dxfId="1807" priority="382" operator="equal">
      <formula>$A9</formula>
    </cfRule>
    <cfRule type="cellIs" dxfId="1806" priority="383" operator="equal">
      <formula>$A9</formula>
    </cfRule>
  </conditionalFormatting>
  <conditionalFormatting sqref="P5">
    <cfRule type="cellIs" dxfId="1805" priority="389" operator="notEqual">
      <formula>$A5</formula>
    </cfRule>
    <cfRule type="cellIs" dxfId="1804" priority="390" operator="equal">
      <formula>"""&lt;&gt;$A6"""</formula>
    </cfRule>
    <cfRule type="cellIs" dxfId="1803" priority="391" operator="equal">
      <formula>"&lt;&gt;$A6"</formula>
    </cfRule>
    <cfRule type="cellIs" dxfId="1802" priority="392" operator="equal">
      <formula>$A5</formula>
    </cfRule>
    <cfRule type="cellIs" dxfId="1801" priority="393" operator="equal">
      <formula>$A5</formula>
    </cfRule>
  </conditionalFormatting>
  <conditionalFormatting sqref="P8">
    <cfRule type="cellIs" dxfId="1800" priority="384" operator="notEqual">
      <formula>$A8</formula>
    </cfRule>
    <cfRule type="cellIs" dxfId="1799" priority="385" operator="equal">
      <formula>"""&lt;&gt;$A6"""</formula>
    </cfRule>
    <cfRule type="cellIs" dxfId="1798" priority="386" operator="equal">
      <formula>"&lt;&gt;$A6"</formula>
    </cfRule>
    <cfRule type="cellIs" dxfId="1797" priority="387" operator="equal">
      <formula>$A8</formula>
    </cfRule>
    <cfRule type="cellIs" dxfId="1796" priority="388" operator="equal">
      <formula>$A8</formula>
    </cfRule>
  </conditionalFormatting>
  <conditionalFormatting sqref="P10:P23">
    <cfRule type="cellIs" dxfId="1795" priority="374" operator="notEqual">
      <formula>$A10</formula>
    </cfRule>
    <cfRule type="cellIs" dxfId="1794" priority="375" operator="equal">
      <formula>"""&lt;&gt;$A6"""</formula>
    </cfRule>
    <cfRule type="cellIs" dxfId="1793" priority="376" operator="equal">
      <formula>"&lt;&gt;$A6"</formula>
    </cfRule>
    <cfRule type="cellIs" dxfId="1792" priority="377" operator="equal">
      <formula>$A10</formula>
    </cfRule>
    <cfRule type="cellIs" dxfId="1791" priority="378" operator="equal">
      <formula>$A10</formula>
    </cfRule>
  </conditionalFormatting>
  <conditionalFormatting sqref="P26">
    <cfRule type="cellIs" dxfId="1790" priority="369" operator="notEqual">
      <formula>$A26</formula>
    </cfRule>
    <cfRule type="cellIs" dxfId="1789" priority="370" operator="equal">
      <formula>"""&lt;&gt;$A6"""</formula>
    </cfRule>
    <cfRule type="cellIs" dxfId="1788" priority="371" operator="equal">
      <formula>"&lt;&gt;$A6"</formula>
    </cfRule>
    <cfRule type="cellIs" dxfId="1787" priority="372" operator="equal">
      <formula>$A26</formula>
    </cfRule>
    <cfRule type="cellIs" dxfId="1786" priority="373" operator="equal">
      <formula>$A26</formula>
    </cfRule>
  </conditionalFormatting>
  <conditionalFormatting sqref="P36">
    <cfRule type="cellIs" dxfId="1785" priority="364" operator="notEqual">
      <formula>$A36</formula>
    </cfRule>
    <cfRule type="cellIs" dxfId="1784" priority="365" operator="equal">
      <formula>"""&lt;&gt;$A6"""</formula>
    </cfRule>
    <cfRule type="cellIs" dxfId="1783" priority="366" operator="equal">
      <formula>"&lt;&gt;$A6"</formula>
    </cfRule>
    <cfRule type="cellIs" dxfId="1782" priority="367" operator="equal">
      <formula>$A36</formula>
    </cfRule>
    <cfRule type="cellIs" dxfId="1781" priority="368" operator="equal">
      <formula>$A36</formula>
    </cfRule>
  </conditionalFormatting>
  <conditionalFormatting sqref="P32:P35">
    <cfRule type="cellIs" dxfId="1780" priority="359" operator="notEqual">
      <formula>$A32</formula>
    </cfRule>
    <cfRule type="cellIs" dxfId="1779" priority="360" operator="equal">
      <formula>"""&lt;&gt;$A6"""</formula>
    </cfRule>
    <cfRule type="cellIs" dxfId="1778" priority="361" operator="equal">
      <formula>"&lt;&gt;$A6"</formula>
    </cfRule>
    <cfRule type="cellIs" dxfId="1777" priority="362" operator="equal">
      <formula>$A32</formula>
    </cfRule>
    <cfRule type="cellIs" dxfId="1776" priority="363" operator="equal">
      <formula>$A32</formula>
    </cfRule>
  </conditionalFormatting>
  <conditionalFormatting sqref="P37">
    <cfRule type="cellIs" dxfId="1775" priority="354" operator="notEqual">
      <formula>$A37</formula>
    </cfRule>
    <cfRule type="cellIs" dxfId="1774" priority="355" operator="equal">
      <formula>"""&lt;&gt;$A6"""</formula>
    </cfRule>
    <cfRule type="cellIs" dxfId="1773" priority="356" operator="equal">
      <formula>"&lt;&gt;$A6"</formula>
    </cfRule>
    <cfRule type="cellIs" dxfId="1772" priority="357" operator="equal">
      <formula>$A37</formula>
    </cfRule>
    <cfRule type="cellIs" dxfId="1771" priority="358" operator="equal">
      <formula>$A37</formula>
    </cfRule>
  </conditionalFormatting>
  <conditionalFormatting sqref="P38:P40">
    <cfRule type="cellIs" dxfId="1770" priority="349" operator="notEqual">
      <formula>$A38</formula>
    </cfRule>
    <cfRule type="cellIs" dxfId="1769" priority="350" operator="equal">
      <formula>"""&lt;&gt;$A6"""</formula>
    </cfRule>
    <cfRule type="cellIs" dxfId="1768" priority="351" operator="equal">
      <formula>"&lt;&gt;$A6"</formula>
    </cfRule>
    <cfRule type="cellIs" dxfId="1767" priority="352" operator="equal">
      <formula>$A38</formula>
    </cfRule>
    <cfRule type="cellIs" dxfId="1766" priority="353" operator="equal">
      <formula>$A38</formula>
    </cfRule>
  </conditionalFormatting>
  <conditionalFormatting sqref="P41">
    <cfRule type="cellIs" dxfId="1765" priority="344" operator="notEqual">
      <formula>$A41</formula>
    </cfRule>
    <cfRule type="cellIs" dxfId="1764" priority="345" operator="equal">
      <formula>"""&lt;&gt;$A6"""</formula>
    </cfRule>
    <cfRule type="cellIs" dxfId="1763" priority="346" operator="equal">
      <formula>"&lt;&gt;$A6"</formula>
    </cfRule>
    <cfRule type="cellIs" dxfId="1762" priority="347" operator="equal">
      <formula>$A41</formula>
    </cfRule>
    <cfRule type="cellIs" dxfId="1761" priority="348" operator="equal">
      <formula>$A41</formula>
    </cfRule>
  </conditionalFormatting>
  <conditionalFormatting sqref="P46">
    <cfRule type="cellIs" dxfId="1760" priority="329" operator="notEqual">
      <formula>$A46</formula>
    </cfRule>
    <cfRule type="cellIs" dxfId="1759" priority="330" operator="equal">
      <formula>"""&lt;&gt;$A6"""</formula>
    </cfRule>
    <cfRule type="cellIs" dxfId="1758" priority="331" operator="equal">
      <formula>"&lt;&gt;$A6"</formula>
    </cfRule>
    <cfRule type="cellIs" dxfId="1757" priority="332" operator="equal">
      <formula>$A46</formula>
    </cfRule>
    <cfRule type="cellIs" dxfId="1756" priority="333" operator="equal">
      <formula>$A46</formula>
    </cfRule>
  </conditionalFormatting>
  <conditionalFormatting sqref="P50:P51">
    <cfRule type="cellIs" dxfId="1755" priority="324" operator="notEqual">
      <formula>$A50</formula>
    </cfRule>
    <cfRule type="cellIs" dxfId="1754" priority="325" operator="equal">
      <formula>"""&lt;&gt;$A6"""</formula>
    </cfRule>
    <cfRule type="cellIs" dxfId="1753" priority="326" operator="equal">
      <formula>"&lt;&gt;$A6"</formula>
    </cfRule>
    <cfRule type="cellIs" dxfId="1752" priority="327" operator="equal">
      <formula>$A50</formula>
    </cfRule>
    <cfRule type="cellIs" dxfId="1751" priority="328" operator="equal">
      <formula>$A50</formula>
    </cfRule>
  </conditionalFormatting>
  <conditionalFormatting sqref="P49">
    <cfRule type="cellIs" dxfId="1750" priority="319" operator="notEqual">
      <formula>$A49</formula>
    </cfRule>
    <cfRule type="cellIs" dxfId="1749" priority="320" operator="equal">
      <formula>"""&lt;&gt;$A6"""</formula>
    </cfRule>
    <cfRule type="cellIs" dxfId="1748" priority="321" operator="equal">
      <formula>"&lt;&gt;$A6"</formula>
    </cfRule>
    <cfRule type="cellIs" dxfId="1747" priority="322" operator="equal">
      <formula>$A49</formula>
    </cfRule>
    <cfRule type="cellIs" dxfId="1746" priority="323" operator="equal">
      <formula>$A49</formula>
    </cfRule>
  </conditionalFormatting>
  <conditionalFormatting sqref="P53:P60">
    <cfRule type="cellIs" dxfId="1745" priority="314" operator="notEqual">
      <formula>$A53</formula>
    </cfRule>
    <cfRule type="cellIs" dxfId="1744" priority="315" operator="equal">
      <formula>"""&lt;&gt;$A6"""</formula>
    </cfRule>
    <cfRule type="cellIs" dxfId="1743" priority="316" operator="equal">
      <formula>"&lt;&gt;$A6"</formula>
    </cfRule>
    <cfRule type="cellIs" dxfId="1742" priority="317" operator="equal">
      <formula>$A53</formula>
    </cfRule>
    <cfRule type="cellIs" dxfId="1741" priority="318" operator="equal">
      <formula>$A53</formula>
    </cfRule>
  </conditionalFormatting>
  <conditionalFormatting sqref="P42:P43">
    <cfRule type="cellIs" dxfId="1740" priority="309" operator="notEqual">
      <formula>$A42</formula>
    </cfRule>
    <cfRule type="cellIs" dxfId="1739" priority="310" operator="equal">
      <formula>"""&lt;&gt;$A6"""</formula>
    </cfRule>
    <cfRule type="cellIs" dxfId="1738" priority="311" operator="equal">
      <formula>"&lt;&gt;$A6"</formula>
    </cfRule>
    <cfRule type="cellIs" dxfId="1737" priority="312" operator="equal">
      <formula>$A42</formula>
    </cfRule>
    <cfRule type="cellIs" dxfId="1736" priority="313" operator="equal">
      <formula>$A42</formula>
    </cfRule>
  </conditionalFormatting>
  <conditionalFormatting sqref="P47">
    <cfRule type="cellIs" dxfId="1735" priority="304" operator="notEqual">
      <formula>$A47</formula>
    </cfRule>
    <cfRule type="cellIs" dxfId="1734" priority="305" operator="equal">
      <formula>"""&lt;&gt;$A6"""</formula>
    </cfRule>
    <cfRule type="cellIs" dxfId="1733" priority="306" operator="equal">
      <formula>"&lt;&gt;$A6"</formula>
    </cfRule>
    <cfRule type="cellIs" dxfId="1732" priority="307" operator="equal">
      <formula>$A47</formula>
    </cfRule>
    <cfRule type="cellIs" dxfId="1731" priority="308" operator="equal">
      <formula>$A47</formula>
    </cfRule>
  </conditionalFormatting>
  <conditionalFormatting sqref="P48">
    <cfRule type="cellIs" dxfId="1730" priority="299" operator="notEqual">
      <formula>$A48</formula>
    </cfRule>
    <cfRule type="cellIs" dxfId="1729" priority="300" operator="equal">
      <formula>"""&lt;&gt;$A6"""</formula>
    </cfRule>
    <cfRule type="cellIs" dxfId="1728" priority="301" operator="equal">
      <formula>"&lt;&gt;$A6"</formula>
    </cfRule>
    <cfRule type="cellIs" dxfId="1727" priority="302" operator="equal">
      <formula>$A48</formula>
    </cfRule>
    <cfRule type="cellIs" dxfId="1726" priority="303" operator="equal">
      <formula>$A48</formula>
    </cfRule>
  </conditionalFormatting>
  <conditionalFormatting sqref="Q9">
    <cfRule type="cellIs" dxfId="1725" priority="284" operator="notEqual">
      <formula>$A9</formula>
    </cfRule>
    <cfRule type="cellIs" dxfId="1724" priority="285" operator="equal">
      <formula>"""&lt;&gt;$A6"""</formula>
    </cfRule>
    <cfRule type="cellIs" dxfId="1723" priority="286" operator="equal">
      <formula>"&lt;&gt;$A6"</formula>
    </cfRule>
    <cfRule type="cellIs" dxfId="1722" priority="287" operator="equal">
      <formula>$A9</formula>
    </cfRule>
    <cfRule type="cellIs" dxfId="1721" priority="288" operator="equal">
      <formula>$A9</formula>
    </cfRule>
  </conditionalFormatting>
  <conditionalFormatting sqref="Q5">
    <cfRule type="cellIs" dxfId="1720" priority="294" operator="notEqual">
      <formula>$A5</formula>
    </cfRule>
    <cfRule type="cellIs" dxfId="1719" priority="295" operator="equal">
      <formula>"""&lt;&gt;$A6"""</formula>
    </cfRule>
    <cfRule type="cellIs" dxfId="1718" priority="296" operator="equal">
      <formula>"&lt;&gt;$A6"</formula>
    </cfRule>
    <cfRule type="cellIs" dxfId="1717" priority="297" operator="equal">
      <formula>$A5</formula>
    </cfRule>
    <cfRule type="cellIs" dxfId="1716" priority="298" operator="equal">
      <formula>$A5</formula>
    </cfRule>
  </conditionalFormatting>
  <conditionalFormatting sqref="Q8">
    <cfRule type="cellIs" dxfId="1715" priority="289" operator="notEqual">
      <formula>$A8</formula>
    </cfRule>
    <cfRule type="cellIs" dxfId="1714" priority="290" operator="equal">
      <formula>"""&lt;&gt;$A6"""</formula>
    </cfRule>
    <cfRule type="cellIs" dxfId="1713" priority="291" operator="equal">
      <formula>"&lt;&gt;$A6"</formula>
    </cfRule>
    <cfRule type="cellIs" dxfId="1712" priority="292" operator="equal">
      <formula>$A8</formula>
    </cfRule>
    <cfRule type="cellIs" dxfId="1711" priority="293" operator="equal">
      <formula>$A8</formula>
    </cfRule>
  </conditionalFormatting>
  <conditionalFormatting sqref="Q10:Q23">
    <cfRule type="cellIs" dxfId="1710" priority="279" operator="notEqual">
      <formula>$A10</formula>
    </cfRule>
    <cfRule type="cellIs" dxfId="1709" priority="280" operator="equal">
      <formula>"""&lt;&gt;$A6"""</formula>
    </cfRule>
    <cfRule type="cellIs" dxfId="1708" priority="281" operator="equal">
      <formula>"&lt;&gt;$A6"</formula>
    </cfRule>
    <cfRule type="cellIs" dxfId="1707" priority="282" operator="equal">
      <formula>$A10</formula>
    </cfRule>
    <cfRule type="cellIs" dxfId="1706" priority="283" operator="equal">
      <formula>$A10</formula>
    </cfRule>
  </conditionalFormatting>
  <conditionalFormatting sqref="Q26">
    <cfRule type="cellIs" dxfId="1705" priority="274" operator="notEqual">
      <formula>$A26</formula>
    </cfRule>
    <cfRule type="cellIs" dxfId="1704" priority="275" operator="equal">
      <formula>"""&lt;&gt;$A6"""</formula>
    </cfRule>
    <cfRule type="cellIs" dxfId="1703" priority="276" operator="equal">
      <formula>"&lt;&gt;$A6"</formula>
    </cfRule>
    <cfRule type="cellIs" dxfId="1702" priority="277" operator="equal">
      <formula>$A26</formula>
    </cfRule>
    <cfRule type="cellIs" dxfId="1701" priority="278" operator="equal">
      <formula>$A26</formula>
    </cfRule>
  </conditionalFormatting>
  <conditionalFormatting sqref="Q36">
    <cfRule type="cellIs" dxfId="1700" priority="269" operator="notEqual">
      <formula>$A36</formula>
    </cfRule>
    <cfRule type="cellIs" dxfId="1699" priority="270" operator="equal">
      <formula>"""&lt;&gt;$A6"""</formula>
    </cfRule>
    <cfRule type="cellIs" dxfId="1698" priority="271" operator="equal">
      <formula>"&lt;&gt;$A6"</formula>
    </cfRule>
    <cfRule type="cellIs" dxfId="1697" priority="272" operator="equal">
      <formula>$A36</formula>
    </cfRule>
    <cfRule type="cellIs" dxfId="1696" priority="273" operator="equal">
      <formula>$A36</formula>
    </cfRule>
  </conditionalFormatting>
  <conditionalFormatting sqref="Q32:Q35">
    <cfRule type="cellIs" dxfId="1695" priority="264" operator="notEqual">
      <formula>$A32</formula>
    </cfRule>
    <cfRule type="cellIs" dxfId="1694" priority="265" operator="equal">
      <formula>"""&lt;&gt;$A6"""</formula>
    </cfRule>
    <cfRule type="cellIs" dxfId="1693" priority="266" operator="equal">
      <formula>"&lt;&gt;$A6"</formula>
    </cfRule>
    <cfRule type="cellIs" dxfId="1692" priority="267" operator="equal">
      <formula>$A32</formula>
    </cfRule>
    <cfRule type="cellIs" dxfId="1691" priority="268" operator="equal">
      <formula>$A32</formula>
    </cfRule>
  </conditionalFormatting>
  <conditionalFormatting sqref="Q37">
    <cfRule type="cellIs" dxfId="1690" priority="259" operator="notEqual">
      <formula>$A37</formula>
    </cfRule>
    <cfRule type="cellIs" dxfId="1689" priority="260" operator="equal">
      <formula>"""&lt;&gt;$A6"""</formula>
    </cfRule>
    <cfRule type="cellIs" dxfId="1688" priority="261" operator="equal">
      <formula>"&lt;&gt;$A6"</formula>
    </cfRule>
    <cfRule type="cellIs" dxfId="1687" priority="262" operator="equal">
      <formula>$A37</formula>
    </cfRule>
    <cfRule type="cellIs" dxfId="1686" priority="263" operator="equal">
      <formula>$A37</formula>
    </cfRule>
  </conditionalFormatting>
  <conditionalFormatting sqref="Q38:Q40">
    <cfRule type="cellIs" dxfId="1685" priority="254" operator="notEqual">
      <formula>$A38</formula>
    </cfRule>
    <cfRule type="cellIs" dxfId="1684" priority="255" operator="equal">
      <formula>"""&lt;&gt;$A6"""</formula>
    </cfRule>
    <cfRule type="cellIs" dxfId="1683" priority="256" operator="equal">
      <formula>"&lt;&gt;$A6"</formula>
    </cfRule>
    <cfRule type="cellIs" dxfId="1682" priority="257" operator="equal">
      <formula>$A38</formula>
    </cfRule>
    <cfRule type="cellIs" dxfId="1681" priority="258" operator="equal">
      <formula>$A38</formula>
    </cfRule>
  </conditionalFormatting>
  <conditionalFormatting sqref="Q41">
    <cfRule type="cellIs" dxfId="1680" priority="249" operator="notEqual">
      <formula>$A41</formula>
    </cfRule>
    <cfRule type="cellIs" dxfId="1679" priority="250" operator="equal">
      <formula>"""&lt;&gt;$A6"""</formula>
    </cfRule>
    <cfRule type="cellIs" dxfId="1678" priority="251" operator="equal">
      <formula>"&lt;&gt;$A6"</formula>
    </cfRule>
    <cfRule type="cellIs" dxfId="1677" priority="252" operator="equal">
      <formula>$A41</formula>
    </cfRule>
    <cfRule type="cellIs" dxfId="1676" priority="253" operator="equal">
      <formula>$A41</formula>
    </cfRule>
  </conditionalFormatting>
  <conditionalFormatting sqref="Q46">
    <cfRule type="cellIs" dxfId="1675" priority="234" operator="notEqual">
      <formula>$A46</formula>
    </cfRule>
    <cfRule type="cellIs" dxfId="1674" priority="235" operator="equal">
      <formula>"""&lt;&gt;$A6"""</formula>
    </cfRule>
    <cfRule type="cellIs" dxfId="1673" priority="236" operator="equal">
      <formula>"&lt;&gt;$A6"</formula>
    </cfRule>
    <cfRule type="cellIs" dxfId="1672" priority="237" operator="equal">
      <formula>$A46</formula>
    </cfRule>
    <cfRule type="cellIs" dxfId="1671" priority="238" operator="equal">
      <formula>$A46</formula>
    </cfRule>
  </conditionalFormatting>
  <conditionalFormatting sqref="Q50:Q51">
    <cfRule type="cellIs" dxfId="1670" priority="229" operator="notEqual">
      <formula>$A50</formula>
    </cfRule>
    <cfRule type="cellIs" dxfId="1669" priority="230" operator="equal">
      <formula>"""&lt;&gt;$A6"""</formula>
    </cfRule>
    <cfRule type="cellIs" dxfId="1668" priority="231" operator="equal">
      <formula>"&lt;&gt;$A6"</formula>
    </cfRule>
    <cfRule type="cellIs" dxfId="1667" priority="232" operator="equal">
      <formula>$A50</formula>
    </cfRule>
    <cfRule type="cellIs" dxfId="1666" priority="233" operator="equal">
      <formula>$A50</formula>
    </cfRule>
  </conditionalFormatting>
  <conditionalFormatting sqref="Q49">
    <cfRule type="cellIs" dxfId="1665" priority="224" operator="notEqual">
      <formula>$A49</formula>
    </cfRule>
    <cfRule type="cellIs" dxfId="1664" priority="225" operator="equal">
      <formula>"""&lt;&gt;$A6"""</formula>
    </cfRule>
    <cfRule type="cellIs" dxfId="1663" priority="226" operator="equal">
      <formula>"&lt;&gt;$A6"</formula>
    </cfRule>
    <cfRule type="cellIs" dxfId="1662" priority="227" operator="equal">
      <formula>$A49</formula>
    </cfRule>
    <cfRule type="cellIs" dxfId="1661" priority="228" operator="equal">
      <formula>$A49</formula>
    </cfRule>
  </conditionalFormatting>
  <conditionalFormatting sqref="Q53:Q60">
    <cfRule type="cellIs" dxfId="1660" priority="219" operator="notEqual">
      <formula>$A53</formula>
    </cfRule>
    <cfRule type="cellIs" dxfId="1659" priority="220" operator="equal">
      <formula>"""&lt;&gt;$A6"""</formula>
    </cfRule>
    <cfRule type="cellIs" dxfId="1658" priority="221" operator="equal">
      <formula>"&lt;&gt;$A6"</formula>
    </cfRule>
    <cfRule type="cellIs" dxfId="1657" priority="222" operator="equal">
      <formula>$A53</formula>
    </cfRule>
    <cfRule type="cellIs" dxfId="1656" priority="223" operator="equal">
      <formula>$A53</formula>
    </cfRule>
  </conditionalFormatting>
  <conditionalFormatting sqref="Q42:Q43">
    <cfRule type="cellIs" dxfId="1655" priority="214" operator="notEqual">
      <formula>$A42</formula>
    </cfRule>
    <cfRule type="cellIs" dxfId="1654" priority="215" operator="equal">
      <formula>"""&lt;&gt;$A6"""</formula>
    </cfRule>
    <cfRule type="cellIs" dxfId="1653" priority="216" operator="equal">
      <formula>"&lt;&gt;$A6"</formula>
    </cfRule>
    <cfRule type="cellIs" dxfId="1652" priority="217" operator="equal">
      <formula>$A42</formula>
    </cfRule>
    <cfRule type="cellIs" dxfId="1651" priority="218" operator="equal">
      <formula>$A42</formula>
    </cfRule>
  </conditionalFormatting>
  <conditionalFormatting sqref="Q47">
    <cfRule type="cellIs" dxfId="1650" priority="209" operator="notEqual">
      <formula>$A47</formula>
    </cfRule>
    <cfRule type="cellIs" dxfId="1649" priority="210" operator="equal">
      <formula>"""&lt;&gt;$A6"""</formula>
    </cfRule>
    <cfRule type="cellIs" dxfId="1648" priority="211" operator="equal">
      <formula>"&lt;&gt;$A6"</formula>
    </cfRule>
    <cfRule type="cellIs" dxfId="1647" priority="212" operator="equal">
      <formula>$A47</formula>
    </cfRule>
    <cfRule type="cellIs" dxfId="1646" priority="213" operator="equal">
      <formula>$A47</formula>
    </cfRule>
  </conditionalFormatting>
  <conditionalFormatting sqref="Q48">
    <cfRule type="cellIs" dxfId="1645" priority="204" operator="notEqual">
      <formula>$A48</formula>
    </cfRule>
    <cfRule type="cellIs" dxfId="1644" priority="205" operator="equal">
      <formula>"""&lt;&gt;$A6"""</formula>
    </cfRule>
    <cfRule type="cellIs" dxfId="1643" priority="206" operator="equal">
      <formula>"&lt;&gt;$A6"</formula>
    </cfRule>
    <cfRule type="cellIs" dxfId="1642" priority="207" operator="equal">
      <formula>$A48</formula>
    </cfRule>
    <cfRule type="cellIs" dxfId="1641" priority="208" operator="equal">
      <formula>$A48</formula>
    </cfRule>
  </conditionalFormatting>
  <conditionalFormatting sqref="R9">
    <cfRule type="cellIs" dxfId="1640" priority="189" operator="notEqual">
      <formula>$A9</formula>
    </cfRule>
    <cfRule type="cellIs" dxfId="1639" priority="190" operator="equal">
      <formula>"""&lt;&gt;$A6"""</formula>
    </cfRule>
    <cfRule type="cellIs" dxfId="1638" priority="191" operator="equal">
      <formula>"&lt;&gt;$A6"</formula>
    </cfRule>
    <cfRule type="cellIs" dxfId="1637" priority="192" operator="equal">
      <formula>$A9</formula>
    </cfRule>
    <cfRule type="cellIs" dxfId="1636" priority="193" operator="equal">
      <formula>$A9</formula>
    </cfRule>
  </conditionalFormatting>
  <conditionalFormatting sqref="R5">
    <cfRule type="cellIs" dxfId="1635" priority="199" operator="notEqual">
      <formula>$A5</formula>
    </cfRule>
    <cfRule type="cellIs" dxfId="1634" priority="200" operator="equal">
      <formula>"""&lt;&gt;$A6"""</formula>
    </cfRule>
    <cfRule type="cellIs" dxfId="1633" priority="201" operator="equal">
      <formula>"&lt;&gt;$A6"</formula>
    </cfRule>
    <cfRule type="cellIs" dxfId="1632" priority="202" operator="equal">
      <formula>$A5</formula>
    </cfRule>
    <cfRule type="cellIs" dxfId="1631" priority="203" operator="equal">
      <formula>$A5</formula>
    </cfRule>
  </conditionalFormatting>
  <conditionalFormatting sqref="R8">
    <cfRule type="cellIs" dxfId="1630" priority="194" operator="notEqual">
      <formula>$A8</formula>
    </cfRule>
    <cfRule type="cellIs" dxfId="1629" priority="195" operator="equal">
      <formula>"""&lt;&gt;$A6"""</formula>
    </cfRule>
    <cfRule type="cellIs" dxfId="1628" priority="196" operator="equal">
      <formula>"&lt;&gt;$A6"</formula>
    </cfRule>
    <cfRule type="cellIs" dxfId="1627" priority="197" operator="equal">
      <formula>$A8</formula>
    </cfRule>
    <cfRule type="cellIs" dxfId="1626" priority="198" operator="equal">
      <formula>$A8</formula>
    </cfRule>
  </conditionalFormatting>
  <conditionalFormatting sqref="R10:R23">
    <cfRule type="cellIs" dxfId="1625" priority="184" operator="notEqual">
      <formula>$A10</formula>
    </cfRule>
    <cfRule type="cellIs" dxfId="1624" priority="185" operator="equal">
      <formula>"""&lt;&gt;$A6"""</formula>
    </cfRule>
    <cfRule type="cellIs" dxfId="1623" priority="186" operator="equal">
      <formula>"&lt;&gt;$A6"</formula>
    </cfRule>
    <cfRule type="cellIs" dxfId="1622" priority="187" operator="equal">
      <formula>$A10</formula>
    </cfRule>
    <cfRule type="cellIs" dxfId="1621" priority="188" operator="equal">
      <formula>$A10</formula>
    </cfRule>
  </conditionalFormatting>
  <conditionalFormatting sqref="R26">
    <cfRule type="cellIs" dxfId="1620" priority="179" operator="notEqual">
      <formula>$A26</formula>
    </cfRule>
    <cfRule type="cellIs" dxfId="1619" priority="180" operator="equal">
      <formula>"""&lt;&gt;$A6"""</formula>
    </cfRule>
    <cfRule type="cellIs" dxfId="1618" priority="181" operator="equal">
      <formula>"&lt;&gt;$A6"</formula>
    </cfRule>
    <cfRule type="cellIs" dxfId="1617" priority="182" operator="equal">
      <formula>$A26</formula>
    </cfRule>
    <cfRule type="cellIs" dxfId="1616" priority="183" operator="equal">
      <formula>$A26</formula>
    </cfRule>
  </conditionalFormatting>
  <conditionalFormatting sqref="R36">
    <cfRule type="cellIs" dxfId="1615" priority="174" operator="notEqual">
      <formula>$A36</formula>
    </cfRule>
    <cfRule type="cellIs" dxfId="1614" priority="175" operator="equal">
      <formula>"""&lt;&gt;$A6"""</formula>
    </cfRule>
    <cfRule type="cellIs" dxfId="1613" priority="176" operator="equal">
      <formula>"&lt;&gt;$A6"</formula>
    </cfRule>
    <cfRule type="cellIs" dxfId="1612" priority="177" operator="equal">
      <formula>$A36</formula>
    </cfRule>
    <cfRule type="cellIs" dxfId="1611" priority="178" operator="equal">
      <formula>$A36</formula>
    </cfRule>
  </conditionalFormatting>
  <conditionalFormatting sqref="R32:R35">
    <cfRule type="cellIs" dxfId="1610" priority="169" operator="notEqual">
      <formula>$A32</formula>
    </cfRule>
    <cfRule type="cellIs" dxfId="1609" priority="170" operator="equal">
      <formula>"""&lt;&gt;$A6"""</formula>
    </cfRule>
    <cfRule type="cellIs" dxfId="1608" priority="171" operator="equal">
      <formula>"&lt;&gt;$A6"</formula>
    </cfRule>
    <cfRule type="cellIs" dxfId="1607" priority="172" operator="equal">
      <formula>$A32</formula>
    </cfRule>
    <cfRule type="cellIs" dxfId="1606" priority="173" operator="equal">
      <formula>$A32</formula>
    </cfRule>
  </conditionalFormatting>
  <conditionalFormatting sqref="R37">
    <cfRule type="cellIs" dxfId="1605" priority="164" operator="notEqual">
      <formula>$A37</formula>
    </cfRule>
    <cfRule type="cellIs" dxfId="1604" priority="165" operator="equal">
      <formula>"""&lt;&gt;$A6"""</formula>
    </cfRule>
    <cfRule type="cellIs" dxfId="1603" priority="166" operator="equal">
      <formula>"&lt;&gt;$A6"</formula>
    </cfRule>
    <cfRule type="cellIs" dxfId="1602" priority="167" operator="equal">
      <formula>$A37</formula>
    </cfRule>
    <cfRule type="cellIs" dxfId="1601" priority="168" operator="equal">
      <formula>$A37</formula>
    </cfRule>
  </conditionalFormatting>
  <conditionalFormatting sqref="R38:R40">
    <cfRule type="cellIs" dxfId="1600" priority="159" operator="notEqual">
      <formula>$A38</formula>
    </cfRule>
    <cfRule type="cellIs" dxfId="1599" priority="160" operator="equal">
      <formula>"""&lt;&gt;$A6"""</formula>
    </cfRule>
    <cfRule type="cellIs" dxfId="1598" priority="161" operator="equal">
      <formula>"&lt;&gt;$A6"</formula>
    </cfRule>
    <cfRule type="cellIs" dxfId="1597" priority="162" operator="equal">
      <formula>$A38</formula>
    </cfRule>
    <cfRule type="cellIs" dxfId="1596" priority="163" operator="equal">
      <formula>$A38</formula>
    </cfRule>
  </conditionalFormatting>
  <conditionalFormatting sqref="R41">
    <cfRule type="cellIs" dxfId="1595" priority="154" operator="notEqual">
      <formula>$A41</formula>
    </cfRule>
    <cfRule type="cellIs" dxfId="1594" priority="155" operator="equal">
      <formula>"""&lt;&gt;$A6"""</formula>
    </cfRule>
    <cfRule type="cellIs" dxfId="1593" priority="156" operator="equal">
      <formula>"&lt;&gt;$A6"</formula>
    </cfRule>
    <cfRule type="cellIs" dxfId="1592" priority="157" operator="equal">
      <formula>$A41</formula>
    </cfRule>
    <cfRule type="cellIs" dxfId="1591" priority="158" operator="equal">
      <formula>$A41</formula>
    </cfRule>
  </conditionalFormatting>
  <conditionalFormatting sqref="R46">
    <cfRule type="cellIs" dxfId="1590" priority="139" operator="notEqual">
      <formula>$A46</formula>
    </cfRule>
    <cfRule type="cellIs" dxfId="1589" priority="140" operator="equal">
      <formula>"""&lt;&gt;$A6"""</formula>
    </cfRule>
    <cfRule type="cellIs" dxfId="1588" priority="141" operator="equal">
      <formula>"&lt;&gt;$A6"</formula>
    </cfRule>
    <cfRule type="cellIs" dxfId="1587" priority="142" operator="equal">
      <formula>$A46</formula>
    </cfRule>
    <cfRule type="cellIs" dxfId="1586" priority="143" operator="equal">
      <formula>$A46</formula>
    </cfRule>
  </conditionalFormatting>
  <conditionalFormatting sqref="R50:R51">
    <cfRule type="cellIs" dxfId="1585" priority="134" operator="notEqual">
      <formula>$A50</formula>
    </cfRule>
    <cfRule type="cellIs" dxfId="1584" priority="135" operator="equal">
      <formula>"""&lt;&gt;$A6"""</formula>
    </cfRule>
    <cfRule type="cellIs" dxfId="1583" priority="136" operator="equal">
      <formula>"&lt;&gt;$A6"</formula>
    </cfRule>
    <cfRule type="cellIs" dxfId="1582" priority="137" operator="equal">
      <formula>$A50</formula>
    </cfRule>
    <cfRule type="cellIs" dxfId="1581" priority="138" operator="equal">
      <formula>$A50</formula>
    </cfRule>
  </conditionalFormatting>
  <conditionalFormatting sqref="R49">
    <cfRule type="cellIs" dxfId="1580" priority="129" operator="notEqual">
      <formula>$A49</formula>
    </cfRule>
    <cfRule type="cellIs" dxfId="1579" priority="130" operator="equal">
      <formula>"""&lt;&gt;$A6"""</formula>
    </cfRule>
    <cfRule type="cellIs" dxfId="1578" priority="131" operator="equal">
      <formula>"&lt;&gt;$A6"</formula>
    </cfRule>
    <cfRule type="cellIs" dxfId="1577" priority="132" operator="equal">
      <formula>$A49</formula>
    </cfRule>
    <cfRule type="cellIs" dxfId="1576" priority="133" operator="equal">
      <formula>$A49</formula>
    </cfRule>
  </conditionalFormatting>
  <conditionalFormatting sqref="R53:R60">
    <cfRule type="cellIs" dxfId="1575" priority="124" operator="notEqual">
      <formula>$A53</formula>
    </cfRule>
    <cfRule type="cellIs" dxfId="1574" priority="125" operator="equal">
      <formula>"""&lt;&gt;$A6"""</formula>
    </cfRule>
    <cfRule type="cellIs" dxfId="1573" priority="126" operator="equal">
      <formula>"&lt;&gt;$A6"</formula>
    </cfRule>
    <cfRule type="cellIs" dxfId="1572" priority="127" operator="equal">
      <formula>$A53</formula>
    </cfRule>
    <cfRule type="cellIs" dxfId="1571" priority="128" operator="equal">
      <formula>$A53</formula>
    </cfRule>
  </conditionalFormatting>
  <conditionalFormatting sqref="R42:R43">
    <cfRule type="cellIs" dxfId="1570" priority="119" operator="notEqual">
      <formula>$A42</formula>
    </cfRule>
    <cfRule type="cellIs" dxfId="1569" priority="120" operator="equal">
      <formula>"""&lt;&gt;$A6"""</formula>
    </cfRule>
    <cfRule type="cellIs" dxfId="1568" priority="121" operator="equal">
      <formula>"&lt;&gt;$A6"</formula>
    </cfRule>
    <cfRule type="cellIs" dxfId="1567" priority="122" operator="equal">
      <formula>$A42</formula>
    </cfRule>
    <cfRule type="cellIs" dxfId="1566" priority="123" operator="equal">
      <formula>$A42</formula>
    </cfRule>
  </conditionalFormatting>
  <conditionalFormatting sqref="R47">
    <cfRule type="cellIs" dxfId="1565" priority="114" operator="notEqual">
      <formula>$A47</formula>
    </cfRule>
    <cfRule type="cellIs" dxfId="1564" priority="115" operator="equal">
      <formula>"""&lt;&gt;$A6"""</formula>
    </cfRule>
    <cfRule type="cellIs" dxfId="1563" priority="116" operator="equal">
      <formula>"&lt;&gt;$A6"</formula>
    </cfRule>
    <cfRule type="cellIs" dxfId="1562" priority="117" operator="equal">
      <formula>$A47</formula>
    </cfRule>
    <cfRule type="cellIs" dxfId="1561" priority="118" operator="equal">
      <formula>$A47</formula>
    </cfRule>
  </conditionalFormatting>
  <conditionalFormatting sqref="R48">
    <cfRule type="cellIs" dxfId="1560" priority="109" operator="notEqual">
      <formula>$A48</formula>
    </cfRule>
    <cfRule type="cellIs" dxfId="1559" priority="110" operator="equal">
      <formula>"""&lt;&gt;$A6"""</formula>
    </cfRule>
    <cfRule type="cellIs" dxfId="1558" priority="111" operator="equal">
      <formula>"&lt;&gt;$A6"</formula>
    </cfRule>
    <cfRule type="cellIs" dxfId="1557" priority="112" operator="equal">
      <formula>$A48</formula>
    </cfRule>
    <cfRule type="cellIs" dxfId="1556" priority="113" operator="equal">
      <formula>$A48</formula>
    </cfRule>
  </conditionalFormatting>
  <conditionalFormatting sqref="S9">
    <cfRule type="cellIs" dxfId="1555" priority="94" operator="notEqual">
      <formula>$A9</formula>
    </cfRule>
    <cfRule type="cellIs" dxfId="1554" priority="95" operator="equal">
      <formula>"""&lt;&gt;$A6"""</formula>
    </cfRule>
    <cfRule type="cellIs" dxfId="1553" priority="96" operator="equal">
      <formula>"&lt;&gt;$A6"</formula>
    </cfRule>
    <cfRule type="cellIs" dxfId="1552" priority="97" operator="equal">
      <formula>$A9</formula>
    </cfRule>
    <cfRule type="cellIs" dxfId="1551" priority="98" operator="equal">
      <formula>$A9</formula>
    </cfRule>
  </conditionalFormatting>
  <conditionalFormatting sqref="S5">
    <cfRule type="cellIs" dxfId="1550" priority="104" operator="notEqual">
      <formula>$A5</formula>
    </cfRule>
    <cfRule type="cellIs" dxfId="1549" priority="105" operator="equal">
      <formula>"""&lt;&gt;$A6"""</formula>
    </cfRule>
    <cfRule type="cellIs" dxfId="1548" priority="106" operator="equal">
      <formula>"&lt;&gt;$A6"</formula>
    </cfRule>
    <cfRule type="cellIs" dxfId="1547" priority="107" operator="equal">
      <formula>$A5</formula>
    </cfRule>
    <cfRule type="cellIs" dxfId="1546" priority="108" operator="equal">
      <formula>$A5</formula>
    </cfRule>
  </conditionalFormatting>
  <conditionalFormatting sqref="S8">
    <cfRule type="cellIs" dxfId="1545" priority="99" operator="notEqual">
      <formula>$A8</formula>
    </cfRule>
    <cfRule type="cellIs" dxfId="1544" priority="100" operator="equal">
      <formula>"""&lt;&gt;$A6"""</formula>
    </cfRule>
    <cfRule type="cellIs" dxfId="1543" priority="101" operator="equal">
      <formula>"&lt;&gt;$A6"</formula>
    </cfRule>
    <cfRule type="cellIs" dxfId="1542" priority="102" operator="equal">
      <formula>$A8</formula>
    </cfRule>
    <cfRule type="cellIs" dxfId="1541" priority="103" operator="equal">
      <formula>$A8</formula>
    </cfRule>
  </conditionalFormatting>
  <conditionalFormatting sqref="S10:S23">
    <cfRule type="cellIs" dxfId="1540" priority="89" operator="notEqual">
      <formula>$A10</formula>
    </cfRule>
    <cfRule type="cellIs" dxfId="1539" priority="90" operator="equal">
      <formula>"""&lt;&gt;$A6"""</formula>
    </cfRule>
    <cfRule type="cellIs" dxfId="1538" priority="91" operator="equal">
      <formula>"&lt;&gt;$A6"</formula>
    </cfRule>
    <cfRule type="cellIs" dxfId="1537" priority="92" operator="equal">
      <formula>$A10</formula>
    </cfRule>
    <cfRule type="cellIs" dxfId="1536" priority="93" operator="equal">
      <formula>$A10</formula>
    </cfRule>
  </conditionalFormatting>
  <conditionalFormatting sqref="S26">
    <cfRule type="cellIs" dxfId="1535" priority="84" operator="notEqual">
      <formula>$A26</formula>
    </cfRule>
    <cfRule type="cellIs" dxfId="1534" priority="85" operator="equal">
      <formula>"""&lt;&gt;$A6"""</formula>
    </cfRule>
    <cfRule type="cellIs" dxfId="1533" priority="86" operator="equal">
      <formula>"&lt;&gt;$A6"</formula>
    </cfRule>
    <cfRule type="cellIs" dxfId="1532" priority="87" operator="equal">
      <formula>$A26</formula>
    </cfRule>
    <cfRule type="cellIs" dxfId="1531" priority="88" operator="equal">
      <formula>$A26</formula>
    </cfRule>
  </conditionalFormatting>
  <conditionalFormatting sqref="S36">
    <cfRule type="cellIs" dxfId="1530" priority="79" operator="notEqual">
      <formula>$A36</formula>
    </cfRule>
    <cfRule type="cellIs" dxfId="1529" priority="80" operator="equal">
      <formula>"""&lt;&gt;$A6"""</formula>
    </cfRule>
    <cfRule type="cellIs" dxfId="1528" priority="81" operator="equal">
      <formula>"&lt;&gt;$A6"</formula>
    </cfRule>
    <cfRule type="cellIs" dxfId="1527" priority="82" operator="equal">
      <formula>$A36</formula>
    </cfRule>
    <cfRule type="cellIs" dxfId="1526" priority="83" operator="equal">
      <formula>$A36</formula>
    </cfRule>
  </conditionalFormatting>
  <conditionalFormatting sqref="S32:S35">
    <cfRule type="cellIs" dxfId="1525" priority="74" operator="notEqual">
      <formula>$A32</formula>
    </cfRule>
    <cfRule type="cellIs" dxfId="1524" priority="75" operator="equal">
      <formula>"""&lt;&gt;$A6"""</formula>
    </cfRule>
    <cfRule type="cellIs" dxfId="1523" priority="76" operator="equal">
      <formula>"&lt;&gt;$A6"</formula>
    </cfRule>
    <cfRule type="cellIs" dxfId="1522" priority="77" operator="equal">
      <formula>$A32</formula>
    </cfRule>
    <cfRule type="cellIs" dxfId="1521" priority="78" operator="equal">
      <formula>$A32</formula>
    </cfRule>
  </conditionalFormatting>
  <conditionalFormatting sqref="S37">
    <cfRule type="cellIs" dxfId="1520" priority="69" operator="notEqual">
      <formula>$A37</formula>
    </cfRule>
    <cfRule type="cellIs" dxfId="1519" priority="70" operator="equal">
      <formula>"""&lt;&gt;$A6"""</formula>
    </cfRule>
    <cfRule type="cellIs" dxfId="1518" priority="71" operator="equal">
      <formula>"&lt;&gt;$A6"</formula>
    </cfRule>
    <cfRule type="cellIs" dxfId="1517" priority="72" operator="equal">
      <formula>$A37</formula>
    </cfRule>
    <cfRule type="cellIs" dxfId="1516" priority="73" operator="equal">
      <formula>$A37</formula>
    </cfRule>
  </conditionalFormatting>
  <conditionalFormatting sqref="S38:S40">
    <cfRule type="cellIs" dxfId="1515" priority="64" operator="notEqual">
      <formula>$A38</formula>
    </cfRule>
    <cfRule type="cellIs" dxfId="1514" priority="65" operator="equal">
      <formula>"""&lt;&gt;$A6"""</formula>
    </cfRule>
    <cfRule type="cellIs" dxfId="1513" priority="66" operator="equal">
      <formula>"&lt;&gt;$A6"</formula>
    </cfRule>
    <cfRule type="cellIs" dxfId="1512" priority="67" operator="equal">
      <formula>$A38</formula>
    </cfRule>
    <cfRule type="cellIs" dxfId="1511" priority="68" operator="equal">
      <formula>$A38</formula>
    </cfRule>
  </conditionalFormatting>
  <conditionalFormatting sqref="S41">
    <cfRule type="cellIs" dxfId="1510" priority="59" operator="notEqual">
      <formula>$A41</formula>
    </cfRule>
    <cfRule type="cellIs" dxfId="1509" priority="60" operator="equal">
      <formula>"""&lt;&gt;$A6"""</formula>
    </cfRule>
    <cfRule type="cellIs" dxfId="1508" priority="61" operator="equal">
      <formula>"&lt;&gt;$A6"</formula>
    </cfRule>
    <cfRule type="cellIs" dxfId="1507" priority="62" operator="equal">
      <formula>$A41</formula>
    </cfRule>
    <cfRule type="cellIs" dxfId="1506" priority="63" operator="equal">
      <formula>$A41</formula>
    </cfRule>
  </conditionalFormatting>
  <conditionalFormatting sqref="S46">
    <cfRule type="cellIs" dxfId="1505" priority="44" operator="notEqual">
      <formula>$A46</formula>
    </cfRule>
    <cfRule type="cellIs" dxfId="1504" priority="45" operator="equal">
      <formula>"""&lt;&gt;$A6"""</formula>
    </cfRule>
    <cfRule type="cellIs" dxfId="1503" priority="46" operator="equal">
      <formula>"&lt;&gt;$A6"</formula>
    </cfRule>
    <cfRule type="cellIs" dxfId="1502" priority="47" operator="equal">
      <formula>$A46</formula>
    </cfRule>
    <cfRule type="cellIs" dxfId="1501" priority="48" operator="equal">
      <formula>$A46</formula>
    </cfRule>
  </conditionalFormatting>
  <conditionalFormatting sqref="S50:S51">
    <cfRule type="cellIs" dxfId="1500" priority="39" operator="notEqual">
      <formula>$A50</formula>
    </cfRule>
    <cfRule type="cellIs" dxfId="1499" priority="40" operator="equal">
      <formula>"""&lt;&gt;$A6"""</formula>
    </cfRule>
    <cfRule type="cellIs" dxfId="1498" priority="41" operator="equal">
      <formula>"&lt;&gt;$A6"</formula>
    </cfRule>
    <cfRule type="cellIs" dxfId="1497" priority="42" operator="equal">
      <formula>$A50</formula>
    </cfRule>
    <cfRule type="cellIs" dxfId="1496" priority="43" operator="equal">
      <formula>$A50</formula>
    </cfRule>
  </conditionalFormatting>
  <conditionalFormatting sqref="S49">
    <cfRule type="cellIs" dxfId="1495" priority="34" operator="notEqual">
      <formula>$A49</formula>
    </cfRule>
    <cfRule type="cellIs" dxfId="1494" priority="35" operator="equal">
      <formula>"""&lt;&gt;$A6"""</formula>
    </cfRule>
    <cfRule type="cellIs" dxfId="1493" priority="36" operator="equal">
      <formula>"&lt;&gt;$A6"</formula>
    </cfRule>
    <cfRule type="cellIs" dxfId="1492" priority="37" operator="equal">
      <formula>$A49</formula>
    </cfRule>
    <cfRule type="cellIs" dxfId="1491" priority="38" operator="equal">
      <formula>$A49</formula>
    </cfRule>
  </conditionalFormatting>
  <conditionalFormatting sqref="S53:S60">
    <cfRule type="cellIs" dxfId="1490" priority="29" operator="notEqual">
      <formula>$A53</formula>
    </cfRule>
    <cfRule type="cellIs" dxfId="1489" priority="30" operator="equal">
      <formula>"""&lt;&gt;$A6"""</formula>
    </cfRule>
    <cfRule type="cellIs" dxfId="1488" priority="31" operator="equal">
      <formula>"&lt;&gt;$A6"</formula>
    </cfRule>
    <cfRule type="cellIs" dxfId="1487" priority="32" operator="equal">
      <formula>$A53</formula>
    </cfRule>
    <cfRule type="cellIs" dxfId="1486" priority="33" operator="equal">
      <formula>$A53</formula>
    </cfRule>
  </conditionalFormatting>
  <conditionalFormatting sqref="S47">
    <cfRule type="cellIs" dxfId="1485" priority="19" operator="notEqual">
      <formula>$A47</formula>
    </cfRule>
    <cfRule type="cellIs" dxfId="1484" priority="20" operator="equal">
      <formula>"""&lt;&gt;$A6"""</formula>
    </cfRule>
    <cfRule type="cellIs" dxfId="1483" priority="21" operator="equal">
      <formula>"&lt;&gt;$A6"</formula>
    </cfRule>
    <cfRule type="cellIs" dxfId="1482" priority="22" operator="equal">
      <formula>$A47</formula>
    </cfRule>
    <cfRule type="cellIs" dxfId="1481" priority="23" operator="equal">
      <formula>$A47</formula>
    </cfRule>
  </conditionalFormatting>
  <conditionalFormatting sqref="D44:S44">
    <cfRule type="cellIs" dxfId="1480" priority="9" operator="notEqual">
      <formula>$A44</formula>
    </cfRule>
    <cfRule type="cellIs" dxfId="1479" priority="10" operator="equal">
      <formula>"""&lt;&gt;$A6"""</formula>
    </cfRule>
    <cfRule type="cellIs" dxfId="1478" priority="11" operator="equal">
      <formula>"&lt;&gt;$A6"</formula>
    </cfRule>
    <cfRule type="cellIs" dxfId="1477" priority="12" operator="equal">
      <formula>$A44</formula>
    </cfRule>
    <cfRule type="cellIs" dxfId="1476" priority="13" operator="equal">
      <formula>$A44</formula>
    </cfRule>
  </conditionalFormatting>
  <conditionalFormatting sqref="D45:S45">
    <cfRule type="cellIs" dxfId="1475" priority="4" operator="notEqual">
      <formula>$A45</formula>
    </cfRule>
    <cfRule type="cellIs" dxfId="1474" priority="5" operator="equal">
      <formula>"""&lt;&gt;$A6"""</formula>
    </cfRule>
    <cfRule type="cellIs" dxfId="1473" priority="6" operator="equal">
      <formula>"&lt;&gt;$A6"</formula>
    </cfRule>
    <cfRule type="cellIs" dxfId="1472" priority="7" operator="equal">
      <formula>$A45</formula>
    </cfRule>
    <cfRule type="cellIs" dxfId="1471" priority="8" operator="equal">
      <formula>$A45</formula>
    </cfRule>
  </conditionalFormatting>
  <conditionalFormatting sqref="C28:D28 C29">
    <cfRule type="cellIs" dxfId="1470" priority="3" operator="notEqual">
      <formula>$A28</formula>
    </cfRule>
  </conditionalFormatting>
  <conditionalFormatting sqref="D29:S29">
    <cfRule type="cellIs" dxfId="1469" priority="2" operator="notEqual">
      <formula>$A29</formula>
    </cfRule>
  </conditionalFormatting>
  <conditionalFormatting sqref="C125:D126">
    <cfRule type="cellIs" dxfId="1468" priority="1" operator="notEqual">
      <formula>$A125</formula>
    </cfRule>
  </conditionalFormatting>
  <dataValidations count="13">
    <dataValidation type="list" allowBlank="1" showInputMessage="1" showErrorMessage="1" sqref="C9:S9" xr:uid="{00000000-0002-0000-0400-000000000000}">
      <formula1>"Maturity Date,First Balloon Payment Date"</formula1>
    </dataValidation>
    <dataValidation type="list" allowBlank="1" showInputMessage="1" showErrorMessage="1" sqref="C36:S36" xr:uid="{00000000-0002-0000-0400-000001000000}">
      <formula1>"Category Yield to WAL + Option Spread,Refinancing Rate"</formula1>
    </dataValidation>
    <dataValidation type="list" allowBlank="1" showInputMessage="1" showErrorMessage="1" sqref="C37:S37" xr:uid="{00000000-0002-0000-0400-000002000000}">
      <formula1>"Refinancing Rate,Category Yield to Maturity"</formula1>
    </dataValidation>
    <dataValidation type="list" allowBlank="1" showInputMessage="1" showErrorMessage="1" sqref="C41:S41" xr:uid="{00000000-0002-0000-0400-000003000000}">
      <formula1>"Coupon Rate,Net Yield,Net Yield At Issue"</formula1>
    </dataValidation>
    <dataValidation type="list" allowBlank="1" showInputMessage="1" showErrorMessage="1" sqref="C44:S44" xr:uid="{00000000-0002-0000-0400-000004000000}">
      <formula1>"USLMS,Andrew Davidson"</formula1>
    </dataValidation>
    <dataValidation type="list" allowBlank="1" showInputMessage="1" showErrorMessage="1" sqref="C46:S46" xr:uid="{00000000-0002-0000-0400-000005000000}">
      <formula1>"Gross Interest Rate,Interest Rate,Net Yield"</formula1>
    </dataValidation>
    <dataValidation type="list" allowBlank="1" showInputMessage="1" showErrorMessage="1" sqref="C55:S55" xr:uid="{00000000-0002-0000-0400-000006000000}">
      <formula1>"Non Convertible,Convertible"</formula1>
    </dataValidation>
    <dataValidation type="list" allowBlank="1" showInputMessage="1" showErrorMessage="1" sqref="C56:S56" xr:uid="{00000000-0002-0000-0400-000007000000}">
      <formula1>"FNMA,GNMA,GNMA2,FHLMC,Whole Loan,RELO,ALT A"</formula1>
    </dataValidation>
    <dataValidation type="list" allowBlank="1" showInputMessage="1" showErrorMessage="1" sqref="C57:S57" xr:uid="{00000000-0002-0000-0400-000008000000}">
      <formula1>"Prime Collateral,Subprime Collateral"</formula1>
    </dataValidation>
    <dataValidation type="list" allowBlank="1" showInputMessage="1" showErrorMessage="1" sqref="C58:S58" xr:uid="{00000000-0002-0000-0400-000009000000}">
      <formula1>"Unknown,Rental,Trailer,Owner"</formula1>
    </dataValidation>
    <dataValidation type="list" allowBlank="1" showInputMessage="1" showErrorMessage="1" sqref="C59:S59" xr:uid="{00000000-0002-0000-0400-00000A000000}">
      <formula1>"Unknown,New,Old"</formula1>
    </dataValidation>
    <dataValidation type="list" allowBlank="1" showInputMessage="1" showErrorMessage="1" sqref="C60:S60" xr:uid="{00000000-0002-0000-0400-00000B000000}">
      <formula1>"Unknown,Single Size,Double Size"</formula1>
    </dataValidation>
    <dataValidation type="list" allowBlank="1" showInputMessage="1" showErrorMessage="1" sqref="C45:S45" xr:uid="{00000000-0002-0000-0400-00000C000000}">
      <formula1>"Absolute Percentage,Percent of PSA"</formula1>
    </dataValidation>
  </dataValidations>
  <hyperlinks>
    <hyperlink ref="A1" location="'Table of Contents'!A1" display="Go to TOC" xr:uid="{00000000-0004-0000-0400-000000000000}"/>
    <hyperlink ref="A141" location="'Table of Contents'!A1" display="Go to TOC" xr:uid="{00000000-0004-0000-0400-000001000000}"/>
    <hyperlink ref="A142" location="Decrements!B42" display="Back to Main" xr:uid="{00000000-0004-0000-0400-000002000000}"/>
    <hyperlink ref="A62" location="'Table of Contents'!A1" display="Go to TOC" xr:uid="{00000000-0004-0000-0400-000003000000}"/>
    <hyperlink ref="A63" location="Decrements!B10" display="Back to Main" xr:uid="{00000000-0004-0000-0400-000004000000}"/>
    <hyperlink ref="A68" location="'Table of Contents'!A1" display="Go to TOC" xr:uid="{00000000-0004-0000-0400-000005000000}"/>
    <hyperlink ref="A69" location="Decrements!B12" display="Back to Main" xr:uid="{00000000-0004-0000-0400-000006000000}"/>
    <hyperlink ref="A74" location="'Table of Contents'!A1" display="Go to TOC" xr:uid="{00000000-0004-0000-0400-000007000000}"/>
    <hyperlink ref="A75" location="Decrements!B13" display="Back to Main" xr:uid="{00000000-0004-0000-0400-000008000000}"/>
    <hyperlink ref="A80" location="'Table of Contents'!A1" display="Go to TOC" xr:uid="{00000000-0004-0000-0400-000009000000}"/>
    <hyperlink ref="A81" location="Decrements!B14" display="Back to Main" xr:uid="{00000000-0004-0000-0400-00000A000000}"/>
    <hyperlink ref="A86" location="'Table of Contents'!A1" display="Go to TOC" xr:uid="{00000000-0004-0000-0400-00000B000000}"/>
    <hyperlink ref="A87" location="Decrements!B16" display="Back to Main" xr:uid="{00000000-0004-0000-0400-00000C000000}"/>
    <hyperlink ref="A92" location="'Table of Contents'!A1" display="Go to TOC" xr:uid="{00000000-0004-0000-0400-00000D000000}"/>
    <hyperlink ref="A93" location="Decrements!B17" display="Back to Main" xr:uid="{00000000-0004-0000-0400-00000E000000}"/>
    <hyperlink ref="A98" location="'Table of Contents'!A1" display="Go to TOC" xr:uid="{00000000-0004-0000-0400-00000F000000}"/>
    <hyperlink ref="A99" location="Decrements!B19" display="Back to Main" xr:uid="{00000000-0004-0000-0400-000010000000}"/>
    <hyperlink ref="A104" location="'Table of Contents'!A1" display="Go to TOC" xr:uid="{00000000-0004-0000-0400-000011000000}"/>
    <hyperlink ref="A105" location="Decrements!B21" display="Back to Main" xr:uid="{00000000-0004-0000-0400-000012000000}"/>
    <hyperlink ref="A110" location="'Table of Contents'!A1" display="Go to TOC" xr:uid="{00000000-0004-0000-0400-000013000000}"/>
    <hyperlink ref="A111" location="Decrements!B22" display="Back to Main" xr:uid="{00000000-0004-0000-0400-000014000000}"/>
    <hyperlink ref="A149" location="'Table of Contents'!A1" display="Go to TOC" xr:uid="{00000000-0004-0000-0400-000015000000}"/>
    <hyperlink ref="A150" location="Decrements!B47" display="Back to Main" xr:uid="{00000000-0004-0000-0400-000016000000}"/>
    <hyperlink ref="A156" location="'Table of Contents'!A1" display="Go to TOC" xr:uid="{00000000-0004-0000-0400-000017000000}"/>
    <hyperlink ref="A157" location="Decrements!B49" display="Back to Main" xr:uid="{00000000-0004-0000-0400-000018000000}"/>
    <hyperlink ref="A162" location="'Table of Contents'!A1" display="Go to TOC" xr:uid="{00000000-0004-0000-0400-000019000000}"/>
    <hyperlink ref="A163" location="Decrements!B50" display="Back to Main" xr:uid="{00000000-0004-0000-0400-00001A000000}"/>
    <hyperlink ref="A178" location="'Table of Contents'!A1" display="Go to TOC" xr:uid="{00000000-0004-0000-0400-00001B000000}"/>
    <hyperlink ref="A179" location="Decrements!B51" display="Back to Main" xr:uid="{00000000-0004-0000-0400-00001C000000}"/>
    <hyperlink ref="B10" location="RefinanceRatePct" display="refinance_rate_pct" xr:uid="{00000000-0004-0000-0400-00001D000000}"/>
    <hyperlink ref="B12" location="RefinanceRateMultSinceIssue" display="refinance_rate_mult_since_issue" xr:uid="{00000000-0004-0000-0400-00001E000000}"/>
    <hyperlink ref="B13" location="RefinanceRateMultBefMaturity" display="refinance_rate_mult_bef_maturity" xr:uid="{00000000-0004-0000-0400-00001F000000}"/>
    <hyperlink ref="B14" location="ForeclosureRatePct" display="foreclosure_rate_pct" xr:uid="{00000000-0004-0000-0400-000020000000}"/>
    <hyperlink ref="B16" location="ForeclosureRateMultMthsSinceIssue" display="foreclosure_rate_mult_since_issue" xr:uid="{00000000-0004-0000-0400-000021000000}"/>
    <hyperlink ref="B17" location="ForeclosureRateMultMthsBefMaturity" display="foreclosure_rate_mult_bef_maturity" xr:uid="{00000000-0004-0000-0400-000022000000}"/>
    <hyperlink ref="B19" location="RestructureRatePct" display="restructure_rate_pct" xr:uid="{00000000-0004-0000-0400-000023000000}"/>
    <hyperlink ref="B21" location="RestructureRateMultMthsSinceIssue" display="restructure_rate_mult_since_issue" xr:uid="{00000000-0004-0000-0400-000024000000}"/>
    <hyperlink ref="B22" location="RestructureRateMultMthsBefMaturity" display="restructure_rate_mult_bef_maturity" xr:uid="{00000000-0004-0000-0400-000025000000}"/>
    <hyperlink ref="B42" location="CallPutExercisePct" display="call_opt_exercise_pct" xr:uid="{00000000-0004-0000-0400-000026000000}"/>
    <hyperlink ref="B43" location="CallPutExercisePct" display="put_opt_exercise_pct" xr:uid="{00000000-0004-0000-0400-000027000000}"/>
    <hyperlink ref="B47" location="PrepmtExercisePct" display="prepmt_exercise_pct" xr:uid="{00000000-0004-0000-0400-000028000000}"/>
    <hyperlink ref="B49" location="PrepmtSeasoningSinceIssueMult" display="prepmt_seasoning_since_issue_mult" xr:uid="{00000000-0004-0000-0400-000029000000}"/>
    <hyperlink ref="B50" location="PrepmtNonfinancialSeasonalityAddn" display="prepmt_nonfinancial_seasonality_addn" xr:uid="{00000000-0004-0000-0400-00002A000000}"/>
    <hyperlink ref="B51" location="PrepmtNonfinancialAdj" display="prepmt_nonfinancial_adj" xr:uid="{00000000-0004-0000-0400-00002B000000}"/>
    <hyperlink ref="A128" location="'Table of Contents'!A1" display="Go to TOC" xr:uid="{00000000-0004-0000-0400-00002C000000}"/>
    <hyperlink ref="A129" location="Decrements!B32" display="Back to Main" xr:uid="{00000000-0004-0000-0400-00002D000000}"/>
    <hyperlink ref="A116" location="'Table of Contents'!A1" display="Go to TOC" xr:uid="{00000000-0004-0000-0400-00002E000000}"/>
    <hyperlink ref="A117" location="Decrements!B26" display="Back to Main" xr:uid="{00000000-0004-0000-0400-00002F000000}"/>
    <hyperlink ref="B26" location="SinkingFundPrinPmtPct" display="sinking_fund_prin_pmt_pct" xr:uid="{00000000-0004-0000-0400-000030000000}"/>
    <hyperlink ref="B32" location="CallPutPricePct" display="call_price_pct" xr:uid="{00000000-0004-0000-0400-000031000000}"/>
    <hyperlink ref="B33" location="CallPutPricePct" display="put_price_pct" xr:uid="{00000000-0004-0000-0400-000032000000}"/>
    <hyperlink ref="A135" location="'Table of Contents'!A1" display="Go to TOC" xr:uid="{00000000-0004-0000-0400-000033000000}"/>
    <hyperlink ref="A136" location="Decrements!B34" display="Back to Main" xr:uid="{00000000-0004-0000-0400-000034000000}"/>
    <hyperlink ref="B34" location="PrepmtPenaltyPct" display="prepmt_penalty_pct" xr:uid="{00000000-0004-0000-0400-000035000000}"/>
    <hyperlink ref="B29" location="BalloonPrinPmtPct" display="balloon_prin_pmt_pct" xr:uid="{00000000-0004-0000-0400-000036000000}"/>
    <hyperlink ref="A122" location="'Table of Contents'!A1" display="Go to TOC" xr:uid="{00000000-0004-0000-0400-000037000000}"/>
    <hyperlink ref="A123" location="Decrements!B29" display="Back to Main" xr:uid="{00000000-0004-0000-0400-000038000000}"/>
  </hyperlink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H18"/>
  <sheetViews>
    <sheetView showGridLines="0" zoomScale="80" zoomScaleNormal="80" workbookViewId="0">
      <selection activeCell="D23" sqref="D23"/>
    </sheetView>
  </sheetViews>
  <sheetFormatPr defaultColWidth="15.54296875" defaultRowHeight="12.5" x14ac:dyDescent="0.25"/>
  <cols>
    <col min="1" max="1" width="14.453125" customWidth="1"/>
    <col min="2" max="2" width="46.453125" customWidth="1"/>
  </cols>
  <sheetData>
    <row r="1" spans="1:3" s="11" customFormat="1" ht="15.5" x14ac:dyDescent="0.25">
      <c r="A1" s="13" t="s">
        <v>9</v>
      </c>
      <c r="B1" s="18" t="s">
        <v>396</v>
      </c>
    </row>
    <row r="2" spans="1:3" s="11" customFormat="1" x14ac:dyDescent="0.25">
      <c r="A2" s="14"/>
    </row>
    <row r="3" spans="1:3" s="11" customFormat="1" ht="13" x14ac:dyDescent="0.25">
      <c r="A3" s="14"/>
      <c r="B3" s="17" t="str">
        <f ca="1">GetNameRange(B4)</f>
        <v>RefinanceForeclosureRestructureInvestments</v>
      </c>
    </row>
    <row r="4" spans="1:3" s="11" customFormat="1" ht="13" x14ac:dyDescent="0.25">
      <c r="A4" s="55"/>
      <c r="B4" s="57" t="s">
        <v>10</v>
      </c>
      <c r="C4" s="42" t="s">
        <v>449</v>
      </c>
    </row>
    <row r="5" spans="1:3" s="11" customFormat="1" ht="13" x14ac:dyDescent="0.25">
      <c r="A5" s="56" t="s">
        <v>8</v>
      </c>
      <c r="B5" s="19" t="s">
        <v>0</v>
      </c>
      <c r="C5" s="24"/>
    </row>
    <row r="6" spans="1:3" s="11" customFormat="1" ht="13" x14ac:dyDescent="0.25">
      <c r="A6" s="20"/>
      <c r="B6" s="59"/>
      <c r="C6" s="60"/>
    </row>
    <row r="7" spans="1:3" s="11" customFormat="1" ht="13" x14ac:dyDescent="0.25">
      <c r="A7" s="20"/>
      <c r="B7" s="59" t="s">
        <v>397</v>
      </c>
      <c r="C7" s="27"/>
    </row>
    <row r="8" spans="1:3" s="11" customFormat="1" x14ac:dyDescent="0.25">
      <c r="A8" s="66" t="s">
        <v>6</v>
      </c>
      <c r="B8" s="92" t="s">
        <v>262</v>
      </c>
      <c r="C8" s="27" t="s">
        <v>6</v>
      </c>
    </row>
    <row r="9" spans="1:3" s="11" customFormat="1" x14ac:dyDescent="0.25">
      <c r="A9" s="66" t="s">
        <v>6</v>
      </c>
      <c r="B9" s="92" t="s">
        <v>264</v>
      </c>
      <c r="C9" s="27" t="s">
        <v>6</v>
      </c>
    </row>
    <row r="10" spans="1:3" s="11" customFormat="1" x14ac:dyDescent="0.25">
      <c r="A10" s="68">
        <v>1</v>
      </c>
      <c r="B10" s="92" t="s">
        <v>267</v>
      </c>
      <c r="C10" s="63">
        <v>1</v>
      </c>
    </row>
    <row r="11" spans="1:3" s="11" customFormat="1" x14ac:dyDescent="0.25">
      <c r="A11" s="68">
        <v>1</v>
      </c>
      <c r="B11" s="92" t="s">
        <v>268</v>
      </c>
      <c r="C11" s="63">
        <v>1</v>
      </c>
    </row>
    <row r="12" spans="1:3" s="11" customFormat="1" x14ac:dyDescent="0.25">
      <c r="A12" s="66" t="s">
        <v>6</v>
      </c>
      <c r="B12" s="92" t="s">
        <v>263</v>
      </c>
      <c r="C12" s="27" t="s">
        <v>6</v>
      </c>
    </row>
    <row r="13" spans="1:3" s="11" customFormat="1" x14ac:dyDescent="0.25">
      <c r="A13" s="68">
        <v>1</v>
      </c>
      <c r="B13" s="92" t="s">
        <v>265</v>
      </c>
      <c r="C13" s="63">
        <v>1</v>
      </c>
    </row>
    <row r="14" spans="1:3" s="11" customFormat="1" x14ac:dyDescent="0.25">
      <c r="A14" s="68">
        <v>1</v>
      </c>
      <c r="B14" s="93" t="s">
        <v>266</v>
      </c>
      <c r="C14" s="94">
        <v>1</v>
      </c>
    </row>
    <row r="15" spans="1:3" s="11" customFormat="1" x14ac:dyDescent="0.25">
      <c r="A15" s="14"/>
    </row>
    <row r="16" spans="1:3" s="11" customFormat="1" x14ac:dyDescent="0.25">
      <c r="A16" s="14"/>
    </row>
    <row r="17" spans="2:8" x14ac:dyDescent="0.25">
      <c r="B17" s="14"/>
      <c r="C17" s="11"/>
      <c r="D17" s="45"/>
      <c r="E17" s="45"/>
      <c r="F17" s="45"/>
      <c r="G17" s="45"/>
      <c r="H17" s="45"/>
    </row>
    <row r="18" spans="2:8" x14ac:dyDescent="0.25">
      <c r="B18" s="14"/>
      <c r="C18" s="11"/>
    </row>
  </sheetData>
  <conditionalFormatting sqref="C8:C14">
    <cfRule type="cellIs" dxfId="1467" priority="6" operator="notEqual">
      <formula>$A8</formula>
    </cfRule>
  </conditionalFormatting>
  <hyperlinks>
    <hyperlink ref="A1" location="'Table of Contents'!A1" display="Go to TOC" xr:uid="{00000000-0004-0000-0500-000000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G8"/>
  <sheetViews>
    <sheetView showGridLines="0" workbookViewId="0">
      <selection activeCell="E28" sqref="E28"/>
    </sheetView>
  </sheetViews>
  <sheetFormatPr defaultColWidth="9.1796875" defaultRowHeight="12.5" x14ac:dyDescent="0.25"/>
  <cols>
    <col min="1" max="1" width="16.453125" customWidth="1"/>
    <col min="2" max="2" width="29.81640625" customWidth="1"/>
    <col min="3" max="3" width="19" customWidth="1"/>
    <col min="4" max="5" width="19.1796875" customWidth="1"/>
    <col min="6" max="6" width="22.81640625" bestFit="1" customWidth="1"/>
    <col min="7" max="7" width="22.54296875" bestFit="1" customWidth="1"/>
    <col min="8" max="8" width="14" bestFit="1" customWidth="1"/>
    <col min="9" max="9" width="12" bestFit="1" customWidth="1"/>
  </cols>
  <sheetData>
    <row r="1" spans="1:7" s="11" customFormat="1" ht="15.5" x14ac:dyDescent="0.25">
      <c r="A1" s="13" t="s">
        <v>9</v>
      </c>
      <c r="B1" s="18" t="s">
        <v>421</v>
      </c>
    </row>
    <row r="2" spans="1:7" s="11" customFormat="1" x14ac:dyDescent="0.25">
      <c r="A2" s="14"/>
    </row>
    <row r="3" spans="1:7" ht="13" x14ac:dyDescent="0.25">
      <c r="A3" s="14"/>
      <c r="B3" s="17" t="str">
        <f ca="1">GetNameRange(B4)</f>
        <v>SecuritizedAssetCashFlows</v>
      </c>
      <c r="C3" s="11"/>
    </row>
    <row r="4" spans="1:7" ht="13" x14ac:dyDescent="0.25">
      <c r="A4" s="14"/>
      <c r="B4" s="57" t="s">
        <v>393</v>
      </c>
      <c r="C4" s="41" t="s">
        <v>441</v>
      </c>
      <c r="D4" s="41" t="s">
        <v>441</v>
      </c>
      <c r="E4" s="41" t="s">
        <v>441</v>
      </c>
      <c r="F4" s="41" t="s">
        <v>441</v>
      </c>
      <c r="G4" s="42" t="s">
        <v>441</v>
      </c>
    </row>
    <row r="5" spans="1:7" ht="13" x14ac:dyDescent="0.25">
      <c r="A5" s="14"/>
      <c r="B5" s="108" t="s">
        <v>422</v>
      </c>
      <c r="C5" s="47" t="s">
        <v>423</v>
      </c>
      <c r="D5" s="47" t="s">
        <v>424</v>
      </c>
      <c r="E5" s="26" t="s">
        <v>425</v>
      </c>
      <c r="F5" s="26" t="s">
        <v>426</v>
      </c>
      <c r="G5" s="24" t="s">
        <v>427</v>
      </c>
    </row>
    <row r="6" spans="1:7" ht="13" x14ac:dyDescent="0.25">
      <c r="A6" s="14"/>
      <c r="B6" s="19" t="s">
        <v>239</v>
      </c>
      <c r="C6" s="26"/>
      <c r="D6" s="26"/>
      <c r="E6" s="26"/>
      <c r="F6" s="26"/>
      <c r="G6" s="24"/>
    </row>
    <row r="7" spans="1:7" x14ac:dyDescent="0.25">
      <c r="A7" s="165">
        <v>0</v>
      </c>
      <c r="B7" s="146">
        <v>1</v>
      </c>
      <c r="C7" s="33">
        <v>0</v>
      </c>
      <c r="D7" s="33">
        <v>0</v>
      </c>
      <c r="E7" s="33">
        <v>0</v>
      </c>
      <c r="F7" s="33">
        <v>0</v>
      </c>
      <c r="G7" s="62">
        <v>0</v>
      </c>
    </row>
    <row r="8" spans="1:7" x14ac:dyDescent="0.25">
      <c r="A8" s="165">
        <v>0</v>
      </c>
      <c r="B8" s="147">
        <v>2958101</v>
      </c>
      <c r="C8" s="166">
        <v>0</v>
      </c>
      <c r="D8" s="166">
        <v>0</v>
      </c>
      <c r="E8" s="166">
        <v>0</v>
      </c>
      <c r="F8" s="166">
        <v>0</v>
      </c>
      <c r="G8" s="167">
        <v>0</v>
      </c>
    </row>
  </sheetData>
  <conditionalFormatting sqref="C7:G8">
    <cfRule type="cellIs" dxfId="1466" priority="1" operator="notEqual">
      <formula>$A7</formula>
    </cfRule>
  </conditionalFormatting>
  <hyperlinks>
    <hyperlink ref="A1" location="'Table of Contents'!A1" display="Go to TOC"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P31"/>
  <sheetViews>
    <sheetView showGridLines="0" zoomScale="80" zoomScaleNormal="80" workbookViewId="0">
      <selection activeCell="F33" sqref="F33"/>
    </sheetView>
  </sheetViews>
  <sheetFormatPr defaultColWidth="15.54296875" defaultRowHeight="12.5" x14ac:dyDescent="0.25"/>
  <cols>
    <col min="1" max="1" width="17.453125" style="14" customWidth="1"/>
    <col min="2" max="2" width="36.453125" style="11" customWidth="1"/>
    <col min="3" max="3" width="16.453125" style="11" customWidth="1"/>
    <col min="4" max="10" width="16.453125" style="11" bestFit="1" customWidth="1"/>
    <col min="11" max="12" width="16.453125" style="11" customWidth="1"/>
    <col min="13" max="13" width="16.453125" style="11" bestFit="1" customWidth="1"/>
    <col min="14" max="16384" width="15.54296875" style="11"/>
  </cols>
  <sheetData>
    <row r="1" spans="1:16" ht="15.5" x14ac:dyDescent="0.25">
      <c r="A1" s="21" t="s">
        <v>9</v>
      </c>
      <c r="B1" s="18" t="s">
        <v>491</v>
      </c>
    </row>
    <row r="3" spans="1:16" ht="13" x14ac:dyDescent="0.25">
      <c r="B3" s="17" t="str">
        <f ca="1">GetNameRange(B4)</f>
        <v>AssetSubPorts</v>
      </c>
    </row>
    <row r="4" spans="1:16" ht="13" x14ac:dyDescent="0.25">
      <c r="A4" s="55"/>
      <c r="B4" s="57" t="s">
        <v>10</v>
      </c>
      <c r="C4" s="139" t="s">
        <v>449</v>
      </c>
    </row>
    <row r="5" spans="1:16" ht="13" x14ac:dyDescent="0.25">
      <c r="A5" s="56" t="s">
        <v>8</v>
      </c>
      <c r="B5" s="19" t="s">
        <v>0</v>
      </c>
      <c r="C5" s="26"/>
    </row>
    <row r="6" spans="1:16" ht="13" x14ac:dyDescent="0.25">
      <c r="A6" s="20"/>
      <c r="B6" s="59"/>
      <c r="C6" s="109"/>
    </row>
    <row r="7" spans="1:16" ht="13" x14ac:dyDescent="0.25">
      <c r="A7" s="20"/>
      <c r="B7" s="59" t="s">
        <v>492</v>
      </c>
      <c r="C7" s="109"/>
    </row>
    <row r="8" spans="1:16" x14ac:dyDescent="0.25">
      <c r="A8" s="66" t="s">
        <v>6</v>
      </c>
      <c r="B8" s="92" t="s">
        <v>494</v>
      </c>
      <c r="C8" s="224" t="str">
        <f>C15&amp;","&amp;D15&amp;","&amp;E15&amp;","&amp;F15&amp;","&amp;G15&amp;","&amp;H15&amp;","&amp;I15&amp;","&amp;J15&amp;","&amp;K15&amp;","&amp;L15&amp;","&amp;M15&amp;","&amp;N15&amp;","&amp;O15&amp;","&amp;P15</f>
        <v>PC_A,PC_AA,PC_AAA,PC_B,PC_BB,PC_BBB,PC_CCC,CML,RML,PrivCorp_A,PrivCorp_AA,PrivCorp_AAA,PrivCorp_BB,PrivCorp_BBB</v>
      </c>
    </row>
    <row r="9" spans="1:16" x14ac:dyDescent="0.25">
      <c r="A9" s="66" t="s">
        <v>36</v>
      </c>
      <c r="B9" s="92" t="s">
        <v>495</v>
      </c>
      <c r="C9" s="25" t="s">
        <v>36</v>
      </c>
    </row>
    <row r="10" spans="1:16" x14ac:dyDescent="0.25">
      <c r="B10" s="58"/>
    </row>
    <row r="11" spans="1:16" ht="13" x14ac:dyDescent="0.25">
      <c r="B11" s="59" t="s">
        <v>493</v>
      </c>
    </row>
    <row r="12" spans="1:16" x14ac:dyDescent="0.25">
      <c r="B12" s="96" t="s">
        <v>369</v>
      </c>
      <c r="C12" s="169" t="s">
        <v>369</v>
      </c>
    </row>
    <row r="14" spans="1:16" ht="13" x14ac:dyDescent="0.25">
      <c r="A14" s="78" t="s">
        <v>9</v>
      </c>
      <c r="B14" s="17" t="str">
        <f ca="1">GetNameRange(B15)</f>
        <v>AssetSubPortDefn</v>
      </c>
    </row>
    <row r="15" spans="1:16" ht="13" x14ac:dyDescent="0.3">
      <c r="A15" s="78" t="s">
        <v>368</v>
      </c>
      <c r="B15" s="100" t="s">
        <v>496</v>
      </c>
      <c r="C15" s="101" t="s">
        <v>609</v>
      </c>
      <c r="D15" s="101" t="s">
        <v>613</v>
      </c>
      <c r="E15" s="101" t="s">
        <v>612</v>
      </c>
      <c r="F15" s="101" t="s">
        <v>616</v>
      </c>
      <c r="G15" s="101" t="s">
        <v>615</v>
      </c>
      <c r="H15" s="101" t="s">
        <v>610</v>
      </c>
      <c r="I15" s="101" t="s">
        <v>647</v>
      </c>
      <c r="J15" s="101" t="s">
        <v>611</v>
      </c>
      <c r="K15" s="101" t="s">
        <v>617</v>
      </c>
      <c r="L15" s="101" t="s">
        <v>673</v>
      </c>
      <c r="M15" s="101" t="s">
        <v>1091</v>
      </c>
      <c r="N15" s="101" t="s">
        <v>1092</v>
      </c>
      <c r="O15" s="101" t="s">
        <v>1093</v>
      </c>
      <c r="P15" s="101" t="s">
        <v>674</v>
      </c>
    </row>
    <row r="16" spans="1:16" ht="13" x14ac:dyDescent="0.25">
      <c r="A16" s="20"/>
      <c r="B16" s="102" t="s">
        <v>0</v>
      </c>
      <c r="C16" s="26"/>
      <c r="D16" s="26"/>
      <c r="E16" s="26"/>
      <c r="F16" s="26"/>
      <c r="G16" s="26"/>
      <c r="H16" s="26"/>
      <c r="I16" s="26"/>
      <c r="J16" s="26"/>
      <c r="K16" s="26"/>
      <c r="L16" s="26"/>
      <c r="M16" s="26"/>
      <c r="N16" s="26"/>
      <c r="O16" s="26"/>
      <c r="P16" s="26"/>
    </row>
    <row r="17" spans="1:16" x14ac:dyDescent="0.25">
      <c r="A17" s="66" t="s">
        <v>46</v>
      </c>
      <c r="B17" s="103" t="s">
        <v>497</v>
      </c>
      <c r="C17" s="204" t="s">
        <v>46</v>
      </c>
      <c r="D17" s="204" t="s">
        <v>46</v>
      </c>
      <c r="E17" s="204" t="s">
        <v>46</v>
      </c>
      <c r="F17" s="204" t="s">
        <v>46</v>
      </c>
      <c r="G17" s="204" t="s">
        <v>46</v>
      </c>
      <c r="H17" s="204" t="s">
        <v>46</v>
      </c>
      <c r="I17" s="204" t="s">
        <v>46</v>
      </c>
      <c r="J17" s="204" t="s">
        <v>481</v>
      </c>
      <c r="K17" s="204" t="s">
        <v>481</v>
      </c>
      <c r="L17" s="204" t="s">
        <v>46</v>
      </c>
      <c r="M17" s="204" t="s">
        <v>46</v>
      </c>
      <c r="N17" s="204" t="s">
        <v>46</v>
      </c>
      <c r="O17" s="204" t="s">
        <v>46</v>
      </c>
      <c r="P17" s="204" t="s">
        <v>46</v>
      </c>
    </row>
    <row r="18" spans="1:16" x14ac:dyDescent="0.25">
      <c r="A18" s="66" t="s">
        <v>48</v>
      </c>
      <c r="B18" s="103" t="s">
        <v>498</v>
      </c>
      <c r="C18" s="204" t="s">
        <v>48</v>
      </c>
      <c r="D18" s="204" t="s">
        <v>48</v>
      </c>
      <c r="E18" s="204" t="s">
        <v>48</v>
      </c>
      <c r="F18" s="204" t="s">
        <v>48</v>
      </c>
      <c r="G18" s="204" t="s">
        <v>48</v>
      </c>
      <c r="H18" s="204" t="s">
        <v>48</v>
      </c>
      <c r="I18" s="204" t="s">
        <v>48</v>
      </c>
      <c r="J18" s="204" t="s">
        <v>48</v>
      </c>
      <c r="K18" s="204" t="s">
        <v>48</v>
      </c>
      <c r="L18" s="204" t="s">
        <v>48</v>
      </c>
      <c r="M18" s="204" t="s">
        <v>48</v>
      </c>
      <c r="N18" s="204" t="s">
        <v>48</v>
      </c>
      <c r="O18" s="204" t="s">
        <v>48</v>
      </c>
      <c r="P18" s="204" t="s">
        <v>48</v>
      </c>
    </row>
    <row r="19" spans="1:16" x14ac:dyDescent="0.25">
      <c r="A19" s="66" t="s">
        <v>49</v>
      </c>
      <c r="B19" s="103" t="s">
        <v>499</v>
      </c>
      <c r="C19" s="204" t="s">
        <v>457</v>
      </c>
      <c r="D19" s="204" t="s">
        <v>468</v>
      </c>
      <c r="E19" s="204" t="s">
        <v>469</v>
      </c>
      <c r="F19" s="204" t="s">
        <v>470</v>
      </c>
      <c r="G19" s="204" t="s">
        <v>614</v>
      </c>
      <c r="H19" s="204" t="s">
        <v>608</v>
      </c>
      <c r="I19" s="204" t="s">
        <v>648</v>
      </c>
      <c r="J19" s="204" t="s">
        <v>611</v>
      </c>
      <c r="K19" s="204" t="s">
        <v>617</v>
      </c>
      <c r="L19" s="204" t="s">
        <v>457</v>
      </c>
      <c r="M19" s="204" t="s">
        <v>468</v>
      </c>
      <c r="N19" s="204" t="s">
        <v>469</v>
      </c>
      <c r="O19" s="204" t="s">
        <v>614</v>
      </c>
      <c r="P19" s="204" t="s">
        <v>608</v>
      </c>
    </row>
    <row r="20" spans="1:16" x14ac:dyDescent="0.25">
      <c r="A20" s="66" t="s">
        <v>50</v>
      </c>
      <c r="B20" s="103" t="s">
        <v>500</v>
      </c>
      <c r="C20" s="204" t="s">
        <v>482</v>
      </c>
      <c r="D20" s="204" t="s">
        <v>482</v>
      </c>
      <c r="E20" s="204" t="s">
        <v>482</v>
      </c>
      <c r="F20" s="204" t="s">
        <v>482</v>
      </c>
      <c r="G20" s="204" t="s">
        <v>482</v>
      </c>
      <c r="H20" s="204" t="s">
        <v>482</v>
      </c>
      <c r="I20" s="204" t="s">
        <v>482</v>
      </c>
      <c r="J20" s="204" t="s">
        <v>482</v>
      </c>
      <c r="K20" s="204" t="s">
        <v>482</v>
      </c>
      <c r="L20" s="204" t="s">
        <v>482</v>
      </c>
      <c r="M20" s="204" t="s">
        <v>482</v>
      </c>
      <c r="N20" s="204" t="s">
        <v>482</v>
      </c>
      <c r="O20" s="204" t="s">
        <v>482</v>
      </c>
      <c r="P20" s="204" t="s">
        <v>482</v>
      </c>
    </row>
    <row r="21" spans="1:16" x14ac:dyDescent="0.25">
      <c r="A21" s="67">
        <v>0</v>
      </c>
      <c r="B21" s="103" t="s">
        <v>501</v>
      </c>
      <c r="C21" s="203">
        <v>0</v>
      </c>
      <c r="D21" s="203">
        <v>0</v>
      </c>
      <c r="E21" s="203">
        <v>0</v>
      </c>
      <c r="F21" s="203">
        <v>0</v>
      </c>
      <c r="G21" s="203">
        <v>0</v>
      </c>
      <c r="H21" s="203">
        <v>0</v>
      </c>
      <c r="I21" s="203">
        <v>0</v>
      </c>
      <c r="J21" s="203">
        <v>0</v>
      </c>
      <c r="K21" s="203">
        <v>0</v>
      </c>
      <c r="L21" s="203">
        <v>0</v>
      </c>
      <c r="M21" s="203">
        <v>0</v>
      </c>
      <c r="N21" s="203">
        <v>0</v>
      </c>
      <c r="O21" s="203">
        <v>0</v>
      </c>
      <c r="P21" s="203">
        <v>0</v>
      </c>
    </row>
    <row r="22" spans="1:16" x14ac:dyDescent="0.25">
      <c r="A22" s="67">
        <v>999</v>
      </c>
      <c r="B22" s="103" t="s">
        <v>502</v>
      </c>
      <c r="C22" s="203">
        <v>999</v>
      </c>
      <c r="D22" s="203">
        <v>999</v>
      </c>
      <c r="E22" s="203">
        <v>999</v>
      </c>
      <c r="F22" s="203">
        <v>999</v>
      </c>
      <c r="G22" s="203">
        <v>999</v>
      </c>
      <c r="H22" s="203">
        <v>999</v>
      </c>
      <c r="I22" s="203">
        <v>999</v>
      </c>
      <c r="J22" s="203">
        <v>999</v>
      </c>
      <c r="K22" s="203">
        <v>999</v>
      </c>
      <c r="L22" s="203">
        <v>999</v>
      </c>
      <c r="M22" s="203">
        <v>999</v>
      </c>
      <c r="N22" s="203">
        <v>999</v>
      </c>
      <c r="O22" s="203">
        <v>999</v>
      </c>
      <c r="P22" s="203">
        <v>999</v>
      </c>
    </row>
    <row r="23" spans="1:16" x14ac:dyDescent="0.25">
      <c r="A23" s="68">
        <v>0</v>
      </c>
      <c r="B23" s="103" t="s">
        <v>503</v>
      </c>
      <c r="C23" s="206">
        <v>0</v>
      </c>
      <c r="D23" s="206">
        <v>0</v>
      </c>
      <c r="E23" s="206">
        <v>0</v>
      </c>
      <c r="F23" s="206">
        <v>0</v>
      </c>
      <c r="G23" s="206">
        <v>0</v>
      </c>
      <c r="H23" s="206">
        <v>0</v>
      </c>
      <c r="I23" s="206">
        <v>0</v>
      </c>
      <c r="J23" s="206">
        <v>0</v>
      </c>
      <c r="K23" s="206">
        <v>0</v>
      </c>
      <c r="L23" s="206">
        <v>0</v>
      </c>
      <c r="M23" s="206">
        <v>0</v>
      </c>
      <c r="N23" s="206">
        <v>0</v>
      </c>
      <c r="O23" s="206">
        <v>0</v>
      </c>
      <c r="P23" s="206">
        <v>0</v>
      </c>
    </row>
    <row r="24" spans="1:16" x14ac:dyDescent="0.25">
      <c r="A24" s="66" t="s">
        <v>41</v>
      </c>
      <c r="B24" s="103" t="s">
        <v>504</v>
      </c>
      <c r="C24" s="204" t="s">
        <v>5</v>
      </c>
      <c r="D24" s="204" t="s">
        <v>5</v>
      </c>
      <c r="E24" s="204" t="s">
        <v>5</v>
      </c>
      <c r="F24" s="204" t="s">
        <v>5</v>
      </c>
      <c r="G24" s="204" t="s">
        <v>5</v>
      </c>
      <c r="H24" s="204" t="s">
        <v>5</v>
      </c>
      <c r="I24" s="204" t="s">
        <v>5</v>
      </c>
      <c r="J24" s="204" t="s">
        <v>5</v>
      </c>
      <c r="K24" s="204" t="s">
        <v>5</v>
      </c>
      <c r="L24" s="204" t="s">
        <v>5</v>
      </c>
      <c r="M24" s="204" t="s">
        <v>5</v>
      </c>
      <c r="N24" s="204" t="s">
        <v>5</v>
      </c>
      <c r="O24" s="204" t="s">
        <v>5</v>
      </c>
      <c r="P24" s="204" t="s">
        <v>5</v>
      </c>
    </row>
    <row r="25" spans="1:16" x14ac:dyDescent="0.25">
      <c r="A25" s="66">
        <v>0</v>
      </c>
      <c r="B25" s="103" t="s">
        <v>505</v>
      </c>
      <c r="C25" s="204">
        <v>1</v>
      </c>
      <c r="D25" s="204">
        <v>1</v>
      </c>
      <c r="E25" s="204">
        <v>1</v>
      </c>
      <c r="F25" s="204">
        <v>1</v>
      </c>
      <c r="G25" s="204">
        <v>1</v>
      </c>
      <c r="H25" s="204">
        <v>1</v>
      </c>
      <c r="I25" s="204">
        <v>1</v>
      </c>
      <c r="J25" s="204">
        <v>1</v>
      </c>
      <c r="K25" s="204">
        <v>1</v>
      </c>
      <c r="L25" s="204">
        <v>1</v>
      </c>
      <c r="M25" s="204">
        <v>1</v>
      </c>
      <c r="N25" s="204">
        <v>1</v>
      </c>
      <c r="O25" s="204">
        <v>1</v>
      </c>
      <c r="P25" s="204">
        <v>1</v>
      </c>
    </row>
    <row r="26" spans="1:16" x14ac:dyDescent="0.25">
      <c r="A26" s="69">
        <v>1</v>
      </c>
      <c r="B26" s="103" t="s">
        <v>506</v>
      </c>
      <c r="C26" s="207">
        <v>1</v>
      </c>
      <c r="D26" s="207">
        <v>1</v>
      </c>
      <c r="E26" s="207">
        <v>1</v>
      </c>
      <c r="F26" s="207">
        <v>1</v>
      </c>
      <c r="G26" s="207">
        <v>1</v>
      </c>
      <c r="H26" s="207">
        <v>1</v>
      </c>
      <c r="I26" s="207">
        <v>1</v>
      </c>
      <c r="J26" s="207">
        <v>1</v>
      </c>
      <c r="K26" s="207">
        <v>1</v>
      </c>
      <c r="L26" s="207">
        <v>1</v>
      </c>
      <c r="M26" s="207">
        <v>1</v>
      </c>
      <c r="N26" s="207">
        <v>1</v>
      </c>
      <c r="O26" s="207">
        <v>1</v>
      </c>
      <c r="P26" s="207">
        <v>1</v>
      </c>
    </row>
    <row r="27" spans="1:16" x14ac:dyDescent="0.25">
      <c r="A27" s="69">
        <v>1</v>
      </c>
      <c r="B27" s="103" t="s">
        <v>507</v>
      </c>
      <c r="C27" s="207">
        <v>1</v>
      </c>
      <c r="D27" s="207">
        <v>1</v>
      </c>
      <c r="E27" s="207">
        <v>1</v>
      </c>
      <c r="F27" s="207">
        <v>1</v>
      </c>
      <c r="G27" s="207">
        <v>1</v>
      </c>
      <c r="H27" s="207">
        <v>1</v>
      </c>
      <c r="I27" s="207">
        <v>1</v>
      </c>
      <c r="J27" s="207">
        <v>1</v>
      </c>
      <c r="K27" s="207">
        <v>1</v>
      </c>
      <c r="L27" s="207">
        <v>1</v>
      </c>
      <c r="M27" s="207">
        <v>1</v>
      </c>
      <c r="N27" s="207">
        <v>1</v>
      </c>
      <c r="O27" s="207">
        <v>1</v>
      </c>
      <c r="P27" s="207">
        <v>1</v>
      </c>
    </row>
    <row r="28" spans="1:16" x14ac:dyDescent="0.25">
      <c r="A28" s="69">
        <v>0</v>
      </c>
      <c r="B28" s="103" t="s">
        <v>508</v>
      </c>
      <c r="C28" s="207">
        <v>0</v>
      </c>
      <c r="D28" s="207">
        <v>0</v>
      </c>
      <c r="E28" s="207">
        <v>0</v>
      </c>
      <c r="F28" s="207">
        <v>0</v>
      </c>
      <c r="G28" s="207">
        <v>0</v>
      </c>
      <c r="H28" s="207">
        <v>0</v>
      </c>
      <c r="I28" s="207">
        <v>0</v>
      </c>
      <c r="J28" s="207">
        <v>0</v>
      </c>
      <c r="K28" s="207">
        <v>0</v>
      </c>
      <c r="L28" s="207">
        <v>0</v>
      </c>
      <c r="M28" s="207">
        <v>0</v>
      </c>
      <c r="N28" s="207">
        <v>0</v>
      </c>
      <c r="O28" s="207">
        <v>0</v>
      </c>
      <c r="P28" s="207">
        <v>0</v>
      </c>
    </row>
    <row r="29" spans="1:16" x14ac:dyDescent="0.25">
      <c r="A29" s="69">
        <v>0</v>
      </c>
      <c r="B29" s="103" t="s">
        <v>509</v>
      </c>
      <c r="C29" s="229">
        <v>2.7000000000000001E-3</v>
      </c>
      <c r="D29" s="229">
        <v>2.7000000000000001E-3</v>
      </c>
      <c r="E29" s="229">
        <v>2.7000000000000001E-3</v>
      </c>
      <c r="F29" s="229">
        <v>2.7000000000000001E-3</v>
      </c>
      <c r="G29" s="229">
        <v>2.7000000000000001E-3</v>
      </c>
      <c r="H29" s="229">
        <v>2.7000000000000001E-3</v>
      </c>
      <c r="I29" s="229">
        <v>2.7000000000000001E-3</v>
      </c>
      <c r="J29" s="229">
        <v>2.7000000000000001E-3</v>
      </c>
      <c r="K29" s="229">
        <v>2.7000000000000001E-3</v>
      </c>
      <c r="L29" s="229">
        <v>2.7000000000000001E-3</v>
      </c>
      <c r="M29" s="229">
        <v>2.7000000000000001E-3</v>
      </c>
      <c r="N29" s="229">
        <v>2.7000000000000001E-3</v>
      </c>
      <c r="O29" s="229">
        <v>2.7000000000000001E-3</v>
      </c>
      <c r="P29" s="229">
        <v>2.7000000000000001E-3</v>
      </c>
    </row>
    <row r="30" spans="1:16" x14ac:dyDescent="0.25">
      <c r="A30" s="66" t="s">
        <v>52</v>
      </c>
      <c r="B30" s="104" t="s">
        <v>510</v>
      </c>
      <c r="C30" s="204" t="s">
        <v>52</v>
      </c>
      <c r="D30" s="204" t="s">
        <v>52</v>
      </c>
      <c r="E30" s="204" t="s">
        <v>52</v>
      </c>
      <c r="F30" s="204" t="s">
        <v>52</v>
      </c>
      <c r="G30" s="204" t="s">
        <v>52</v>
      </c>
      <c r="H30" s="204" t="s">
        <v>52</v>
      </c>
      <c r="I30" s="204" t="s">
        <v>52</v>
      </c>
      <c r="J30" s="204" t="s">
        <v>52</v>
      </c>
      <c r="K30" s="204" t="s">
        <v>52</v>
      </c>
      <c r="L30" s="204" t="s">
        <v>52</v>
      </c>
      <c r="M30" s="204" t="s">
        <v>52</v>
      </c>
      <c r="N30" s="204" t="s">
        <v>52</v>
      </c>
      <c r="O30" s="204" t="s">
        <v>52</v>
      </c>
      <c r="P30" s="204" t="s">
        <v>52</v>
      </c>
    </row>
    <row r="31" spans="1:16" x14ac:dyDescent="0.25">
      <c r="A31" s="66" t="s">
        <v>51</v>
      </c>
      <c r="B31" s="105" t="s">
        <v>511</v>
      </c>
      <c r="C31" s="205" t="s">
        <v>51</v>
      </c>
      <c r="D31" s="205" t="s">
        <v>51</v>
      </c>
      <c r="E31" s="205" t="s">
        <v>51</v>
      </c>
      <c r="F31" s="205" t="s">
        <v>51</v>
      </c>
      <c r="G31" s="205" t="s">
        <v>51</v>
      </c>
      <c r="H31" s="205" t="s">
        <v>51</v>
      </c>
      <c r="I31" s="205" t="s">
        <v>51</v>
      </c>
      <c r="J31" s="205" t="s">
        <v>51</v>
      </c>
      <c r="K31" s="205" t="s">
        <v>51</v>
      </c>
      <c r="L31" s="205" t="s">
        <v>51</v>
      </c>
      <c r="M31" s="205" t="s">
        <v>51</v>
      </c>
      <c r="N31" s="205" t="s">
        <v>51</v>
      </c>
      <c r="O31" s="205" t="s">
        <v>51</v>
      </c>
      <c r="P31" s="205" t="s">
        <v>51</v>
      </c>
    </row>
  </sheetData>
  <conditionalFormatting sqref="C21:C28 C17:C18 C24:J24 M30:O31 M17:O28 C29:P29">
    <cfRule type="cellIs" dxfId="1465" priority="566" operator="notEqual">
      <formula>$A17</formula>
    </cfRule>
    <cfRule type="cellIs" dxfId="1464" priority="567" operator="equal">
      <formula>"""&lt;&gt;$A6"""</formula>
    </cfRule>
    <cfRule type="cellIs" dxfId="1463" priority="568" operator="equal">
      <formula>"&lt;&gt;$A6"</formula>
    </cfRule>
    <cfRule type="cellIs" dxfId="1462" priority="569" operator="equal">
      <formula>$A17</formula>
    </cfRule>
    <cfRule type="cellIs" dxfId="1461" priority="570" operator="equal">
      <formula>$A17</formula>
    </cfRule>
  </conditionalFormatting>
  <conditionalFormatting sqref="C30:C31">
    <cfRule type="cellIs" dxfId="1460" priority="561" operator="notEqual">
      <formula>$A30</formula>
    </cfRule>
    <cfRule type="cellIs" dxfId="1459" priority="562" operator="equal">
      <formula>"""&lt;&gt;$A6"""</formula>
    </cfRule>
    <cfRule type="cellIs" dxfId="1458" priority="563" operator="equal">
      <formula>"&lt;&gt;$A6"</formula>
    </cfRule>
    <cfRule type="cellIs" dxfId="1457" priority="564" operator="equal">
      <formula>$A30</formula>
    </cfRule>
    <cfRule type="cellIs" dxfId="1456" priority="565" operator="equal">
      <formula>$A30</formula>
    </cfRule>
  </conditionalFormatting>
  <conditionalFormatting sqref="C9">
    <cfRule type="cellIs" dxfId="1455" priority="406" operator="notEqual">
      <formula>$A9</formula>
    </cfRule>
    <cfRule type="cellIs" dxfId="1454" priority="407" operator="equal">
      <formula>"""&lt;&gt;$A6"""</formula>
    </cfRule>
    <cfRule type="cellIs" dxfId="1453" priority="408" operator="equal">
      <formula>"&lt;&gt;$A6"</formula>
    </cfRule>
    <cfRule type="cellIs" dxfId="1452" priority="409" operator="equal">
      <formula>$A9</formula>
    </cfRule>
    <cfRule type="cellIs" dxfId="1451" priority="410" operator="equal">
      <formula>$A9</formula>
    </cfRule>
  </conditionalFormatting>
  <conditionalFormatting sqref="C8">
    <cfRule type="cellIs" dxfId="1450" priority="401" operator="notEqual">
      <formula>$A8</formula>
    </cfRule>
    <cfRule type="cellIs" dxfId="1449" priority="402" operator="equal">
      <formula>"""&lt;&gt;$A6"""</formula>
    </cfRule>
    <cfRule type="cellIs" dxfId="1448" priority="403" operator="equal">
      <formula>"&lt;&gt;$A6"</formula>
    </cfRule>
    <cfRule type="cellIs" dxfId="1447" priority="404" operator="equal">
      <formula>$A8</formula>
    </cfRule>
    <cfRule type="cellIs" dxfId="1446" priority="405" operator="equal">
      <formula>$A8</formula>
    </cfRule>
  </conditionalFormatting>
  <conditionalFormatting sqref="C20">
    <cfRule type="cellIs" dxfId="1445" priority="396" operator="notEqual">
      <formula>$A20</formula>
    </cfRule>
    <cfRule type="cellIs" dxfId="1444" priority="397" operator="equal">
      <formula>"""&lt;&gt;$A6"""</formula>
    </cfRule>
    <cfRule type="cellIs" dxfId="1443" priority="398" operator="equal">
      <formula>"&lt;&gt;$A6"</formula>
    </cfRule>
    <cfRule type="cellIs" dxfId="1442" priority="399" operator="equal">
      <formula>$A20</formula>
    </cfRule>
    <cfRule type="cellIs" dxfId="1441" priority="400" operator="equal">
      <formula>$A20</formula>
    </cfRule>
  </conditionalFormatting>
  <conditionalFormatting sqref="D17:D18 D20">
    <cfRule type="cellIs" dxfId="1440" priority="381" operator="notEqual">
      <formula>$A17</formula>
    </cfRule>
    <cfRule type="cellIs" dxfId="1439" priority="382" operator="equal">
      <formula>"""&lt;&gt;$A6"""</formula>
    </cfRule>
    <cfRule type="cellIs" dxfId="1438" priority="383" operator="equal">
      <formula>"&lt;&gt;$A6"</formula>
    </cfRule>
    <cfRule type="cellIs" dxfId="1437" priority="384" operator="equal">
      <formula>$A17</formula>
    </cfRule>
    <cfRule type="cellIs" dxfId="1436" priority="385" operator="equal">
      <formula>$A17</formula>
    </cfRule>
  </conditionalFormatting>
  <conditionalFormatting sqref="D21:D28">
    <cfRule type="cellIs" dxfId="1435" priority="376" operator="notEqual">
      <formula>$A21</formula>
    </cfRule>
    <cfRule type="cellIs" dxfId="1434" priority="377" operator="equal">
      <formula>"""&lt;&gt;$A6"""</formula>
    </cfRule>
    <cfRule type="cellIs" dxfId="1433" priority="378" operator="equal">
      <formula>"&lt;&gt;$A6"</formula>
    </cfRule>
    <cfRule type="cellIs" dxfId="1432" priority="379" operator="equal">
      <formula>$A21</formula>
    </cfRule>
    <cfRule type="cellIs" dxfId="1431" priority="380" operator="equal">
      <formula>$A21</formula>
    </cfRule>
  </conditionalFormatting>
  <conditionalFormatting sqref="D30:D31">
    <cfRule type="cellIs" dxfId="1430" priority="371" operator="notEqual">
      <formula>$A30</formula>
    </cfRule>
    <cfRule type="cellIs" dxfId="1429" priority="372" operator="equal">
      <formula>"""&lt;&gt;$A6"""</formula>
    </cfRule>
    <cfRule type="cellIs" dxfId="1428" priority="373" operator="equal">
      <formula>"&lt;&gt;$A6"</formula>
    </cfRule>
    <cfRule type="cellIs" dxfId="1427" priority="374" operator="equal">
      <formula>$A30</formula>
    </cfRule>
    <cfRule type="cellIs" dxfId="1426" priority="375" operator="equal">
      <formula>$A30</formula>
    </cfRule>
  </conditionalFormatting>
  <conditionalFormatting sqref="E17:E18 E20">
    <cfRule type="cellIs" dxfId="1425" priority="366" operator="notEqual">
      <formula>$A17</formula>
    </cfRule>
    <cfRule type="cellIs" dxfId="1424" priority="367" operator="equal">
      <formula>"""&lt;&gt;$A6"""</formula>
    </cfRule>
    <cfRule type="cellIs" dxfId="1423" priority="368" operator="equal">
      <formula>"&lt;&gt;$A6"</formula>
    </cfRule>
    <cfRule type="cellIs" dxfId="1422" priority="369" operator="equal">
      <formula>$A17</formula>
    </cfRule>
    <cfRule type="cellIs" dxfId="1421" priority="370" operator="equal">
      <formula>$A17</formula>
    </cfRule>
  </conditionalFormatting>
  <conditionalFormatting sqref="E21:E28">
    <cfRule type="cellIs" dxfId="1420" priority="361" operator="notEqual">
      <formula>$A21</formula>
    </cfRule>
    <cfRule type="cellIs" dxfId="1419" priority="362" operator="equal">
      <formula>"""&lt;&gt;$A6"""</formula>
    </cfRule>
    <cfRule type="cellIs" dxfId="1418" priority="363" operator="equal">
      <formula>"&lt;&gt;$A6"</formula>
    </cfRule>
    <cfRule type="cellIs" dxfId="1417" priority="364" operator="equal">
      <formula>$A21</formula>
    </cfRule>
    <cfRule type="cellIs" dxfId="1416" priority="365" operator="equal">
      <formula>$A21</formula>
    </cfRule>
  </conditionalFormatting>
  <conditionalFormatting sqref="E30:E31">
    <cfRule type="cellIs" dxfId="1415" priority="356" operator="notEqual">
      <formula>$A30</formula>
    </cfRule>
    <cfRule type="cellIs" dxfId="1414" priority="357" operator="equal">
      <formula>"""&lt;&gt;$A6"""</formula>
    </cfRule>
    <cfRule type="cellIs" dxfId="1413" priority="358" operator="equal">
      <formula>"&lt;&gt;$A6"</formula>
    </cfRule>
    <cfRule type="cellIs" dxfId="1412" priority="359" operator="equal">
      <formula>$A30</formula>
    </cfRule>
    <cfRule type="cellIs" dxfId="1411" priority="360" operator="equal">
      <formula>$A30</formula>
    </cfRule>
  </conditionalFormatting>
  <conditionalFormatting sqref="F17:F18 F20">
    <cfRule type="cellIs" dxfId="1410" priority="351" operator="notEqual">
      <formula>$A17</formula>
    </cfRule>
    <cfRule type="cellIs" dxfId="1409" priority="352" operator="equal">
      <formula>"""&lt;&gt;$A6"""</formula>
    </cfRule>
    <cfRule type="cellIs" dxfId="1408" priority="353" operator="equal">
      <formula>"&lt;&gt;$A6"</formula>
    </cfRule>
    <cfRule type="cellIs" dxfId="1407" priority="354" operator="equal">
      <formula>$A17</formula>
    </cfRule>
    <cfRule type="cellIs" dxfId="1406" priority="355" operator="equal">
      <formula>$A17</formula>
    </cfRule>
  </conditionalFormatting>
  <conditionalFormatting sqref="F21:F28">
    <cfRule type="cellIs" dxfId="1405" priority="346" operator="notEqual">
      <formula>$A21</formula>
    </cfRule>
    <cfRule type="cellIs" dxfId="1404" priority="347" operator="equal">
      <formula>"""&lt;&gt;$A6"""</formula>
    </cfRule>
    <cfRule type="cellIs" dxfId="1403" priority="348" operator="equal">
      <formula>"&lt;&gt;$A6"</formula>
    </cfRule>
    <cfRule type="cellIs" dxfId="1402" priority="349" operator="equal">
      <formula>$A21</formula>
    </cfRule>
    <cfRule type="cellIs" dxfId="1401" priority="350" operator="equal">
      <formula>$A21</formula>
    </cfRule>
  </conditionalFormatting>
  <conditionalFormatting sqref="F30:F31">
    <cfRule type="cellIs" dxfId="1400" priority="341" operator="notEqual">
      <formula>$A30</formula>
    </cfRule>
    <cfRule type="cellIs" dxfId="1399" priority="342" operator="equal">
      <formula>"""&lt;&gt;$A6"""</formula>
    </cfRule>
    <cfRule type="cellIs" dxfId="1398" priority="343" operator="equal">
      <formula>"&lt;&gt;$A6"</formula>
    </cfRule>
    <cfRule type="cellIs" dxfId="1397" priority="344" operator="equal">
      <formula>$A30</formula>
    </cfRule>
    <cfRule type="cellIs" dxfId="1396" priority="345" operator="equal">
      <formula>$A30</formula>
    </cfRule>
  </conditionalFormatting>
  <conditionalFormatting sqref="G17:G18 G20">
    <cfRule type="cellIs" dxfId="1395" priority="336" operator="notEqual">
      <formula>$A17</formula>
    </cfRule>
    <cfRule type="cellIs" dxfId="1394" priority="337" operator="equal">
      <formula>"""&lt;&gt;$A6"""</formula>
    </cfRule>
    <cfRule type="cellIs" dxfId="1393" priority="338" operator="equal">
      <formula>"&lt;&gt;$A6"</formula>
    </cfRule>
    <cfRule type="cellIs" dxfId="1392" priority="339" operator="equal">
      <formula>$A17</formula>
    </cfRule>
    <cfRule type="cellIs" dxfId="1391" priority="340" operator="equal">
      <formula>$A17</formula>
    </cfRule>
  </conditionalFormatting>
  <conditionalFormatting sqref="G21:G28">
    <cfRule type="cellIs" dxfId="1390" priority="331" operator="notEqual">
      <formula>$A21</formula>
    </cfRule>
    <cfRule type="cellIs" dxfId="1389" priority="332" operator="equal">
      <formula>"""&lt;&gt;$A6"""</formula>
    </cfRule>
    <cfRule type="cellIs" dxfId="1388" priority="333" operator="equal">
      <formula>"&lt;&gt;$A6"</formula>
    </cfRule>
    <cfRule type="cellIs" dxfId="1387" priority="334" operator="equal">
      <formula>$A21</formula>
    </cfRule>
    <cfRule type="cellIs" dxfId="1386" priority="335" operator="equal">
      <formula>$A21</formula>
    </cfRule>
  </conditionalFormatting>
  <conditionalFormatting sqref="G30:G31">
    <cfRule type="cellIs" dxfId="1385" priority="326" operator="notEqual">
      <formula>$A30</formula>
    </cfRule>
    <cfRule type="cellIs" dxfId="1384" priority="327" operator="equal">
      <formula>"""&lt;&gt;$A6"""</formula>
    </cfRule>
    <cfRule type="cellIs" dxfId="1383" priority="328" operator="equal">
      <formula>"&lt;&gt;$A6"</formula>
    </cfRule>
    <cfRule type="cellIs" dxfId="1382" priority="329" operator="equal">
      <formula>$A30</formula>
    </cfRule>
    <cfRule type="cellIs" dxfId="1381" priority="330" operator="equal">
      <formula>$A30</formula>
    </cfRule>
  </conditionalFormatting>
  <conditionalFormatting sqref="J17:J18 J20">
    <cfRule type="cellIs" dxfId="1380" priority="321" operator="notEqual">
      <formula>$A17</formula>
    </cfRule>
    <cfRule type="cellIs" dxfId="1379" priority="322" operator="equal">
      <formula>"""&lt;&gt;$A6"""</formula>
    </cfRule>
    <cfRule type="cellIs" dxfId="1378" priority="323" operator="equal">
      <formula>"&lt;&gt;$A6"</formula>
    </cfRule>
    <cfRule type="cellIs" dxfId="1377" priority="324" operator="equal">
      <formula>$A17</formula>
    </cfRule>
    <cfRule type="cellIs" dxfId="1376" priority="325" operator="equal">
      <formula>$A17</formula>
    </cfRule>
  </conditionalFormatting>
  <conditionalFormatting sqref="J21:J28">
    <cfRule type="cellIs" dxfId="1375" priority="316" operator="notEqual">
      <formula>$A21</formula>
    </cfRule>
    <cfRule type="cellIs" dxfId="1374" priority="317" operator="equal">
      <formula>"""&lt;&gt;$A6"""</formula>
    </cfRule>
    <cfRule type="cellIs" dxfId="1373" priority="318" operator="equal">
      <formula>"&lt;&gt;$A6"</formula>
    </cfRule>
    <cfRule type="cellIs" dxfId="1372" priority="319" operator="equal">
      <formula>$A21</formula>
    </cfRule>
    <cfRule type="cellIs" dxfId="1371" priority="320" operator="equal">
      <formula>$A21</formula>
    </cfRule>
  </conditionalFormatting>
  <conditionalFormatting sqref="J30:J31">
    <cfRule type="cellIs" dxfId="1370" priority="311" operator="notEqual">
      <formula>$A30</formula>
    </cfRule>
    <cfRule type="cellIs" dxfId="1369" priority="312" operator="equal">
      <formula>"""&lt;&gt;$A6"""</formula>
    </cfRule>
    <cfRule type="cellIs" dxfId="1368" priority="313" operator="equal">
      <formula>"&lt;&gt;$A6"</formula>
    </cfRule>
    <cfRule type="cellIs" dxfId="1367" priority="314" operator="equal">
      <formula>$A30</formula>
    </cfRule>
    <cfRule type="cellIs" dxfId="1366" priority="315" operator="equal">
      <formula>$A30</formula>
    </cfRule>
  </conditionalFormatting>
  <conditionalFormatting sqref="I17:I18 I20">
    <cfRule type="cellIs" dxfId="1365" priority="306" operator="notEqual">
      <formula>$A17</formula>
    </cfRule>
    <cfRule type="cellIs" dxfId="1364" priority="307" operator="equal">
      <formula>"""&lt;&gt;$A6"""</formula>
    </cfRule>
    <cfRule type="cellIs" dxfId="1363" priority="308" operator="equal">
      <formula>"&lt;&gt;$A6"</formula>
    </cfRule>
    <cfRule type="cellIs" dxfId="1362" priority="309" operator="equal">
      <formula>$A17</formula>
    </cfRule>
    <cfRule type="cellIs" dxfId="1361" priority="310" operator="equal">
      <formula>$A17</formula>
    </cfRule>
  </conditionalFormatting>
  <conditionalFormatting sqref="I21:I28">
    <cfRule type="cellIs" dxfId="1360" priority="301" operator="notEqual">
      <formula>$A21</formula>
    </cfRule>
    <cfRule type="cellIs" dxfId="1359" priority="302" operator="equal">
      <formula>"""&lt;&gt;$A6"""</formula>
    </cfRule>
    <cfRule type="cellIs" dxfId="1358" priority="303" operator="equal">
      <formula>"&lt;&gt;$A6"</formula>
    </cfRule>
    <cfRule type="cellIs" dxfId="1357" priority="304" operator="equal">
      <formula>$A21</formula>
    </cfRule>
    <cfRule type="cellIs" dxfId="1356" priority="305" operator="equal">
      <formula>$A21</formula>
    </cfRule>
  </conditionalFormatting>
  <conditionalFormatting sqref="I30:I31">
    <cfRule type="cellIs" dxfId="1355" priority="296" operator="notEqual">
      <formula>$A30</formula>
    </cfRule>
    <cfRule type="cellIs" dxfId="1354" priority="297" operator="equal">
      <formula>"""&lt;&gt;$A6"""</formula>
    </cfRule>
    <cfRule type="cellIs" dxfId="1353" priority="298" operator="equal">
      <formula>"&lt;&gt;$A6"</formula>
    </cfRule>
    <cfRule type="cellIs" dxfId="1352" priority="299" operator="equal">
      <formula>$A30</formula>
    </cfRule>
    <cfRule type="cellIs" dxfId="1351" priority="300" operator="equal">
      <formula>$A30</formula>
    </cfRule>
  </conditionalFormatting>
  <conditionalFormatting sqref="H17:H18 H20">
    <cfRule type="cellIs" dxfId="1350" priority="291" operator="notEqual">
      <formula>$A17</formula>
    </cfRule>
    <cfRule type="cellIs" dxfId="1349" priority="292" operator="equal">
      <formula>"""&lt;&gt;$A6"""</formula>
    </cfRule>
    <cfRule type="cellIs" dxfId="1348" priority="293" operator="equal">
      <formula>"&lt;&gt;$A6"</formula>
    </cfRule>
    <cfRule type="cellIs" dxfId="1347" priority="294" operator="equal">
      <formula>$A17</formula>
    </cfRule>
    <cfRule type="cellIs" dxfId="1346" priority="295" operator="equal">
      <formula>$A17</formula>
    </cfRule>
  </conditionalFormatting>
  <conditionalFormatting sqref="H21:H28">
    <cfRule type="cellIs" dxfId="1345" priority="286" operator="notEqual">
      <formula>$A21</formula>
    </cfRule>
    <cfRule type="cellIs" dxfId="1344" priority="287" operator="equal">
      <formula>"""&lt;&gt;$A6"""</formula>
    </cfRule>
    <cfRule type="cellIs" dxfId="1343" priority="288" operator="equal">
      <formula>"&lt;&gt;$A6"</formula>
    </cfRule>
    <cfRule type="cellIs" dxfId="1342" priority="289" operator="equal">
      <formula>$A21</formula>
    </cfRule>
    <cfRule type="cellIs" dxfId="1341" priority="290" operator="equal">
      <formula>$A21</formula>
    </cfRule>
  </conditionalFormatting>
  <conditionalFormatting sqref="H30:H31">
    <cfRule type="cellIs" dxfId="1340" priority="281" operator="notEqual">
      <formula>$A30</formula>
    </cfRule>
    <cfRule type="cellIs" dxfId="1339" priority="282" operator="equal">
      <formula>"""&lt;&gt;$A6"""</formula>
    </cfRule>
    <cfRule type="cellIs" dxfId="1338" priority="283" operator="equal">
      <formula>"&lt;&gt;$A6"</formula>
    </cfRule>
    <cfRule type="cellIs" dxfId="1337" priority="284" operator="equal">
      <formula>$A30</formula>
    </cfRule>
    <cfRule type="cellIs" dxfId="1336" priority="285" operator="equal">
      <formula>$A30</formula>
    </cfRule>
  </conditionalFormatting>
  <conditionalFormatting sqref="H19">
    <cfRule type="cellIs" dxfId="1335" priority="161" operator="notEqual">
      <formula>$A19</formula>
    </cfRule>
    <cfRule type="cellIs" dxfId="1334" priority="162" operator="equal">
      <formula>"""&lt;&gt;$A6"""</formula>
    </cfRule>
    <cfRule type="cellIs" dxfId="1333" priority="163" operator="equal">
      <formula>"&lt;&gt;$A6"</formula>
    </cfRule>
    <cfRule type="cellIs" dxfId="1332" priority="164" operator="equal">
      <formula>$A19</formula>
    </cfRule>
    <cfRule type="cellIs" dxfId="1331" priority="165" operator="equal">
      <formula>$A19</formula>
    </cfRule>
  </conditionalFormatting>
  <conditionalFormatting sqref="J19">
    <cfRule type="cellIs" dxfId="1330" priority="171" operator="notEqual">
      <formula>$A19</formula>
    </cfRule>
    <cfRule type="cellIs" dxfId="1329" priority="172" operator="equal">
      <formula>"""&lt;&gt;$A6"""</formula>
    </cfRule>
    <cfRule type="cellIs" dxfId="1328" priority="173" operator="equal">
      <formula>"&lt;&gt;$A6"</formula>
    </cfRule>
    <cfRule type="cellIs" dxfId="1327" priority="174" operator="equal">
      <formula>$A19</formula>
    </cfRule>
    <cfRule type="cellIs" dxfId="1326" priority="175" operator="equal">
      <formula>$A19</formula>
    </cfRule>
  </conditionalFormatting>
  <conditionalFormatting sqref="I19">
    <cfRule type="cellIs" dxfId="1325" priority="166" operator="notEqual">
      <formula>$A19</formula>
    </cfRule>
    <cfRule type="cellIs" dxfId="1324" priority="167" operator="equal">
      <formula>"""&lt;&gt;$A6"""</formula>
    </cfRule>
    <cfRule type="cellIs" dxfId="1323" priority="168" operator="equal">
      <formula>"&lt;&gt;$A6"</formula>
    </cfRule>
    <cfRule type="cellIs" dxfId="1322" priority="169" operator="equal">
      <formula>$A19</formula>
    </cfRule>
    <cfRule type="cellIs" dxfId="1321" priority="170" operator="equal">
      <formula>$A19</formula>
    </cfRule>
  </conditionalFormatting>
  <conditionalFormatting sqref="C19">
    <cfRule type="cellIs" dxfId="1320" priority="201" operator="notEqual">
      <formula>$A19</formula>
    </cfRule>
    <cfRule type="cellIs" dxfId="1319" priority="202" operator="equal">
      <formula>"""&lt;&gt;$A6"""</formula>
    </cfRule>
    <cfRule type="cellIs" dxfId="1318" priority="203" operator="equal">
      <formula>"&lt;&gt;$A6"</formula>
    </cfRule>
    <cfRule type="cellIs" dxfId="1317" priority="204" operator="equal">
      <formula>$A19</formula>
    </cfRule>
    <cfRule type="cellIs" dxfId="1316" priority="205" operator="equal">
      <formula>$A19</formula>
    </cfRule>
  </conditionalFormatting>
  <conditionalFormatting sqref="D19">
    <cfRule type="cellIs" dxfId="1315" priority="191" operator="notEqual">
      <formula>$A19</formula>
    </cfRule>
    <cfRule type="cellIs" dxfId="1314" priority="192" operator="equal">
      <formula>"""&lt;&gt;$A6"""</formula>
    </cfRule>
    <cfRule type="cellIs" dxfId="1313" priority="193" operator="equal">
      <formula>"&lt;&gt;$A6"</formula>
    </cfRule>
    <cfRule type="cellIs" dxfId="1312" priority="194" operator="equal">
      <formula>$A19</formula>
    </cfRule>
    <cfRule type="cellIs" dxfId="1311" priority="195" operator="equal">
      <formula>$A19</formula>
    </cfRule>
  </conditionalFormatting>
  <conditionalFormatting sqref="E19">
    <cfRule type="cellIs" dxfId="1310" priority="186" operator="notEqual">
      <formula>$A19</formula>
    </cfRule>
    <cfRule type="cellIs" dxfId="1309" priority="187" operator="equal">
      <formula>"""&lt;&gt;$A6"""</formula>
    </cfRule>
    <cfRule type="cellIs" dxfId="1308" priority="188" operator="equal">
      <formula>"&lt;&gt;$A6"</formula>
    </cfRule>
    <cfRule type="cellIs" dxfId="1307" priority="189" operator="equal">
      <formula>$A19</formula>
    </cfRule>
    <cfRule type="cellIs" dxfId="1306" priority="190" operator="equal">
      <formula>$A19</formula>
    </cfRule>
  </conditionalFormatting>
  <conditionalFormatting sqref="F19">
    <cfRule type="cellIs" dxfId="1305" priority="181" operator="notEqual">
      <formula>$A19</formula>
    </cfRule>
    <cfRule type="cellIs" dxfId="1304" priority="182" operator="equal">
      <formula>"""&lt;&gt;$A6"""</formula>
    </cfRule>
    <cfRule type="cellIs" dxfId="1303" priority="183" operator="equal">
      <formula>"&lt;&gt;$A6"</formula>
    </cfRule>
    <cfRule type="cellIs" dxfId="1302" priority="184" operator="equal">
      <formula>$A19</formula>
    </cfRule>
    <cfRule type="cellIs" dxfId="1301" priority="185" operator="equal">
      <formula>$A19</formula>
    </cfRule>
  </conditionalFormatting>
  <conditionalFormatting sqref="G19">
    <cfRule type="cellIs" dxfId="1300" priority="176" operator="notEqual">
      <formula>$A19</formula>
    </cfRule>
    <cfRule type="cellIs" dxfId="1299" priority="177" operator="equal">
      <formula>"""&lt;&gt;$A6"""</formula>
    </cfRule>
    <cfRule type="cellIs" dxfId="1298" priority="178" operator="equal">
      <formula>"&lt;&gt;$A6"</formula>
    </cfRule>
    <cfRule type="cellIs" dxfId="1297" priority="179" operator="equal">
      <formula>$A19</formula>
    </cfRule>
    <cfRule type="cellIs" dxfId="1296" priority="180" operator="equal">
      <formula>$A19</formula>
    </cfRule>
  </conditionalFormatting>
  <conditionalFormatting sqref="K24">
    <cfRule type="cellIs" dxfId="1295" priority="156" operator="notEqual">
      <formula>$A24</formula>
    </cfRule>
    <cfRule type="cellIs" dxfId="1294" priority="157" operator="equal">
      <formula>"""&lt;&gt;$A6"""</formula>
    </cfRule>
    <cfRule type="cellIs" dxfId="1293" priority="158" operator="equal">
      <formula>"&lt;&gt;$A6"</formula>
    </cfRule>
    <cfRule type="cellIs" dxfId="1292" priority="159" operator="equal">
      <formula>$A24</formula>
    </cfRule>
    <cfRule type="cellIs" dxfId="1291" priority="160" operator="equal">
      <formula>$A24</formula>
    </cfRule>
  </conditionalFormatting>
  <conditionalFormatting sqref="K17:K18 K20">
    <cfRule type="cellIs" dxfId="1290" priority="151" operator="notEqual">
      <formula>$A17</formula>
    </cfRule>
    <cfRule type="cellIs" dxfId="1289" priority="152" operator="equal">
      <formula>"""&lt;&gt;$A6"""</formula>
    </cfRule>
    <cfRule type="cellIs" dxfId="1288" priority="153" operator="equal">
      <formula>"&lt;&gt;$A6"</formula>
    </cfRule>
    <cfRule type="cellIs" dxfId="1287" priority="154" operator="equal">
      <formula>$A17</formula>
    </cfRule>
    <cfRule type="cellIs" dxfId="1286" priority="155" operator="equal">
      <formula>$A17</formula>
    </cfRule>
  </conditionalFormatting>
  <conditionalFormatting sqref="K21:K28">
    <cfRule type="cellIs" dxfId="1285" priority="146" operator="notEqual">
      <formula>$A21</formula>
    </cfRule>
    <cfRule type="cellIs" dxfId="1284" priority="147" operator="equal">
      <formula>"""&lt;&gt;$A6"""</formula>
    </cfRule>
    <cfRule type="cellIs" dxfId="1283" priority="148" operator="equal">
      <formula>"&lt;&gt;$A6"</formula>
    </cfRule>
    <cfRule type="cellIs" dxfId="1282" priority="149" operator="equal">
      <formula>$A21</formula>
    </cfRule>
    <cfRule type="cellIs" dxfId="1281" priority="150" operator="equal">
      <formula>$A21</formula>
    </cfRule>
  </conditionalFormatting>
  <conditionalFormatting sqref="K30:K31">
    <cfRule type="cellIs" dxfId="1280" priority="141" operator="notEqual">
      <formula>$A30</formula>
    </cfRule>
    <cfRule type="cellIs" dxfId="1279" priority="142" operator="equal">
      <formula>"""&lt;&gt;$A6"""</formula>
    </cfRule>
    <cfRule type="cellIs" dxfId="1278" priority="143" operator="equal">
      <formula>"&lt;&gt;$A6"</formula>
    </cfRule>
    <cfRule type="cellIs" dxfId="1277" priority="144" operator="equal">
      <formula>$A30</formula>
    </cfRule>
    <cfRule type="cellIs" dxfId="1276" priority="145" operator="equal">
      <formula>$A30</formula>
    </cfRule>
  </conditionalFormatting>
  <conditionalFormatting sqref="K19">
    <cfRule type="cellIs" dxfId="1275" priority="136" operator="notEqual">
      <formula>$A19</formula>
    </cfRule>
    <cfRule type="cellIs" dxfId="1274" priority="137" operator="equal">
      <formula>"""&lt;&gt;$A6"""</formula>
    </cfRule>
    <cfRule type="cellIs" dxfId="1273" priority="138" operator="equal">
      <formula>"&lt;&gt;$A6"</formula>
    </cfRule>
    <cfRule type="cellIs" dxfId="1272" priority="139" operator="equal">
      <formula>$A19</formula>
    </cfRule>
    <cfRule type="cellIs" dxfId="1271" priority="140" operator="equal">
      <formula>$A19</formula>
    </cfRule>
  </conditionalFormatting>
  <conditionalFormatting sqref="P24">
    <cfRule type="cellIs" dxfId="1270" priority="106" operator="notEqual">
      <formula>$A24</formula>
    </cfRule>
    <cfRule type="cellIs" dxfId="1269" priority="107" operator="equal">
      <formula>"""&lt;&gt;$A6"""</formula>
    </cfRule>
    <cfRule type="cellIs" dxfId="1268" priority="108" operator="equal">
      <formula>"&lt;&gt;$A6"</formula>
    </cfRule>
    <cfRule type="cellIs" dxfId="1267" priority="109" operator="equal">
      <formula>$A24</formula>
    </cfRule>
    <cfRule type="cellIs" dxfId="1266" priority="110" operator="equal">
      <formula>$A24</formula>
    </cfRule>
  </conditionalFormatting>
  <conditionalFormatting sqref="P17:P18 P20">
    <cfRule type="cellIs" dxfId="1265" priority="101" operator="notEqual">
      <formula>$A17</formula>
    </cfRule>
    <cfRule type="cellIs" dxfId="1264" priority="102" operator="equal">
      <formula>"""&lt;&gt;$A6"""</formula>
    </cfRule>
    <cfRule type="cellIs" dxfId="1263" priority="103" operator="equal">
      <formula>"&lt;&gt;$A6"</formula>
    </cfRule>
    <cfRule type="cellIs" dxfId="1262" priority="104" operator="equal">
      <formula>$A17</formula>
    </cfRule>
    <cfRule type="cellIs" dxfId="1261" priority="105" operator="equal">
      <formula>$A17</formula>
    </cfRule>
  </conditionalFormatting>
  <conditionalFormatting sqref="P21:P28">
    <cfRule type="cellIs" dxfId="1260" priority="96" operator="notEqual">
      <formula>$A21</formula>
    </cfRule>
    <cfRule type="cellIs" dxfId="1259" priority="97" operator="equal">
      <formula>"""&lt;&gt;$A6"""</formula>
    </cfRule>
    <cfRule type="cellIs" dxfId="1258" priority="98" operator="equal">
      <formula>"&lt;&gt;$A6"</formula>
    </cfRule>
    <cfRule type="cellIs" dxfId="1257" priority="99" operator="equal">
      <formula>$A21</formula>
    </cfRule>
    <cfRule type="cellIs" dxfId="1256" priority="100" operator="equal">
      <formula>$A21</formula>
    </cfRule>
  </conditionalFormatting>
  <conditionalFormatting sqref="P30:P31">
    <cfRule type="cellIs" dxfId="1255" priority="91" operator="notEqual">
      <formula>$A30</formula>
    </cfRule>
    <cfRule type="cellIs" dxfId="1254" priority="92" operator="equal">
      <formula>"""&lt;&gt;$A6"""</formula>
    </cfRule>
    <cfRule type="cellIs" dxfId="1253" priority="93" operator="equal">
      <formula>"&lt;&gt;$A6"</formula>
    </cfRule>
    <cfRule type="cellIs" dxfId="1252" priority="94" operator="equal">
      <formula>$A30</formula>
    </cfRule>
    <cfRule type="cellIs" dxfId="1251" priority="95" operator="equal">
      <formula>$A30</formula>
    </cfRule>
  </conditionalFormatting>
  <conditionalFormatting sqref="P19">
    <cfRule type="cellIs" dxfId="1250" priority="86" operator="notEqual">
      <formula>$A19</formula>
    </cfRule>
    <cfRule type="cellIs" dxfId="1249" priority="87" operator="equal">
      <formula>"""&lt;&gt;$A6"""</formula>
    </cfRule>
    <cfRule type="cellIs" dxfId="1248" priority="88" operator="equal">
      <formula>"&lt;&gt;$A6"</formula>
    </cfRule>
    <cfRule type="cellIs" dxfId="1247" priority="89" operator="equal">
      <formula>$A19</formula>
    </cfRule>
    <cfRule type="cellIs" dxfId="1246" priority="90" operator="equal">
      <formula>$A19</formula>
    </cfRule>
  </conditionalFormatting>
  <conditionalFormatting sqref="L21:L28 L17:L18">
    <cfRule type="cellIs" dxfId="1245" priority="81" operator="notEqual">
      <formula>$A17</formula>
    </cfRule>
    <cfRule type="cellIs" dxfId="1244" priority="82" operator="equal">
      <formula>"""&lt;&gt;$A6"""</formula>
    </cfRule>
    <cfRule type="cellIs" dxfId="1243" priority="83" operator="equal">
      <formula>"&lt;&gt;$A6"</formula>
    </cfRule>
    <cfRule type="cellIs" dxfId="1242" priority="84" operator="equal">
      <formula>$A17</formula>
    </cfRule>
    <cfRule type="cellIs" dxfId="1241" priority="85" operator="equal">
      <formula>$A17</formula>
    </cfRule>
  </conditionalFormatting>
  <conditionalFormatting sqref="L30:L31">
    <cfRule type="cellIs" dxfId="1240" priority="76" operator="notEqual">
      <formula>$A30</formula>
    </cfRule>
    <cfRule type="cellIs" dxfId="1239" priority="77" operator="equal">
      <formula>"""&lt;&gt;$A6"""</formula>
    </cfRule>
    <cfRule type="cellIs" dxfId="1238" priority="78" operator="equal">
      <formula>"&lt;&gt;$A6"</formula>
    </cfRule>
    <cfRule type="cellIs" dxfId="1237" priority="79" operator="equal">
      <formula>$A30</formula>
    </cfRule>
    <cfRule type="cellIs" dxfId="1236" priority="80" operator="equal">
      <formula>$A30</formula>
    </cfRule>
  </conditionalFormatting>
  <conditionalFormatting sqref="L20">
    <cfRule type="cellIs" dxfId="1235" priority="71" operator="notEqual">
      <formula>$A20</formula>
    </cfRule>
    <cfRule type="cellIs" dxfId="1234" priority="72" operator="equal">
      <formula>"""&lt;&gt;$A6"""</formula>
    </cfRule>
    <cfRule type="cellIs" dxfId="1233" priority="73" operator="equal">
      <formula>"&lt;&gt;$A6"</formula>
    </cfRule>
    <cfRule type="cellIs" dxfId="1232" priority="74" operator="equal">
      <formula>$A20</formula>
    </cfRule>
    <cfRule type="cellIs" dxfId="1231" priority="75" operator="equal">
      <formula>$A20</formula>
    </cfRule>
  </conditionalFormatting>
  <conditionalFormatting sqref="L19">
    <cfRule type="cellIs" dxfId="1230" priority="66" operator="notEqual">
      <formula>$A19</formula>
    </cfRule>
    <cfRule type="cellIs" dxfId="1229" priority="67" operator="equal">
      <formula>"""&lt;&gt;$A6"""</formula>
    </cfRule>
    <cfRule type="cellIs" dxfId="1228" priority="68" operator="equal">
      <formula>"&lt;&gt;$A6"</formula>
    </cfRule>
    <cfRule type="cellIs" dxfId="1227" priority="69" operator="equal">
      <formula>$A19</formula>
    </cfRule>
    <cfRule type="cellIs" dxfId="1226" priority="70" operator="equal">
      <formula>$A19</formula>
    </cfRule>
  </conditionalFormatting>
  <conditionalFormatting sqref="D29">
    <cfRule type="cellIs" dxfId="1225" priority="56" operator="notEqual">
      <formula>$A29</formula>
    </cfRule>
    <cfRule type="cellIs" dxfId="1224" priority="57" operator="equal">
      <formula>"""&lt;&gt;$A6"""</formula>
    </cfRule>
    <cfRule type="cellIs" dxfId="1223" priority="58" operator="equal">
      <formula>"&lt;&gt;$A6"</formula>
    </cfRule>
    <cfRule type="cellIs" dxfId="1222" priority="59" operator="equal">
      <formula>$A29</formula>
    </cfRule>
    <cfRule type="cellIs" dxfId="1221" priority="60" operator="equal">
      <formula>$A29</formula>
    </cfRule>
  </conditionalFormatting>
  <conditionalFormatting sqref="E29">
    <cfRule type="cellIs" dxfId="1220" priority="51" operator="notEqual">
      <formula>$A29</formula>
    </cfRule>
    <cfRule type="cellIs" dxfId="1219" priority="52" operator="equal">
      <formula>"""&lt;&gt;$A6"""</formula>
    </cfRule>
    <cfRule type="cellIs" dxfId="1218" priority="53" operator="equal">
      <formula>"&lt;&gt;$A6"</formula>
    </cfRule>
    <cfRule type="cellIs" dxfId="1217" priority="54" operator="equal">
      <formula>$A29</formula>
    </cfRule>
    <cfRule type="cellIs" dxfId="1216" priority="55" operator="equal">
      <formula>$A29</formula>
    </cfRule>
  </conditionalFormatting>
  <conditionalFormatting sqref="F29">
    <cfRule type="cellIs" dxfId="1215" priority="46" operator="notEqual">
      <formula>$A29</formula>
    </cfRule>
    <cfRule type="cellIs" dxfId="1214" priority="47" operator="equal">
      <formula>"""&lt;&gt;$A6"""</formula>
    </cfRule>
    <cfRule type="cellIs" dxfId="1213" priority="48" operator="equal">
      <formula>"&lt;&gt;$A6"</formula>
    </cfRule>
    <cfRule type="cellIs" dxfId="1212" priority="49" operator="equal">
      <formula>$A29</formula>
    </cfRule>
    <cfRule type="cellIs" dxfId="1211" priority="50" operator="equal">
      <formula>$A29</formula>
    </cfRule>
  </conditionalFormatting>
  <conditionalFormatting sqref="G29">
    <cfRule type="cellIs" dxfId="1210" priority="41" operator="notEqual">
      <formula>$A29</formula>
    </cfRule>
    <cfRule type="cellIs" dxfId="1209" priority="42" operator="equal">
      <formula>"""&lt;&gt;$A6"""</formula>
    </cfRule>
    <cfRule type="cellIs" dxfId="1208" priority="43" operator="equal">
      <formula>"&lt;&gt;$A6"</formula>
    </cfRule>
    <cfRule type="cellIs" dxfId="1207" priority="44" operator="equal">
      <formula>$A29</formula>
    </cfRule>
    <cfRule type="cellIs" dxfId="1206" priority="45" operator="equal">
      <formula>$A29</formula>
    </cfRule>
  </conditionalFormatting>
  <conditionalFormatting sqref="J29">
    <cfRule type="cellIs" dxfId="1205" priority="36" operator="notEqual">
      <formula>$A29</formula>
    </cfRule>
    <cfRule type="cellIs" dxfId="1204" priority="37" operator="equal">
      <formula>"""&lt;&gt;$A6"""</formula>
    </cfRule>
    <cfRule type="cellIs" dxfId="1203" priority="38" operator="equal">
      <formula>"&lt;&gt;$A6"</formula>
    </cfRule>
    <cfRule type="cellIs" dxfId="1202" priority="39" operator="equal">
      <formula>$A29</formula>
    </cfRule>
    <cfRule type="cellIs" dxfId="1201" priority="40" operator="equal">
      <formula>$A29</formula>
    </cfRule>
  </conditionalFormatting>
  <conditionalFormatting sqref="I29">
    <cfRule type="cellIs" dxfId="1200" priority="31" operator="notEqual">
      <formula>$A29</formula>
    </cfRule>
    <cfRule type="cellIs" dxfId="1199" priority="32" operator="equal">
      <formula>"""&lt;&gt;$A6"""</formula>
    </cfRule>
    <cfRule type="cellIs" dxfId="1198" priority="33" operator="equal">
      <formula>"&lt;&gt;$A6"</formula>
    </cfRule>
    <cfRule type="cellIs" dxfId="1197" priority="34" operator="equal">
      <formula>$A29</formula>
    </cfRule>
    <cfRule type="cellIs" dxfId="1196" priority="35" operator="equal">
      <formula>$A29</formula>
    </cfRule>
  </conditionalFormatting>
  <conditionalFormatting sqref="H29">
    <cfRule type="cellIs" dxfId="1195" priority="26" operator="notEqual">
      <formula>$A29</formula>
    </cfRule>
    <cfRule type="cellIs" dxfId="1194" priority="27" operator="equal">
      <formula>"""&lt;&gt;$A6"""</formula>
    </cfRule>
    <cfRule type="cellIs" dxfId="1193" priority="28" operator="equal">
      <formula>"&lt;&gt;$A6"</formula>
    </cfRule>
    <cfRule type="cellIs" dxfId="1192" priority="29" operator="equal">
      <formula>$A29</formula>
    </cfRule>
    <cfRule type="cellIs" dxfId="1191" priority="30" operator="equal">
      <formula>$A29</formula>
    </cfRule>
  </conditionalFormatting>
  <conditionalFormatting sqref="K29">
    <cfRule type="cellIs" dxfId="1190" priority="21" operator="notEqual">
      <formula>$A29</formula>
    </cfRule>
    <cfRule type="cellIs" dxfId="1189" priority="22" operator="equal">
      <formula>"""&lt;&gt;$A6"""</formula>
    </cfRule>
    <cfRule type="cellIs" dxfId="1188" priority="23" operator="equal">
      <formula>"&lt;&gt;$A6"</formula>
    </cfRule>
    <cfRule type="cellIs" dxfId="1187" priority="24" operator="equal">
      <formula>$A29</formula>
    </cfRule>
    <cfRule type="cellIs" dxfId="1186" priority="25" operator="equal">
      <formula>$A29</formula>
    </cfRule>
  </conditionalFormatting>
  <conditionalFormatting sqref="K29">
    <cfRule type="cellIs" dxfId="1185" priority="16" operator="notEqual">
      <formula>$A29</formula>
    </cfRule>
    <cfRule type="cellIs" dxfId="1184" priority="17" operator="equal">
      <formula>"""&lt;&gt;$A6"""</formula>
    </cfRule>
    <cfRule type="cellIs" dxfId="1183" priority="18" operator="equal">
      <formula>"&lt;&gt;$A6"</formula>
    </cfRule>
    <cfRule type="cellIs" dxfId="1182" priority="19" operator="equal">
      <formula>$A29</formula>
    </cfRule>
    <cfRule type="cellIs" dxfId="1181" priority="20" operator="equal">
      <formula>$A29</formula>
    </cfRule>
  </conditionalFormatting>
  <conditionalFormatting sqref="P29">
    <cfRule type="cellIs" dxfId="1180" priority="11" operator="notEqual">
      <formula>$A29</formula>
    </cfRule>
    <cfRule type="cellIs" dxfId="1179" priority="12" operator="equal">
      <formula>"""&lt;&gt;$A6"""</formula>
    </cfRule>
    <cfRule type="cellIs" dxfId="1178" priority="13" operator="equal">
      <formula>"&lt;&gt;$A6"</formula>
    </cfRule>
    <cfRule type="cellIs" dxfId="1177" priority="14" operator="equal">
      <formula>$A29</formula>
    </cfRule>
    <cfRule type="cellIs" dxfId="1176" priority="15" operator="equal">
      <formula>$A29</formula>
    </cfRule>
  </conditionalFormatting>
  <conditionalFormatting sqref="P29">
    <cfRule type="cellIs" dxfId="1175" priority="6" operator="notEqual">
      <formula>$A29</formula>
    </cfRule>
    <cfRule type="cellIs" dxfId="1174" priority="7" operator="equal">
      <formula>"""&lt;&gt;$A6"""</formula>
    </cfRule>
    <cfRule type="cellIs" dxfId="1173" priority="8" operator="equal">
      <formula>"&lt;&gt;$A6"</formula>
    </cfRule>
    <cfRule type="cellIs" dxfId="1172" priority="9" operator="equal">
      <formula>$A29</formula>
    </cfRule>
    <cfRule type="cellIs" dxfId="1171" priority="10" operator="equal">
      <formula>$A29</formula>
    </cfRule>
  </conditionalFormatting>
  <conditionalFormatting sqref="L29">
    <cfRule type="cellIs" dxfId="1170" priority="1" operator="notEqual">
      <formula>$A29</formula>
    </cfRule>
    <cfRule type="cellIs" dxfId="1169" priority="2" operator="equal">
      <formula>"""&lt;&gt;$A6"""</formula>
    </cfRule>
    <cfRule type="cellIs" dxfId="1168" priority="3" operator="equal">
      <formula>"&lt;&gt;$A6"</formula>
    </cfRule>
    <cfRule type="cellIs" dxfId="1167" priority="4" operator="equal">
      <formula>$A29</formula>
    </cfRule>
    <cfRule type="cellIs" dxfId="1166" priority="5" operator="equal">
      <formula>$A29</formula>
    </cfRule>
  </conditionalFormatting>
  <dataValidations count="6">
    <dataValidation type="list" allowBlank="1" showInputMessage="1" showErrorMessage="1" sqref="C9" xr:uid="{00000000-0002-0000-0800-000000000000}">
      <formula1>"Effective Duration,Years to Maturity,Weighted Average Life"</formula1>
    </dataValidation>
    <dataValidation type="list" allowBlank="1" showInputMessage="1" showErrorMessage="1" sqref="C17:P17" xr:uid="{00000000-0002-0000-0800-000001000000}">
      <formula1>"Bond,Mortgage,Securitized Asset,Interest Rate Derivative,Equity,Real Estate,Index Option"</formula1>
    </dataValidation>
    <dataValidation type="list" allowBlank="1" showInputMessage="1" showErrorMessage="1" sqref="C18:P18" xr:uid="{00000000-0002-0000-0800-000002000000}">
      <formula1>"Investment,Hedging"</formula1>
    </dataValidation>
    <dataValidation type="list" allowBlank="1" showInputMessage="1" showErrorMessage="1" sqref="C20:P20" xr:uid="{00000000-0002-0000-0800-000003000000}">
      <formula1>"Both,Existing,Purchased"</formula1>
    </dataValidation>
    <dataValidation type="list" allowBlank="1" showInputMessage="1" showErrorMessage="1" sqref="C24:P24" xr:uid="{00000000-0002-0000-0800-000004000000}">
      <formula1>"Yes,No"</formula1>
    </dataValidation>
    <dataValidation type="list" allowBlank="1" showInputMessage="1" showErrorMessage="1" sqref="C31:P31" xr:uid="{00000000-0002-0000-0800-000005000000}">
      <formula1>"Not Assigned,Available for Sale,Trading,Held to Maturity"</formula1>
    </dataValidation>
  </dataValidations>
  <hyperlinks>
    <hyperlink ref="A1" location="'Table of Contents'!A1" display="Go to TOC" xr:uid="{00000000-0004-0000-0800-000000000000}"/>
    <hyperlink ref="A15" location="'Asset Groups'!B12" display="Back to Main" xr:uid="{00000000-0004-0000-0800-000002000000}"/>
    <hyperlink ref="A14" location="'Table of Contents'!A1" display="Go to TOC" xr:uid="{00000000-0004-0000-0800-000001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22"/>
  <sheetViews>
    <sheetView showGridLines="0" workbookViewId="0">
      <selection activeCell="D41" sqref="D41"/>
    </sheetView>
  </sheetViews>
  <sheetFormatPr defaultRowHeight="12.5" x14ac:dyDescent="0.25"/>
  <cols>
    <col min="1" max="1" width="27.1796875" customWidth="1"/>
    <col min="2" max="2" width="29.81640625" customWidth="1"/>
    <col min="3" max="3" width="29.453125" customWidth="1"/>
    <col min="4" max="5" width="14" bestFit="1" customWidth="1"/>
    <col min="6" max="6" width="22.81640625" bestFit="1" customWidth="1"/>
    <col min="7" max="7" width="22.54296875" bestFit="1" customWidth="1"/>
    <col min="8" max="8" width="14" bestFit="1" customWidth="1"/>
    <col min="9" max="9" width="12" bestFit="1" customWidth="1"/>
  </cols>
  <sheetData>
    <row r="1" spans="1:3" s="11" customFormat="1" ht="15.5" x14ac:dyDescent="0.25">
      <c r="A1" s="13" t="s">
        <v>9</v>
      </c>
      <c r="B1" s="18" t="s">
        <v>372</v>
      </c>
    </row>
    <row r="2" spans="1:3" s="11" customFormat="1" x14ac:dyDescent="0.25">
      <c r="A2" s="14"/>
    </row>
    <row r="3" spans="1:3" ht="13" x14ac:dyDescent="0.25">
      <c r="A3" s="14"/>
      <c r="B3" s="17" t="str">
        <f ca="1">GetNameRange(B4)</f>
        <v>BalanceSheet</v>
      </c>
      <c r="C3" s="11"/>
    </row>
    <row r="4" spans="1:3" ht="13" x14ac:dyDescent="0.25">
      <c r="A4" s="55"/>
      <c r="B4" s="57" t="s">
        <v>10</v>
      </c>
      <c r="C4" s="42" t="s">
        <v>449</v>
      </c>
    </row>
    <row r="5" spans="1:3" ht="13" x14ac:dyDescent="0.25">
      <c r="A5" s="56" t="s">
        <v>8</v>
      </c>
      <c r="B5" s="19" t="s">
        <v>0</v>
      </c>
      <c r="C5" s="24"/>
    </row>
    <row r="6" spans="1:3" ht="13" x14ac:dyDescent="0.25">
      <c r="A6" s="20"/>
      <c r="B6" s="59"/>
      <c r="C6" s="60"/>
    </row>
    <row r="7" spans="1:3" ht="13" x14ac:dyDescent="0.25">
      <c r="A7" s="20"/>
      <c r="B7" s="59" t="s">
        <v>373</v>
      </c>
      <c r="C7" s="60"/>
    </row>
    <row r="8" spans="1:3" x14ac:dyDescent="0.25">
      <c r="A8" s="31" t="s">
        <v>256</v>
      </c>
      <c r="B8" s="92" t="s">
        <v>374</v>
      </c>
      <c r="C8" s="27" t="s">
        <v>256</v>
      </c>
    </row>
    <row r="9" spans="1:3" x14ac:dyDescent="0.25">
      <c r="A9" s="31" t="s">
        <v>260</v>
      </c>
      <c r="B9" s="92" t="s">
        <v>375</v>
      </c>
      <c r="C9" s="27" t="s">
        <v>260</v>
      </c>
    </row>
    <row r="10" spans="1:3" x14ac:dyDescent="0.25">
      <c r="A10" s="31" t="s">
        <v>261</v>
      </c>
      <c r="B10" s="92" t="s">
        <v>376</v>
      </c>
      <c r="C10" s="27" t="s">
        <v>261</v>
      </c>
    </row>
    <row r="11" spans="1:3" x14ac:dyDescent="0.25">
      <c r="A11" s="31" t="s">
        <v>256</v>
      </c>
      <c r="B11" s="92" t="s">
        <v>377</v>
      </c>
      <c r="C11" s="27" t="s">
        <v>256</v>
      </c>
    </row>
    <row r="12" spans="1:3" x14ac:dyDescent="0.25">
      <c r="A12" s="31" t="s">
        <v>389</v>
      </c>
      <c r="B12" s="92" t="s">
        <v>378</v>
      </c>
      <c r="C12" s="27" t="s">
        <v>389</v>
      </c>
    </row>
    <row r="13" spans="1:3" x14ac:dyDescent="0.25">
      <c r="A13" s="31" t="s">
        <v>261</v>
      </c>
      <c r="B13" s="92" t="s">
        <v>379</v>
      </c>
      <c r="C13" s="27" t="s">
        <v>261</v>
      </c>
    </row>
    <row r="14" spans="1:3" x14ac:dyDescent="0.25">
      <c r="A14" s="31" t="s">
        <v>256</v>
      </c>
      <c r="B14" s="92" t="s">
        <v>380</v>
      </c>
      <c r="C14" s="27" t="s">
        <v>256</v>
      </c>
    </row>
    <row r="15" spans="1:3" x14ac:dyDescent="0.25">
      <c r="A15" s="31" t="s">
        <v>261</v>
      </c>
      <c r="B15" s="92" t="s">
        <v>381</v>
      </c>
      <c r="C15" s="27" t="s">
        <v>261</v>
      </c>
    </row>
    <row r="16" spans="1:3" x14ac:dyDescent="0.25">
      <c r="A16" s="31" t="s">
        <v>257</v>
      </c>
      <c r="B16" s="92" t="s">
        <v>382</v>
      </c>
      <c r="C16" s="27" t="s">
        <v>257</v>
      </c>
    </row>
    <row r="17" spans="1:3" x14ac:dyDescent="0.25">
      <c r="A17" s="31" t="s">
        <v>261</v>
      </c>
      <c r="B17" s="92" t="s">
        <v>383</v>
      </c>
      <c r="C17" s="27" t="s">
        <v>261</v>
      </c>
    </row>
    <row r="18" spans="1:3" x14ac:dyDescent="0.25">
      <c r="A18" s="31" t="s">
        <v>258</v>
      </c>
      <c r="B18" s="92" t="s">
        <v>384</v>
      </c>
      <c r="C18" s="27" t="s">
        <v>258</v>
      </c>
    </row>
    <row r="19" spans="1:3" x14ac:dyDescent="0.25">
      <c r="A19" s="31" t="s">
        <v>261</v>
      </c>
      <c r="B19" s="92" t="s">
        <v>385</v>
      </c>
      <c r="C19" s="27" t="s">
        <v>261</v>
      </c>
    </row>
    <row r="20" spans="1:3" x14ac:dyDescent="0.25">
      <c r="A20" s="31" t="s">
        <v>259</v>
      </c>
      <c r="B20" s="92" t="s">
        <v>386</v>
      </c>
      <c r="C20" s="27" t="s">
        <v>259</v>
      </c>
    </row>
    <row r="21" spans="1:3" x14ac:dyDescent="0.25">
      <c r="A21" s="31" t="s">
        <v>259</v>
      </c>
      <c r="B21" s="92" t="s">
        <v>387</v>
      </c>
      <c r="C21" s="27" t="s">
        <v>259</v>
      </c>
    </row>
    <row r="22" spans="1:3" x14ac:dyDescent="0.25">
      <c r="A22" s="31" t="s">
        <v>261</v>
      </c>
      <c r="B22" s="93" t="s">
        <v>388</v>
      </c>
      <c r="C22" s="29" t="s">
        <v>261</v>
      </c>
    </row>
  </sheetData>
  <conditionalFormatting sqref="C8:C22">
    <cfRule type="cellIs" dxfId="1165" priority="1" operator="notEqual">
      <formula>$A8</formula>
    </cfRule>
  </conditionalFormatting>
  <dataValidations count="7">
    <dataValidation type="list" allowBlank="1" showInputMessage="1" showErrorMessage="1" sqref="C8 C11 C14" xr:uid="{00000000-0002-0000-0700-000000000000}">
      <formula1>"Amortized Cost"</formula1>
    </dataValidation>
    <dataValidation type="list" allowBlank="1" showInputMessage="1" showErrorMessage="1" sqref="C9" xr:uid="{00000000-0002-0000-0700-000001000000}">
      <formula1>"To Maturity,To First Call,To First Par Call,To First Put,To First Par Put,To Yield to Worst"</formula1>
    </dataValidation>
    <dataValidation type="list" allowBlank="1" showInputMessage="1" showErrorMessage="1" sqref="C10 C13 C15" xr:uid="{00000000-0002-0000-0700-000002000000}">
      <formula1>"Cost Basis"</formula1>
    </dataValidation>
    <dataValidation type="list" allowBlank="1" showInputMessage="1" showErrorMessage="1" sqref="C12" xr:uid="{00000000-0002-0000-0700-000003000000}">
      <formula1>"To Next Rate Reset,To Maturity"</formula1>
    </dataValidation>
    <dataValidation type="list" allowBlank="1" showInputMessage="1" showErrorMessage="1" sqref="C16 C21" xr:uid="{00000000-0002-0000-0700-000004000000}">
      <formula1>"Straight-Line Amortization,Actual Cost,Market Value"</formula1>
    </dataValidation>
    <dataValidation type="list" allowBlank="1" showInputMessage="1" showErrorMessage="1" sqref="C17 C19:C20 C22" xr:uid="{00000000-0002-0000-0700-000005000000}">
      <formula1>"Cost Basis,Market Value,Lower of Cost and Market,Historic Lowest Cost,Historic Lowest Cost and Market"</formula1>
    </dataValidation>
    <dataValidation type="list" allowBlank="1" showInputMessage="1" showErrorMessage="1" sqref="C18" xr:uid="{00000000-0002-0000-0700-000006000000}">
      <formula1>"Straight-Line Depreciation,Actual Cost,Market Value"</formula1>
    </dataValidation>
  </dataValidations>
  <hyperlinks>
    <hyperlink ref="A1" location="'Table of Contents'!A1" display="Go to TOC" xr:uid="{00000000-0004-0000-07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7030A0"/>
  </sheetPr>
  <dimension ref="A1:EB96"/>
  <sheetViews>
    <sheetView showGridLines="0" topLeftCell="B1" zoomScale="85" zoomScaleNormal="85" workbookViewId="0">
      <selection activeCell="J26" sqref="J26"/>
    </sheetView>
  </sheetViews>
  <sheetFormatPr defaultColWidth="15.54296875" defaultRowHeight="12.5" x14ac:dyDescent="0.25"/>
  <cols>
    <col min="1" max="1" width="15.54296875" style="14"/>
    <col min="2" max="2" width="36.1796875" style="11" customWidth="1"/>
    <col min="3" max="3" width="29.7265625" style="11" customWidth="1"/>
    <col min="4" max="11" width="11.54296875" style="11" customWidth="1"/>
    <col min="12" max="16384" width="15.54296875" style="11"/>
  </cols>
  <sheetData>
    <row r="1" spans="1:11" ht="15.5" x14ac:dyDescent="0.25">
      <c r="A1" s="21" t="s">
        <v>9</v>
      </c>
      <c r="B1" s="18" t="s">
        <v>605</v>
      </c>
    </row>
    <row r="3" spans="1:11" ht="13" x14ac:dyDescent="0.25">
      <c r="B3" s="17" t="str">
        <f ca="1">GetNameRange(B4)</f>
        <v>PurchAssetsDefnAIGBond</v>
      </c>
    </row>
    <row r="4" spans="1:11" ht="13" x14ac:dyDescent="0.25">
      <c r="A4" s="56" t="s">
        <v>8</v>
      </c>
      <c r="B4" s="196" t="s">
        <v>0</v>
      </c>
      <c r="C4" s="148"/>
    </row>
    <row r="5" spans="1:11" x14ac:dyDescent="0.25">
      <c r="A5" s="200" t="s">
        <v>121</v>
      </c>
      <c r="B5" s="130" t="s">
        <v>602</v>
      </c>
      <c r="C5" s="121" t="s">
        <v>121</v>
      </c>
    </row>
    <row r="6" spans="1:11" ht="14.5" x14ac:dyDescent="0.35">
      <c r="C6" s="202"/>
    </row>
    <row r="7" spans="1:11" ht="13" x14ac:dyDescent="0.25">
      <c r="B7" s="17" t="str">
        <f ca="1">GetNameRange(B8)</f>
        <v>AIGBondCashFlowPctInputVector</v>
      </c>
      <c r="C7" s="148" t="s">
        <v>604</v>
      </c>
    </row>
    <row r="8" spans="1:11" ht="13" x14ac:dyDescent="0.25">
      <c r="A8" s="56" t="s">
        <v>8</v>
      </c>
      <c r="B8" s="196" t="s">
        <v>603</v>
      </c>
      <c r="C8" s="148" t="s">
        <v>606</v>
      </c>
      <c r="D8" s="11">
        <v>0</v>
      </c>
      <c r="E8" s="11">
        <v>0</v>
      </c>
      <c r="F8" s="11">
        <v>0</v>
      </c>
      <c r="G8" s="11">
        <v>0</v>
      </c>
      <c r="H8" s="11">
        <v>1</v>
      </c>
      <c r="I8" s="11">
        <v>1</v>
      </c>
      <c r="J8" s="11">
        <v>1</v>
      </c>
      <c r="K8" s="11">
        <v>2</v>
      </c>
    </row>
    <row r="9" spans="1:11" ht="13" x14ac:dyDescent="0.25">
      <c r="A9" s="56"/>
      <c r="B9" s="102"/>
      <c r="C9" s="26" t="s">
        <v>607</v>
      </c>
      <c r="D9" s="11">
        <v>5</v>
      </c>
      <c r="E9" s="11">
        <v>7</v>
      </c>
      <c r="F9" s="11">
        <v>8</v>
      </c>
      <c r="G9" s="11">
        <v>10</v>
      </c>
      <c r="H9" s="11">
        <v>5</v>
      </c>
      <c r="I9" s="11">
        <v>7</v>
      </c>
      <c r="J9" s="11">
        <v>10</v>
      </c>
      <c r="K9" s="11">
        <v>10</v>
      </c>
    </row>
    <row r="10" spans="1:11" ht="14.5" x14ac:dyDescent="0.35">
      <c r="A10" s="199">
        <v>5.3917905705351342E-2</v>
      </c>
      <c r="B10" s="198">
        <v>1</v>
      </c>
      <c r="C10" s="201"/>
      <c r="D10" s="256">
        <v>1.5186214378383595E-3</v>
      </c>
      <c r="E10" s="256">
        <v>0</v>
      </c>
      <c r="F10" s="256">
        <v>0</v>
      </c>
      <c r="G10" s="256">
        <v>0</v>
      </c>
      <c r="H10" s="257">
        <v>3.1527517198035031E-2</v>
      </c>
      <c r="I10" s="257">
        <v>8.2459790130867142E-2</v>
      </c>
      <c r="J10" s="258">
        <v>4.5997718403004061E-2</v>
      </c>
      <c r="K10" s="256">
        <f>J10</f>
        <v>4.5997718403004061E-2</v>
      </c>
    </row>
    <row r="11" spans="1:11" ht="14.5" x14ac:dyDescent="0.35">
      <c r="A11" s="199">
        <v>5.8776596268576224E-2</v>
      </c>
      <c r="B11" s="198">
        <v>2</v>
      </c>
      <c r="C11" s="201"/>
      <c r="D11" s="256">
        <v>7.3951560413074519E-2</v>
      </c>
      <c r="E11" s="256">
        <v>7.3846803849706585E-2</v>
      </c>
      <c r="F11" s="256">
        <v>2.1283947650185861E-2</v>
      </c>
      <c r="G11" s="256">
        <v>5.9546224889017917E-2</v>
      </c>
      <c r="H11" s="257">
        <v>6.7631285171893749E-2</v>
      </c>
      <c r="I11" s="257">
        <v>5.285205170195241E-2</v>
      </c>
      <c r="J11" s="258">
        <v>7.9921211798627045E-2</v>
      </c>
      <c r="K11" s="256">
        <f t="shared" ref="K11:K50" si="0">J11</f>
        <v>7.9921211798627045E-2</v>
      </c>
    </row>
    <row r="12" spans="1:11" ht="14.5" x14ac:dyDescent="0.35">
      <c r="A12" s="199">
        <v>5.8120777278601883E-2</v>
      </c>
      <c r="B12" s="198">
        <v>3</v>
      </c>
      <c r="C12" s="201"/>
      <c r="D12" s="256">
        <v>6.7815461542615071E-2</v>
      </c>
      <c r="E12" s="256">
        <v>6.9593072073954265E-2</v>
      </c>
      <c r="F12" s="256">
        <v>2.5611458190089809E-2</v>
      </c>
      <c r="G12" s="256">
        <v>6.1737920610234823E-2</v>
      </c>
      <c r="H12" s="257">
        <v>5.5926588493958707E-2</v>
      </c>
      <c r="I12" s="257">
        <v>4.8282347012110621E-2</v>
      </c>
      <c r="J12" s="258">
        <v>6.8840160600376413E-2</v>
      </c>
      <c r="K12" s="256">
        <f t="shared" si="0"/>
        <v>6.8840160600376413E-2</v>
      </c>
    </row>
    <row r="13" spans="1:11" ht="14.5" x14ac:dyDescent="0.35">
      <c r="A13" s="199">
        <v>5.7631996490012806E-2</v>
      </c>
      <c r="B13" s="198">
        <v>4</v>
      </c>
      <c r="C13" s="201"/>
      <c r="D13" s="256">
        <v>6.4471982763224356E-2</v>
      </c>
      <c r="E13" s="256">
        <v>7.4936629262628077E-2</v>
      </c>
      <c r="F13" s="256">
        <v>3.09063326514111E-2</v>
      </c>
      <c r="G13" s="256">
        <v>7.2656745554548097E-2</v>
      </c>
      <c r="H13" s="257">
        <v>5.0786992314912946E-2</v>
      </c>
      <c r="I13" s="257">
        <v>4.4791250686701485E-2</v>
      </c>
      <c r="J13" s="258">
        <v>6.0589136531327775E-2</v>
      </c>
      <c r="K13" s="256">
        <f t="shared" si="0"/>
        <v>6.0589136531327775E-2</v>
      </c>
    </row>
    <row r="14" spans="1:11" ht="14.5" x14ac:dyDescent="0.35">
      <c r="A14" s="199">
        <v>5.7026151618516312E-2</v>
      </c>
      <c r="B14" s="198">
        <v>5</v>
      </c>
      <c r="C14" s="201"/>
      <c r="D14" s="256">
        <v>6.3998708942060736E-2</v>
      </c>
      <c r="E14" s="256">
        <v>7.3987690616371574E-2</v>
      </c>
      <c r="F14" s="256">
        <v>2.9056224714139781E-2</v>
      </c>
      <c r="G14" s="256">
        <v>7.4106396947183947E-2</v>
      </c>
      <c r="H14" s="257">
        <v>4.8102777944464187E-2</v>
      </c>
      <c r="I14" s="257">
        <v>4.4407718110474656E-2</v>
      </c>
      <c r="J14" s="258">
        <v>5.5852995340196297E-2</v>
      </c>
      <c r="K14" s="256">
        <f t="shared" si="0"/>
        <v>5.5852995340196297E-2</v>
      </c>
    </row>
    <row r="15" spans="1:11" ht="14.5" x14ac:dyDescent="0.35">
      <c r="A15" s="199">
        <v>5.5953331551952673E-2</v>
      </c>
      <c r="B15" s="198">
        <v>6</v>
      </c>
      <c r="C15" s="201"/>
      <c r="D15" s="256">
        <v>0</v>
      </c>
      <c r="E15" s="256">
        <v>5.7672149219642609E-2</v>
      </c>
      <c r="F15" s="256">
        <v>3.5412959229697345E-2</v>
      </c>
      <c r="G15" s="256">
        <v>6.1239674426467126E-2</v>
      </c>
      <c r="H15" s="257">
        <v>2.4287212009018816E-2</v>
      </c>
      <c r="I15" s="257">
        <v>3.6545216349730097E-2</v>
      </c>
      <c r="J15" s="258">
        <v>5.3869654027760713E-2</v>
      </c>
      <c r="K15" s="256">
        <f t="shared" si="0"/>
        <v>5.3869654027760713E-2</v>
      </c>
    </row>
    <row r="16" spans="1:11" ht="14.5" x14ac:dyDescent="0.35">
      <c r="A16" s="199">
        <v>5.4460170220140242E-2</v>
      </c>
      <c r="B16" s="198">
        <v>7</v>
      </c>
      <c r="C16" s="201"/>
      <c r="D16" s="256">
        <v>3.8487179919697127E-2</v>
      </c>
      <c r="E16" s="256">
        <v>5.7417532524345616E-2</v>
      </c>
      <c r="F16" s="256">
        <v>2.0839991390459715E-2</v>
      </c>
      <c r="G16" s="256">
        <v>6.2734823633870271E-2</v>
      </c>
      <c r="H16" s="257">
        <v>1.8265705176820392E-2</v>
      </c>
      <c r="I16" s="257">
        <v>2.3055685592423325E-2</v>
      </c>
      <c r="J16" s="258">
        <v>3.5274053410147548E-2</v>
      </c>
      <c r="K16" s="256">
        <f t="shared" si="0"/>
        <v>3.5274053410147548E-2</v>
      </c>
    </row>
    <row r="17" spans="1:11" ht="14.5" x14ac:dyDescent="0.35">
      <c r="A17" s="199">
        <v>5.3431835806988411E-2</v>
      </c>
      <c r="B17" s="198">
        <v>8</v>
      </c>
      <c r="C17" s="201"/>
      <c r="D17" s="256">
        <v>1.2662042453776164E-2</v>
      </c>
      <c r="E17" s="256">
        <v>0</v>
      </c>
      <c r="F17" s="256">
        <v>1.9689993554529779E-2</v>
      </c>
      <c r="G17" s="256">
        <v>5.3834818817602596E-2</v>
      </c>
      <c r="H17" s="257">
        <v>2.1104074967018525E-2</v>
      </c>
      <c r="I17" s="257">
        <v>1.4684753315521566E-2</v>
      </c>
      <c r="J17" s="258">
        <v>3.9794509547661325E-2</v>
      </c>
      <c r="K17" s="256">
        <f t="shared" si="0"/>
        <v>3.9794509547661325E-2</v>
      </c>
    </row>
    <row r="18" spans="1:11" ht="14.5" x14ac:dyDescent="0.35">
      <c r="A18" s="199">
        <v>5.3455775476621212E-2</v>
      </c>
      <c r="B18" s="198">
        <v>9</v>
      </c>
      <c r="C18" s="201"/>
      <c r="D18" s="256">
        <v>1.3930261824934811E-2</v>
      </c>
      <c r="E18" s="256">
        <v>4.550141859442023E-2</v>
      </c>
      <c r="F18" s="256">
        <v>0</v>
      </c>
      <c r="G18" s="256">
        <v>5.4975164338576951E-2</v>
      </c>
      <c r="H18" s="257">
        <v>1.6698994306269772E-2</v>
      </c>
      <c r="I18" s="257">
        <v>1.3306991665986459E-2</v>
      </c>
      <c r="J18" s="258">
        <v>3.0794573161321167E-2</v>
      </c>
      <c r="K18" s="256">
        <f t="shared" si="0"/>
        <v>3.0794573161321167E-2</v>
      </c>
    </row>
    <row r="19" spans="1:11" ht="14.5" x14ac:dyDescent="0.35">
      <c r="A19" s="199">
        <v>0.290992198743802</v>
      </c>
      <c r="B19" s="198">
        <v>10</v>
      </c>
      <c r="C19" s="201"/>
      <c r="D19" s="256">
        <v>1.2596551995922089E-2</v>
      </c>
      <c r="E19" s="256">
        <v>1.7816454094912476E-2</v>
      </c>
      <c r="F19" s="256">
        <v>4.9759281205635109E-2</v>
      </c>
      <c r="G19" s="256">
        <v>4.6625676205692815E-2</v>
      </c>
      <c r="H19" s="257">
        <v>1.4131106994025512E-2</v>
      </c>
      <c r="I19" s="257">
        <v>1.0749088243337179E-2</v>
      </c>
      <c r="J19" s="258">
        <v>2.4835165509975797E-2</v>
      </c>
      <c r="K19" s="256">
        <f t="shared" si="0"/>
        <v>2.4835165509975797E-2</v>
      </c>
    </row>
    <row r="20" spans="1:11" ht="14.5" x14ac:dyDescent="0.35">
      <c r="A20" s="199">
        <v>0.26012464917419748</v>
      </c>
      <c r="B20" s="198">
        <v>11</v>
      </c>
      <c r="C20" s="201"/>
      <c r="D20" s="256">
        <v>2.2115877392907275E-2</v>
      </c>
      <c r="E20" s="256">
        <v>2.1503608556969436E-2</v>
      </c>
      <c r="F20" s="256">
        <v>2.1073716620068735E-2</v>
      </c>
      <c r="G20" s="256">
        <v>0</v>
      </c>
      <c r="H20" s="257">
        <v>8.1915551237304596E-3</v>
      </c>
      <c r="I20" s="257">
        <v>1.1924888509561011E-2</v>
      </c>
      <c r="J20" s="258">
        <v>9.7063808688919537E-3</v>
      </c>
      <c r="K20" s="256">
        <f t="shared" si="0"/>
        <v>9.7063808688919537E-3</v>
      </c>
    </row>
    <row r="21" spans="1:11" ht="14.5" x14ac:dyDescent="0.35">
      <c r="A21" s="199">
        <v>9.2760637115809494E-2</v>
      </c>
      <c r="B21" s="198">
        <v>12</v>
      </c>
      <c r="C21" s="201"/>
      <c r="D21" s="256">
        <v>7.7314252721579968E-3</v>
      </c>
      <c r="E21" s="256">
        <v>6.9617541134580838E-3</v>
      </c>
      <c r="F21" s="256">
        <v>1.307409348693974E-2</v>
      </c>
      <c r="G21" s="256">
        <v>4.8305083505478831E-2</v>
      </c>
      <c r="H21" s="257">
        <v>2.2413380488705828E-3</v>
      </c>
      <c r="I21" s="257">
        <v>6.5604085451949658E-3</v>
      </c>
      <c r="J21" s="258">
        <v>2.6111754696641998E-3</v>
      </c>
      <c r="K21" s="256">
        <f t="shared" si="0"/>
        <v>2.6111754696641998E-3</v>
      </c>
    </row>
    <row r="22" spans="1:11" ht="14.5" x14ac:dyDescent="0.35">
      <c r="A22" s="199">
        <v>8.65560283024151E-2</v>
      </c>
      <c r="B22" s="198">
        <v>13</v>
      </c>
      <c r="C22" s="201"/>
      <c r="D22" s="256">
        <v>2.4540973725312443E-2</v>
      </c>
      <c r="E22" s="256">
        <v>2.4360748397076869E-2</v>
      </c>
      <c r="F22" s="256">
        <v>1.3464519525033152E-2</v>
      </c>
      <c r="G22" s="256">
        <v>1.4077565980662114E-2</v>
      </c>
      <c r="H22" s="257">
        <v>4.9947212033312133E-4</v>
      </c>
      <c r="I22" s="257">
        <v>6.9952975155434033E-3</v>
      </c>
      <c r="J22" s="258">
        <v>1.8446966820298545E-3</v>
      </c>
      <c r="K22" s="256">
        <f t="shared" si="0"/>
        <v>1.8446966820298545E-3</v>
      </c>
    </row>
    <row r="23" spans="1:11" ht="14.5" x14ac:dyDescent="0.35">
      <c r="A23" s="199">
        <v>8.2777086855078591E-2</v>
      </c>
      <c r="B23" s="198">
        <v>14</v>
      </c>
      <c r="C23" s="201"/>
      <c r="D23" s="256">
        <v>1.42823187946521E-2</v>
      </c>
      <c r="E23" s="256">
        <v>1.6297426579740926E-2</v>
      </c>
      <c r="F23" s="256">
        <v>1.3016653364183596E-2</v>
      </c>
      <c r="G23" s="256">
        <v>1.2505227722611879E-2</v>
      </c>
      <c r="H23" s="257">
        <v>1.5121723489837648E-3</v>
      </c>
      <c r="I23" s="257">
        <v>9.1991686044723964E-3</v>
      </c>
      <c r="J23" s="258">
        <v>3.3734107116051835E-3</v>
      </c>
      <c r="K23" s="256">
        <f t="shared" si="0"/>
        <v>3.3734107116051835E-3</v>
      </c>
    </row>
    <row r="24" spans="1:11" ht="14.5" x14ac:dyDescent="0.35">
      <c r="A24" s="199">
        <v>0.15631420827650058</v>
      </c>
      <c r="B24" s="198">
        <v>15</v>
      </c>
      <c r="C24" s="201"/>
      <c r="D24" s="256">
        <v>1.5751198820031211E-2</v>
      </c>
      <c r="E24" s="256">
        <v>1.3585246108421564E-2</v>
      </c>
      <c r="F24" s="256">
        <v>1.5260772867904799E-2</v>
      </c>
      <c r="G24" s="256">
        <v>1.4353898809010023E-2</v>
      </c>
      <c r="H24" s="257">
        <v>2.0380481603191006E-3</v>
      </c>
      <c r="I24" s="257">
        <v>1.0214485335106847E-2</v>
      </c>
      <c r="J24" s="258">
        <v>5.3288152564381725E-3</v>
      </c>
      <c r="K24" s="256">
        <f t="shared" si="0"/>
        <v>5.3288152564381725E-3</v>
      </c>
    </row>
    <row r="25" spans="1:11" ht="14.5" x14ac:dyDescent="0.35">
      <c r="A25" s="199">
        <v>0.10011654849894415</v>
      </c>
      <c r="B25" s="198">
        <v>16</v>
      </c>
      <c r="C25" s="201"/>
      <c r="D25" s="256">
        <v>1.5339315517082772E-2</v>
      </c>
      <c r="E25" s="256">
        <v>1.562111823906138E-2</v>
      </c>
      <c r="F25" s="256">
        <v>1.4225283508778514E-2</v>
      </c>
      <c r="G25" s="256">
        <v>1.4475820747449063E-2</v>
      </c>
      <c r="H25" s="257">
        <v>3.9372841473580104E-3</v>
      </c>
      <c r="I25" s="257">
        <v>9.8762852753097666E-3</v>
      </c>
      <c r="J25" s="258">
        <v>7.9984148038238258E-3</v>
      </c>
      <c r="K25" s="256">
        <f t="shared" si="0"/>
        <v>7.9984148038238258E-3</v>
      </c>
    </row>
    <row r="26" spans="1:11" ht="14.5" x14ac:dyDescent="0.35">
      <c r="A26" s="199">
        <v>7.4822414879991681E-2</v>
      </c>
      <c r="B26" s="198">
        <v>17</v>
      </c>
      <c r="C26" s="201"/>
      <c r="D26" s="256">
        <v>0</v>
      </c>
      <c r="E26" s="256">
        <v>0</v>
      </c>
      <c r="F26" s="256">
        <v>3.3245144459484468E-3</v>
      </c>
      <c r="G26" s="256">
        <v>8.1824880706249728E-3</v>
      </c>
      <c r="H26" s="257">
        <v>5.0495509526046469E-3</v>
      </c>
      <c r="I26" s="257">
        <v>1.2141073877929105E-2</v>
      </c>
      <c r="J26" s="258">
        <v>9.2064561685065473E-3</v>
      </c>
      <c r="K26" s="256">
        <f t="shared" si="0"/>
        <v>9.2064561685065473E-3</v>
      </c>
    </row>
    <row r="27" spans="1:11" ht="14.5" x14ac:dyDescent="0.35">
      <c r="A27" s="199">
        <v>6.9202258383078419E-2</v>
      </c>
      <c r="B27" s="198">
        <v>18</v>
      </c>
      <c r="C27" s="201"/>
      <c r="D27" s="256">
        <v>5.1597598288854317E-2</v>
      </c>
      <c r="E27" s="256">
        <v>4.5448897257962612E-2</v>
      </c>
      <c r="F27" s="256">
        <v>3.2089095547889343E-2</v>
      </c>
      <c r="G27" s="256">
        <v>2.621219966489861E-2</v>
      </c>
      <c r="H27" s="257">
        <v>6.4802341421152767E-3</v>
      </c>
      <c r="I27" s="257">
        <v>1.2999236425063697E-2</v>
      </c>
      <c r="J27" s="258">
        <v>1.0342389988173132E-2</v>
      </c>
      <c r="K27" s="256">
        <f t="shared" si="0"/>
        <v>1.0342389988173132E-2</v>
      </c>
    </row>
    <row r="28" spans="1:11" ht="14.5" x14ac:dyDescent="0.35">
      <c r="A28" s="199">
        <v>6.3105511128603492E-2</v>
      </c>
      <c r="B28" s="198">
        <v>19</v>
      </c>
      <c r="C28" s="201"/>
      <c r="D28" s="256">
        <v>1.5142440952278681E-2</v>
      </c>
      <c r="E28" s="256">
        <v>1.4914093628261163E-2</v>
      </c>
      <c r="F28" s="256">
        <v>1.4608481692919586E-2</v>
      </c>
      <c r="G28" s="256">
        <v>1.4986310556802827E-2</v>
      </c>
      <c r="H28" s="257">
        <v>1.0995325193609557E-2</v>
      </c>
      <c r="I28" s="257">
        <v>1.5474551395387412E-2</v>
      </c>
      <c r="J28" s="258">
        <v>1.2258806824077923E-2</v>
      </c>
      <c r="K28" s="256">
        <f t="shared" si="0"/>
        <v>1.2258806824077923E-2</v>
      </c>
    </row>
    <row r="29" spans="1:11" ht="14.5" x14ac:dyDescent="0.35">
      <c r="A29" s="199">
        <v>0.1639568586692858</v>
      </c>
      <c r="B29" s="198">
        <v>20</v>
      </c>
      <c r="C29" s="201"/>
      <c r="D29" s="256">
        <v>1.4907892081340206E-2</v>
      </c>
      <c r="E29" s="256">
        <v>1.4614606305234342E-2</v>
      </c>
      <c r="F29" s="256">
        <v>1.3967171390299947E-2</v>
      </c>
      <c r="G29" s="256">
        <v>1.3744000757017425E-2</v>
      </c>
      <c r="H29" s="257">
        <v>1.0702466006619489E-2</v>
      </c>
      <c r="I29" s="257">
        <v>1.6281668897702283E-2</v>
      </c>
      <c r="J29" s="258">
        <v>1.2337997121788274E-2</v>
      </c>
      <c r="K29" s="256">
        <f t="shared" si="0"/>
        <v>1.2337997121788274E-2</v>
      </c>
    </row>
    <row r="30" spans="1:11" ht="14.5" x14ac:dyDescent="0.35">
      <c r="A30" s="199">
        <v>9.4998101249802153E-2</v>
      </c>
      <c r="B30" s="198">
        <v>21</v>
      </c>
      <c r="C30" s="201"/>
      <c r="D30" s="256">
        <v>1.3638234727543233E-2</v>
      </c>
      <c r="E30" s="256">
        <v>1.4319132311558113E-2</v>
      </c>
      <c r="F30" s="256">
        <v>1.5197141719636993E-2</v>
      </c>
      <c r="G30" s="256">
        <v>1.4378587561215716E-2</v>
      </c>
      <c r="H30" s="257">
        <v>1.6235129824230914E-2</v>
      </c>
      <c r="I30" s="257">
        <v>1.635952067849494E-2</v>
      </c>
      <c r="J30" s="258">
        <v>1.4145704774905668E-2</v>
      </c>
      <c r="K30" s="256">
        <f t="shared" si="0"/>
        <v>1.4145704774905668E-2</v>
      </c>
    </row>
    <row r="31" spans="1:11" ht="14.5" x14ac:dyDescent="0.35">
      <c r="A31" s="199">
        <v>5.8986548903383652E-2</v>
      </c>
      <c r="B31" s="198">
        <v>22</v>
      </c>
      <c r="C31" s="201"/>
      <c r="D31" s="256">
        <v>4.3549630832205301E-21</v>
      </c>
      <c r="E31" s="256">
        <v>1.2069103049446867E-3</v>
      </c>
      <c r="F31" s="256">
        <v>0</v>
      </c>
      <c r="G31" s="256">
        <v>0</v>
      </c>
      <c r="H31" s="257">
        <v>0.10054274295158312</v>
      </c>
      <c r="I31" s="257">
        <v>5.1432352212027022E-2</v>
      </c>
      <c r="J31" s="258">
        <v>0.10632011022604572</v>
      </c>
      <c r="K31" s="256">
        <f t="shared" si="0"/>
        <v>0.10632011022604572</v>
      </c>
    </row>
    <row r="32" spans="1:11" ht="14.5" x14ac:dyDescent="0.35">
      <c r="A32" s="199">
        <v>5.4039580425847424E-2</v>
      </c>
      <c r="B32" s="198">
        <v>23</v>
      </c>
      <c r="C32" s="201"/>
      <c r="D32" s="256">
        <v>5.2237441865730254E-2</v>
      </c>
      <c r="E32" s="256">
        <v>5.6605583307311171E-2</v>
      </c>
      <c r="F32" s="256">
        <v>4.1244636928071586E-2</v>
      </c>
      <c r="G32" s="256">
        <v>4.9095214168846366E-2</v>
      </c>
      <c r="H32" s="257">
        <v>2.1670929200490836E-3</v>
      </c>
      <c r="I32" s="257">
        <v>1.3026462535819915E-2</v>
      </c>
      <c r="J32" s="258">
        <v>2.3508820043745336E-3</v>
      </c>
      <c r="K32" s="256">
        <f t="shared" si="0"/>
        <v>2.3508820043745336E-3</v>
      </c>
    </row>
    <row r="33" spans="1:11" ht="14.5" x14ac:dyDescent="0.35">
      <c r="A33" s="199">
        <v>5.0979633725336405E-2</v>
      </c>
      <c r="B33" s="198">
        <v>24</v>
      </c>
      <c r="C33" s="201"/>
      <c r="D33" s="256">
        <v>1.5605454226477553E-2</v>
      </c>
      <c r="E33" s="256">
        <v>1.5856851341898962E-2</v>
      </c>
      <c r="F33" s="256">
        <v>1.677336444053552E-2</v>
      </c>
      <c r="G33" s="256">
        <v>1.872269072098388E-2</v>
      </c>
      <c r="H33" s="257">
        <v>1.4971631741920002E-2</v>
      </c>
      <c r="I33" s="257">
        <v>1.9765246946199355E-2</v>
      </c>
      <c r="J33" s="258">
        <v>1.5429142023729192E-2</v>
      </c>
      <c r="K33" s="256">
        <f t="shared" si="0"/>
        <v>1.5429142023729192E-2</v>
      </c>
    </row>
    <row r="34" spans="1:11" ht="14.5" x14ac:dyDescent="0.35">
      <c r="A34" s="199">
        <v>4.8958390628411612E-2</v>
      </c>
      <c r="B34" s="198">
        <v>25</v>
      </c>
      <c r="C34" s="201"/>
      <c r="D34" s="256">
        <v>1.3043355922593656E-2</v>
      </c>
      <c r="E34" s="256">
        <v>1.4430736304369817E-2</v>
      </c>
      <c r="F34" s="256">
        <v>1.4964495782647049E-2</v>
      </c>
      <c r="G34" s="256">
        <v>1.5995489928804389E-2</v>
      </c>
      <c r="H34" s="257">
        <v>1.0698442024816292E-2</v>
      </c>
      <c r="I34" s="257">
        <v>1.8295742938591701E-2</v>
      </c>
      <c r="J34" s="258">
        <v>1.120437387998335E-2</v>
      </c>
      <c r="K34" s="256">
        <f t="shared" si="0"/>
        <v>1.120437387998335E-2</v>
      </c>
    </row>
    <row r="35" spans="1:11" ht="14.5" x14ac:dyDescent="0.35">
      <c r="A35" s="199">
        <v>4.8006423536861596E-2</v>
      </c>
      <c r="B35" s="198">
        <v>26</v>
      </c>
      <c r="C35" s="201"/>
      <c r="D35" s="256">
        <v>1.46786064667307E-2</v>
      </c>
      <c r="E35" s="256">
        <v>1.5786928085260117E-2</v>
      </c>
      <c r="F35" s="256">
        <v>1.6648074028762498E-2</v>
      </c>
      <c r="G35" s="256">
        <v>1.7088934439655454E-2</v>
      </c>
      <c r="H35" s="257">
        <v>1.6248818101915127E-2</v>
      </c>
      <c r="I35" s="257">
        <v>1.8659772943368083E-2</v>
      </c>
      <c r="J35" s="258">
        <v>1.462716399593568E-2</v>
      </c>
      <c r="K35" s="256">
        <f t="shared" si="0"/>
        <v>1.462716399593568E-2</v>
      </c>
    </row>
    <row r="36" spans="1:11" ht="14.5" x14ac:dyDescent="0.35">
      <c r="A36" s="199">
        <v>4.7207286374477804E-2</v>
      </c>
      <c r="B36" s="198">
        <v>27</v>
      </c>
      <c r="C36" s="201"/>
      <c r="D36" s="256">
        <v>1.1629781665060647E-20</v>
      </c>
      <c r="E36" s="256">
        <v>2.4631566983540102E-3</v>
      </c>
      <c r="F36" s="256">
        <v>6.0295404409759475E-3</v>
      </c>
      <c r="G36" s="256">
        <v>4.2122799921974496E-4</v>
      </c>
      <c r="H36" s="257">
        <v>1.7320605831156605E-2</v>
      </c>
      <c r="I36" s="257">
        <v>1.7195058645669271E-2</v>
      </c>
      <c r="J36" s="258">
        <v>1.1547947687736379E-2</v>
      </c>
      <c r="K36" s="256">
        <f t="shared" si="0"/>
        <v>1.1547947687736379E-2</v>
      </c>
    </row>
    <row r="37" spans="1:11" ht="14.5" x14ac:dyDescent="0.35">
      <c r="A37" s="199">
        <v>4.6774209409942112E-2</v>
      </c>
      <c r="B37" s="198">
        <v>28</v>
      </c>
      <c r="C37" s="201"/>
      <c r="D37" s="256">
        <v>4.7715174728825048E-2</v>
      </c>
      <c r="E37" s="256">
        <v>5.5689760877056634E-2</v>
      </c>
      <c r="F37" s="256">
        <v>3.9654843961947524E-2</v>
      </c>
      <c r="G37" s="256">
        <v>4.7833836720602152E-2</v>
      </c>
      <c r="H37" s="257">
        <v>6.4271184134604776E-3</v>
      </c>
      <c r="I37" s="257">
        <v>2.1843144012376445E-2</v>
      </c>
      <c r="J37" s="258">
        <v>1.8253205314290654E-2</v>
      </c>
      <c r="K37" s="256">
        <f t="shared" si="0"/>
        <v>1.8253205314290654E-2</v>
      </c>
    </row>
    <row r="38" spans="1:11" ht="14.5" x14ac:dyDescent="0.35">
      <c r="A38" s="199">
        <v>4.6540189194022148E-2</v>
      </c>
      <c r="B38" s="198">
        <v>29</v>
      </c>
      <c r="C38" s="201"/>
      <c r="D38" s="256">
        <v>1.6066626170817659E-2</v>
      </c>
      <c r="E38" s="256">
        <v>1.6715687718218974E-2</v>
      </c>
      <c r="F38" s="256">
        <v>1.729594713658171E-2</v>
      </c>
      <c r="G38" s="256">
        <v>1.8258592170580755E-2</v>
      </c>
      <c r="H38" s="257">
        <v>1.54646279198054E-2</v>
      </c>
      <c r="I38" s="257">
        <v>1.8531910168331195E-2</v>
      </c>
      <c r="J38" s="258">
        <v>1.5286896286863038E-2</v>
      </c>
      <c r="K38" s="256">
        <f t="shared" si="0"/>
        <v>1.5286896286863038E-2</v>
      </c>
    </row>
    <row r="39" spans="1:11" ht="14.5" x14ac:dyDescent="0.35">
      <c r="A39" s="199">
        <v>0.44335907063382624</v>
      </c>
      <c r="B39" s="198">
        <v>30</v>
      </c>
      <c r="C39" s="201"/>
      <c r="D39" s="256">
        <v>0</v>
      </c>
      <c r="E39" s="256">
        <v>0</v>
      </c>
      <c r="F39" s="256">
        <v>0</v>
      </c>
      <c r="G39" s="256">
        <v>0</v>
      </c>
      <c r="H39" s="257">
        <v>0</v>
      </c>
      <c r="I39" s="257">
        <v>2.1541923628720871E-3</v>
      </c>
      <c r="J39" s="258">
        <v>0</v>
      </c>
      <c r="K39" s="256">
        <f t="shared" si="0"/>
        <v>0</v>
      </c>
    </row>
    <row r="40" spans="1:11" ht="14.5" x14ac:dyDescent="0.35">
      <c r="A40" s="199">
        <v>0.93684116964646202</v>
      </c>
      <c r="B40" s="198">
        <v>31</v>
      </c>
      <c r="C40" s="201"/>
      <c r="D40" s="256">
        <v>0</v>
      </c>
      <c r="E40" s="256">
        <v>0</v>
      </c>
      <c r="F40" s="256">
        <v>0</v>
      </c>
      <c r="G40" s="256">
        <v>0</v>
      </c>
      <c r="H40" s="257">
        <v>0</v>
      </c>
      <c r="I40" s="257">
        <v>2.1541923628720871E-3</v>
      </c>
      <c r="J40" s="258">
        <v>0</v>
      </c>
      <c r="K40" s="256">
        <f t="shared" si="0"/>
        <v>0</v>
      </c>
    </row>
    <row r="41" spans="1:11" ht="14.5" x14ac:dyDescent="0.35">
      <c r="A41" s="199">
        <v>0.99790502651903301</v>
      </c>
      <c r="B41" s="198">
        <v>32</v>
      </c>
      <c r="C41" s="201"/>
      <c r="D41" s="256">
        <v>0</v>
      </c>
      <c r="E41" s="256">
        <v>0</v>
      </c>
      <c r="F41" s="256">
        <v>0</v>
      </c>
      <c r="G41" s="256">
        <v>0</v>
      </c>
      <c r="H41" s="257">
        <v>0</v>
      </c>
      <c r="I41" s="257">
        <v>2.1541923628720871E-3</v>
      </c>
      <c r="J41" s="258">
        <v>0</v>
      </c>
      <c r="K41" s="256">
        <f t="shared" si="0"/>
        <v>0</v>
      </c>
    </row>
    <row r="42" spans="1:11" ht="14.5" x14ac:dyDescent="0.35">
      <c r="A42" s="199">
        <v>0.99757108092162394</v>
      </c>
      <c r="B42" s="198">
        <v>33</v>
      </c>
      <c r="C42" s="201"/>
      <c r="D42" s="256">
        <v>0</v>
      </c>
      <c r="E42" s="256">
        <v>0</v>
      </c>
      <c r="F42" s="256">
        <v>0</v>
      </c>
      <c r="G42" s="256">
        <v>0</v>
      </c>
      <c r="H42" s="257">
        <v>0</v>
      </c>
      <c r="I42" s="257">
        <v>2.1541923628720871E-3</v>
      </c>
      <c r="J42" s="258">
        <v>0</v>
      </c>
      <c r="K42" s="256">
        <f t="shared" si="0"/>
        <v>0</v>
      </c>
    </row>
    <row r="43" spans="1:11" ht="14.5" x14ac:dyDescent="0.35">
      <c r="A43" s="199">
        <v>0.99716066488364941</v>
      </c>
      <c r="B43" s="198">
        <v>34</v>
      </c>
      <c r="C43" s="201"/>
      <c r="D43" s="256">
        <v>0</v>
      </c>
      <c r="E43" s="256">
        <v>0</v>
      </c>
      <c r="F43" s="256">
        <v>0</v>
      </c>
      <c r="G43" s="256">
        <v>0</v>
      </c>
      <c r="H43" s="257">
        <v>0</v>
      </c>
      <c r="I43" s="257">
        <v>2.1541923628720871E-3</v>
      </c>
      <c r="J43" s="258">
        <v>0</v>
      </c>
      <c r="K43" s="256">
        <f t="shared" si="0"/>
        <v>0</v>
      </c>
    </row>
    <row r="44" spans="1:11" ht="14.5" x14ac:dyDescent="0.35">
      <c r="A44" s="199">
        <v>0.99662795286795325</v>
      </c>
      <c r="B44" s="198">
        <v>35</v>
      </c>
      <c r="C44" s="201"/>
      <c r="D44" s="256">
        <v>0</v>
      </c>
      <c r="E44" s="256">
        <v>0</v>
      </c>
      <c r="F44" s="256">
        <v>0</v>
      </c>
      <c r="G44" s="256">
        <v>0</v>
      </c>
      <c r="H44" s="257">
        <v>0</v>
      </c>
      <c r="I44" s="257">
        <v>2.1541923628720871E-3</v>
      </c>
      <c r="J44" s="258">
        <v>0</v>
      </c>
      <c r="K44" s="256">
        <f t="shared" si="0"/>
        <v>0</v>
      </c>
    </row>
    <row r="45" spans="1:11" ht="14.5" x14ac:dyDescent="0.35">
      <c r="A45" s="199">
        <v>0.99593734579848747</v>
      </c>
      <c r="B45" s="198">
        <v>36</v>
      </c>
      <c r="C45" s="201"/>
      <c r="D45" s="256">
        <v>0</v>
      </c>
      <c r="E45" s="256">
        <v>0</v>
      </c>
      <c r="F45" s="256">
        <v>0</v>
      </c>
      <c r="G45" s="256">
        <v>0</v>
      </c>
      <c r="H45" s="257">
        <v>0</v>
      </c>
      <c r="I45" s="257">
        <v>2.1541923628720871E-3</v>
      </c>
      <c r="J45" s="258">
        <v>0</v>
      </c>
      <c r="K45" s="256">
        <f t="shared" si="0"/>
        <v>0</v>
      </c>
    </row>
    <row r="46" spans="1:11" ht="14.5" x14ac:dyDescent="0.35">
      <c r="A46" s="199">
        <v>0.99509736982899843</v>
      </c>
      <c r="B46" s="198">
        <v>37</v>
      </c>
      <c r="C46" s="201"/>
      <c r="D46" s="256">
        <v>0</v>
      </c>
      <c r="E46" s="256">
        <v>0</v>
      </c>
      <c r="F46" s="256">
        <v>0</v>
      </c>
      <c r="G46" s="256">
        <v>0</v>
      </c>
      <c r="H46" s="257">
        <v>0</v>
      </c>
      <c r="I46" s="257">
        <v>2.1541923628720871E-3</v>
      </c>
      <c r="J46" s="258">
        <v>0</v>
      </c>
      <c r="K46" s="256">
        <f t="shared" si="0"/>
        <v>0</v>
      </c>
    </row>
    <row r="47" spans="1:11" ht="14.5" x14ac:dyDescent="0.35">
      <c r="A47" s="199">
        <v>0.99401627679841997</v>
      </c>
      <c r="B47" s="198">
        <v>38</v>
      </c>
      <c r="C47" s="201"/>
      <c r="D47" s="256">
        <v>0</v>
      </c>
      <c r="E47" s="256">
        <v>0</v>
      </c>
      <c r="F47" s="256">
        <v>0</v>
      </c>
      <c r="G47" s="256">
        <v>0</v>
      </c>
      <c r="H47" s="257">
        <v>0</v>
      </c>
      <c r="I47" s="257">
        <v>2.1541923628720871E-3</v>
      </c>
      <c r="J47" s="258">
        <v>0</v>
      </c>
      <c r="K47" s="256">
        <f t="shared" si="0"/>
        <v>0</v>
      </c>
    </row>
    <row r="48" spans="1:11" ht="14.5" x14ac:dyDescent="0.35">
      <c r="A48" s="199">
        <v>0.9926792887140965</v>
      </c>
      <c r="B48" s="198">
        <v>39</v>
      </c>
      <c r="C48" s="201"/>
      <c r="D48" s="256">
        <v>0</v>
      </c>
      <c r="E48" s="256">
        <v>0</v>
      </c>
      <c r="F48" s="256">
        <v>0</v>
      </c>
      <c r="G48" s="256">
        <v>0</v>
      </c>
      <c r="H48" s="257">
        <v>0</v>
      </c>
      <c r="I48" s="257">
        <v>2.1541923628720871E-3</v>
      </c>
      <c r="J48" s="258">
        <v>0</v>
      </c>
      <c r="K48" s="256">
        <f t="shared" si="0"/>
        <v>0</v>
      </c>
    </row>
    <row r="49" spans="1:132" ht="14.5" x14ac:dyDescent="0.35">
      <c r="A49" s="199">
        <v>0.99178448656389351</v>
      </c>
      <c r="B49" s="198">
        <v>40</v>
      </c>
      <c r="C49" s="201"/>
      <c r="D49" s="256">
        <v>0</v>
      </c>
      <c r="E49" s="256">
        <v>0</v>
      </c>
      <c r="F49" s="256">
        <v>0</v>
      </c>
      <c r="G49" s="256">
        <v>0</v>
      </c>
      <c r="H49" s="257">
        <v>0</v>
      </c>
      <c r="I49" s="257">
        <v>2.1541923628720871E-3</v>
      </c>
      <c r="J49" s="258">
        <v>0</v>
      </c>
      <c r="K49" s="256">
        <f t="shared" si="0"/>
        <v>0</v>
      </c>
    </row>
    <row r="50" spans="1:132" ht="14.5" x14ac:dyDescent="0.35">
      <c r="A50" s="199">
        <v>5.7032114878819262E-2</v>
      </c>
      <c r="B50" s="197">
        <v>41</v>
      </c>
      <c r="C50" s="201"/>
      <c r="D50" s="256">
        <v>0</v>
      </c>
      <c r="E50" s="256">
        <v>0</v>
      </c>
      <c r="F50" s="256">
        <v>0</v>
      </c>
      <c r="G50" s="256">
        <v>0</v>
      </c>
      <c r="H50" s="258">
        <v>0</v>
      </c>
      <c r="I50" s="258">
        <v>2.1541923628720871E-3</v>
      </c>
      <c r="J50" s="258">
        <v>0</v>
      </c>
      <c r="K50" s="256">
        <f t="shared" si="0"/>
        <v>0</v>
      </c>
    </row>
    <row r="53" spans="1:132" x14ac:dyDescent="0.25">
      <c r="BO53" s="11">
        <v>1</v>
      </c>
      <c r="BP53" s="11">
        <f>BO53+1</f>
        <v>2</v>
      </c>
      <c r="BQ53" s="11">
        <f t="shared" ref="BQ53:CH53" si="1">BP53+1</f>
        <v>3</v>
      </c>
      <c r="BR53" s="11">
        <f t="shared" si="1"/>
        <v>4</v>
      </c>
      <c r="BS53" s="11">
        <f t="shared" si="1"/>
        <v>5</v>
      </c>
      <c r="BT53" s="11">
        <f t="shared" si="1"/>
        <v>6</v>
      </c>
      <c r="BU53" s="11">
        <f t="shared" si="1"/>
        <v>7</v>
      </c>
      <c r="BV53" s="11">
        <f t="shared" si="1"/>
        <v>8</v>
      </c>
      <c r="BW53" s="11">
        <f t="shared" si="1"/>
        <v>9</v>
      </c>
      <c r="BX53" s="11">
        <f t="shared" si="1"/>
        <v>10</v>
      </c>
      <c r="BY53" s="11">
        <f t="shared" si="1"/>
        <v>11</v>
      </c>
      <c r="BZ53" s="11">
        <f t="shared" si="1"/>
        <v>12</v>
      </c>
      <c r="CA53" s="11">
        <f t="shared" si="1"/>
        <v>13</v>
      </c>
      <c r="CB53" s="11">
        <f t="shared" si="1"/>
        <v>14</v>
      </c>
      <c r="CC53" s="11">
        <f t="shared" si="1"/>
        <v>15</v>
      </c>
      <c r="CD53" s="11">
        <f t="shared" si="1"/>
        <v>16</v>
      </c>
      <c r="CE53" s="11">
        <f t="shared" si="1"/>
        <v>17</v>
      </c>
      <c r="CF53" s="11">
        <f t="shared" si="1"/>
        <v>18</v>
      </c>
      <c r="CG53" s="11">
        <f t="shared" si="1"/>
        <v>19</v>
      </c>
      <c r="CH53" s="11">
        <f t="shared" si="1"/>
        <v>20</v>
      </c>
    </row>
    <row r="54" spans="1:132" ht="13" x14ac:dyDescent="0.25">
      <c r="B54" s="117" t="s">
        <v>714</v>
      </c>
      <c r="C54" s="246" t="s">
        <v>720</v>
      </c>
      <c r="D54" s="246" t="s">
        <v>721</v>
      </c>
      <c r="E54" s="246" t="s">
        <v>718</v>
      </c>
      <c r="F54" s="246" t="s">
        <v>719</v>
      </c>
      <c r="G54" s="246" t="s">
        <v>715</v>
      </c>
      <c r="H54" s="246" t="s">
        <v>726</v>
      </c>
      <c r="I54" s="246" t="s">
        <v>727</v>
      </c>
      <c r="J54" s="246" t="s">
        <v>728</v>
      </c>
      <c r="K54" s="246" t="s">
        <v>729</v>
      </c>
      <c r="L54" s="246" t="s">
        <v>730</v>
      </c>
      <c r="M54" s="246" t="s">
        <v>733</v>
      </c>
      <c r="N54" s="246" t="s">
        <v>732</v>
      </c>
      <c r="O54" s="246" t="s">
        <v>731</v>
      </c>
      <c r="P54" s="246" t="s">
        <v>722</v>
      </c>
      <c r="Q54" s="246" t="s">
        <v>717</v>
      </c>
      <c r="R54" s="246" t="s">
        <v>725</v>
      </c>
      <c r="S54" s="246" t="s">
        <v>734</v>
      </c>
      <c r="T54" s="246" t="s">
        <v>735</v>
      </c>
      <c r="U54" s="246" t="s">
        <v>736</v>
      </c>
      <c r="V54" s="246" t="s">
        <v>737</v>
      </c>
      <c r="W54" s="246" t="s">
        <v>1112</v>
      </c>
      <c r="X54" s="246" t="s">
        <v>1113</v>
      </c>
      <c r="Y54" s="246" t="s">
        <v>1114</v>
      </c>
      <c r="Z54" s="246" t="s">
        <v>1115</v>
      </c>
      <c r="AA54" s="246" t="s">
        <v>1116</v>
      </c>
      <c r="AB54" s="246" t="s">
        <v>741</v>
      </c>
      <c r="AC54" s="246" t="s">
        <v>742</v>
      </c>
      <c r="AD54" s="246" t="s">
        <v>743</v>
      </c>
      <c r="AE54" s="246" t="s">
        <v>744</v>
      </c>
      <c r="AF54" s="246" t="s">
        <v>745</v>
      </c>
      <c r="AG54" s="246" t="s">
        <v>746</v>
      </c>
      <c r="AH54" s="246" t="s">
        <v>747</v>
      </c>
      <c r="AI54" s="246" t="s">
        <v>748</v>
      </c>
      <c r="AJ54" s="246" t="s">
        <v>749</v>
      </c>
      <c r="AK54" s="246" t="s">
        <v>750</v>
      </c>
      <c r="AL54" s="246" t="s">
        <v>751</v>
      </c>
      <c r="AM54" s="246" t="s">
        <v>752</v>
      </c>
      <c r="AN54" s="246" t="s">
        <v>753</v>
      </c>
      <c r="AO54" s="246" t="s">
        <v>754</v>
      </c>
      <c r="AP54" s="246" t="s">
        <v>755</v>
      </c>
      <c r="AQ54" s="246" t="s">
        <v>756</v>
      </c>
      <c r="AR54" s="246" t="s">
        <v>757</v>
      </c>
      <c r="AS54" s="246" t="s">
        <v>758</v>
      </c>
      <c r="AT54" s="246" t="s">
        <v>759</v>
      </c>
      <c r="AU54" s="246" t="s">
        <v>760</v>
      </c>
      <c r="AV54" s="246" t="s">
        <v>761</v>
      </c>
      <c r="AW54" s="246" t="s">
        <v>762</v>
      </c>
      <c r="AX54" s="246" t="s">
        <v>723</v>
      </c>
      <c r="AY54" s="246" t="s">
        <v>724</v>
      </c>
      <c r="AZ54" s="246" t="s">
        <v>763</v>
      </c>
      <c r="BA54" s="246" t="s">
        <v>716</v>
      </c>
      <c r="BB54" s="246" t="s">
        <v>764</v>
      </c>
      <c r="BC54" s="246" t="s">
        <v>765</v>
      </c>
      <c r="BD54" s="246" t="s">
        <v>766</v>
      </c>
      <c r="BE54" s="246" t="s">
        <v>767</v>
      </c>
      <c r="BF54" s="246" t="s">
        <v>768</v>
      </c>
      <c r="BG54" s="246" t="s">
        <v>769</v>
      </c>
      <c r="BH54" s="246" t="s">
        <v>770</v>
      </c>
      <c r="BI54" s="246" t="s">
        <v>771</v>
      </c>
      <c r="BJ54" s="246" t="s">
        <v>772</v>
      </c>
      <c r="BK54" s="246" t="s">
        <v>773</v>
      </c>
      <c r="BL54" s="246" t="s">
        <v>774</v>
      </c>
      <c r="BM54" s="246" t="s">
        <v>775</v>
      </c>
      <c r="BN54" s="246" t="s">
        <v>776</v>
      </c>
      <c r="BO54" s="246" t="s">
        <v>777</v>
      </c>
      <c r="BP54" s="246" t="s">
        <v>778</v>
      </c>
      <c r="BQ54" s="246" t="s">
        <v>779</v>
      </c>
      <c r="BR54" s="246" t="s">
        <v>780</v>
      </c>
      <c r="BS54" s="246" t="s">
        <v>781</v>
      </c>
      <c r="BT54" s="246" t="s">
        <v>782</v>
      </c>
      <c r="BU54" s="246" t="s">
        <v>783</v>
      </c>
      <c r="BV54" s="246" t="s">
        <v>784</v>
      </c>
      <c r="BW54" s="246" t="s">
        <v>785</v>
      </c>
      <c r="BX54" s="246" t="s">
        <v>786</v>
      </c>
      <c r="BY54" s="246" t="s">
        <v>787</v>
      </c>
      <c r="BZ54" s="246" t="s">
        <v>788</v>
      </c>
      <c r="CA54" s="246" t="s">
        <v>789</v>
      </c>
      <c r="CB54" s="246" t="s">
        <v>790</v>
      </c>
      <c r="CC54" s="246" t="s">
        <v>791</v>
      </c>
      <c r="CD54" s="246" t="s">
        <v>792</v>
      </c>
      <c r="CE54" s="246" t="s">
        <v>793</v>
      </c>
      <c r="CF54" s="246" t="s">
        <v>794</v>
      </c>
      <c r="CG54" s="246" t="s">
        <v>795</v>
      </c>
      <c r="CH54" s="246" t="s">
        <v>796</v>
      </c>
      <c r="CI54" s="246" t="s">
        <v>797</v>
      </c>
      <c r="CJ54" s="246" t="s">
        <v>798</v>
      </c>
      <c r="CK54" s="246" t="s">
        <v>799</v>
      </c>
      <c r="CL54" s="246" t="s">
        <v>800</v>
      </c>
      <c r="CM54" s="246" t="s">
        <v>801</v>
      </c>
      <c r="CN54" s="246" t="s">
        <v>802</v>
      </c>
      <c r="CO54" s="246" t="s">
        <v>803</v>
      </c>
      <c r="CP54" s="246" t="s">
        <v>804</v>
      </c>
      <c r="CQ54" s="246" t="s">
        <v>805</v>
      </c>
      <c r="CR54" s="246" t="s">
        <v>806</v>
      </c>
      <c r="CS54" s="246" t="s">
        <v>807</v>
      </c>
      <c r="CT54" s="246" t="s">
        <v>808</v>
      </c>
      <c r="CU54" s="246" t="s">
        <v>809</v>
      </c>
      <c r="CV54" s="246" t="s">
        <v>810</v>
      </c>
      <c r="CW54" s="246" t="s">
        <v>811</v>
      </c>
      <c r="CX54" s="246" t="s">
        <v>812</v>
      </c>
      <c r="CY54" s="246" t="s">
        <v>813</v>
      </c>
      <c r="CZ54" s="246" t="s">
        <v>814</v>
      </c>
      <c r="DA54" s="246" t="s">
        <v>815</v>
      </c>
      <c r="DB54" s="246" t="s">
        <v>816</v>
      </c>
      <c r="DC54" s="246" t="s">
        <v>817</v>
      </c>
      <c r="DD54" s="246" t="s">
        <v>818</v>
      </c>
      <c r="DE54" s="246" t="s">
        <v>819</v>
      </c>
      <c r="DF54" s="246" t="s">
        <v>820</v>
      </c>
      <c r="DG54" s="246" t="s">
        <v>821</v>
      </c>
      <c r="DH54" s="246" t="s">
        <v>822</v>
      </c>
      <c r="DI54" s="246" t="s">
        <v>823</v>
      </c>
      <c r="DJ54" s="246" t="s">
        <v>824</v>
      </c>
      <c r="DK54" s="246" t="s">
        <v>825</v>
      </c>
      <c r="DL54" s="246" t="s">
        <v>826</v>
      </c>
      <c r="DM54" s="246" t="s">
        <v>827</v>
      </c>
      <c r="DN54" s="246" t="s">
        <v>828</v>
      </c>
      <c r="DO54" s="246" t="s">
        <v>829</v>
      </c>
      <c r="DP54" s="246" t="s">
        <v>830</v>
      </c>
      <c r="DQ54" s="246" t="s">
        <v>831</v>
      </c>
      <c r="DR54" s="246" t="s">
        <v>832</v>
      </c>
      <c r="DS54" s="246" t="s">
        <v>833</v>
      </c>
      <c r="DT54" s="246" t="s">
        <v>834</v>
      </c>
      <c r="DU54" s="246" t="s">
        <v>835</v>
      </c>
      <c r="DV54" s="246" t="s">
        <v>836</v>
      </c>
      <c r="DW54" s="246" t="s">
        <v>837</v>
      </c>
      <c r="DX54" s="246" t="s">
        <v>838</v>
      </c>
      <c r="DY54" s="246" t="s">
        <v>839</v>
      </c>
      <c r="DZ54" s="246" t="s">
        <v>840</v>
      </c>
      <c r="EA54" s="246" t="s">
        <v>841</v>
      </c>
      <c r="EB54" s="246" t="s">
        <v>842</v>
      </c>
    </row>
    <row r="55" spans="1:132" ht="13" x14ac:dyDescent="0.25">
      <c r="B55" s="196" t="s">
        <v>603</v>
      </c>
      <c r="C55" s="247"/>
      <c r="D55" s="247"/>
      <c r="E55" s="247"/>
      <c r="F55" s="247"/>
      <c r="G55" s="247"/>
      <c r="H55" s="247"/>
      <c r="I55" s="247"/>
      <c r="J55" s="247"/>
      <c r="K55" s="247"/>
      <c r="L55" s="247"/>
      <c r="M55" s="247"/>
      <c r="N55" s="247"/>
      <c r="O55" s="247"/>
      <c r="P55" s="247"/>
      <c r="Q55" s="247"/>
      <c r="R55" s="247"/>
      <c r="S55" s="247"/>
      <c r="T55" s="247"/>
      <c r="U55" s="247"/>
      <c r="V55" s="247"/>
      <c r="W55" s="247"/>
      <c r="X55" s="247"/>
      <c r="Y55" s="247"/>
      <c r="Z55" s="247"/>
      <c r="AA55" s="247"/>
      <c r="AB55" s="247"/>
      <c r="AC55" s="247"/>
      <c r="AD55" s="247"/>
      <c r="AE55" s="247"/>
      <c r="AF55" s="247"/>
      <c r="AG55" s="247"/>
      <c r="AH55" s="247"/>
      <c r="AI55" s="247"/>
      <c r="AJ55" s="247"/>
      <c r="AK55" s="247"/>
      <c r="AL55" s="247"/>
      <c r="AM55" s="247"/>
      <c r="AN55" s="247"/>
      <c r="AO55" s="247"/>
      <c r="AP55" s="247"/>
      <c r="AQ55" s="247"/>
      <c r="AR55" s="247"/>
      <c r="AS55" s="247"/>
      <c r="AT55" s="247"/>
      <c r="AU55" s="247"/>
      <c r="AV55" s="247"/>
      <c r="AW55" s="247"/>
      <c r="AX55" s="247"/>
      <c r="AY55" s="247"/>
      <c r="AZ55" s="247"/>
      <c r="BA55" s="247"/>
      <c r="BB55" s="247"/>
      <c r="BC55" s="247"/>
      <c r="BD55" s="247"/>
      <c r="BE55" s="247"/>
      <c r="BF55" s="247"/>
      <c r="BG55" s="247"/>
      <c r="BH55" s="247"/>
      <c r="BI55" s="247"/>
      <c r="BJ55" s="247"/>
      <c r="BK55" s="247"/>
      <c r="BL55" s="247"/>
      <c r="BM55" s="247"/>
      <c r="BN55" s="247"/>
      <c r="BO55" s="247"/>
      <c r="BP55" s="247"/>
      <c r="BQ55" s="247"/>
      <c r="BR55" s="247"/>
      <c r="BS55" s="247"/>
      <c r="BT55" s="247"/>
      <c r="BU55" s="247"/>
      <c r="BV55" s="247"/>
      <c r="BW55" s="247"/>
      <c r="BX55" s="247"/>
      <c r="BY55" s="247"/>
      <c r="BZ55" s="247"/>
      <c r="CA55" s="247"/>
      <c r="CB55" s="247"/>
      <c r="CC55" s="247"/>
      <c r="CD55" s="247"/>
      <c r="CE55" s="247"/>
      <c r="CF55" s="247"/>
      <c r="CG55" s="247"/>
      <c r="CH55" s="247"/>
      <c r="CI55" s="247"/>
      <c r="CJ55" s="247"/>
      <c r="CK55" s="247"/>
      <c r="CL55" s="247"/>
      <c r="CM55" s="247"/>
      <c r="CN55" s="247"/>
      <c r="CO55" s="247"/>
      <c r="CP55" s="247"/>
      <c r="CQ55" s="247"/>
      <c r="CR55" s="247"/>
      <c r="CS55" s="247"/>
      <c r="CT55" s="247"/>
      <c r="CU55" s="247"/>
      <c r="CV55" s="247"/>
      <c r="CW55" s="247"/>
      <c r="CX55" s="247"/>
      <c r="CY55" s="247"/>
      <c r="CZ55" s="247"/>
      <c r="DA55" s="247"/>
      <c r="DB55" s="247"/>
      <c r="DC55" s="247"/>
      <c r="DD55" s="247"/>
      <c r="DE55" s="247"/>
      <c r="DF55" s="247"/>
      <c r="DG55" s="247"/>
      <c r="DH55" s="247"/>
      <c r="DI55" s="247"/>
      <c r="DJ55" s="247"/>
      <c r="DK55" s="247"/>
      <c r="DL55" s="247"/>
      <c r="DM55" s="247"/>
      <c r="DN55" s="247"/>
      <c r="DO55" s="247"/>
      <c r="DP55" s="247"/>
      <c r="DQ55" s="247"/>
      <c r="DR55" s="247"/>
      <c r="DS55" s="247"/>
      <c r="DT55" s="247"/>
      <c r="DU55" s="247"/>
      <c r="DV55" s="247"/>
      <c r="DW55" s="247"/>
      <c r="DX55" s="247"/>
      <c r="DY55" s="247"/>
      <c r="DZ55" s="247"/>
      <c r="EA55" s="247"/>
      <c r="EB55" s="247"/>
    </row>
    <row r="56" spans="1:132" ht="14.5" x14ac:dyDescent="0.35">
      <c r="B56" s="198">
        <v>1</v>
      </c>
      <c r="C56" s="252">
        <v>1.997074067735056E-3</v>
      </c>
      <c r="D56" s="248">
        <v>2.1274277853729085E-3</v>
      </c>
      <c r="E56" s="252">
        <v>1.9189444027397935E-3</v>
      </c>
      <c r="F56" s="252">
        <v>2.0992997873576441E-3</v>
      </c>
      <c r="G56" s="252">
        <v>1.5329582920251823E-3</v>
      </c>
      <c r="H56" s="252">
        <v>1.3637922499633744E-3</v>
      </c>
      <c r="I56" s="252">
        <v>1.997074067735056E-3</v>
      </c>
      <c r="J56" s="252">
        <v>1.6705235225424693E-3</v>
      </c>
      <c r="K56" s="252">
        <v>1.4242898697616215E-3</v>
      </c>
      <c r="L56" s="248">
        <v>2.1274277853729085E-3</v>
      </c>
      <c r="M56" s="252">
        <v>1.7981638889586291E-3</v>
      </c>
      <c r="N56" s="248">
        <v>1.6638686820931547E-3</v>
      </c>
      <c r="O56" s="248">
        <v>1.6622850610459373E-3</v>
      </c>
      <c r="P56" s="252">
        <v>1.997074067735056E-3</v>
      </c>
      <c r="Q56" s="252">
        <v>1.7981638889586291E-3</v>
      </c>
      <c r="R56" s="248">
        <v>2.1274277853729085E-3</v>
      </c>
      <c r="S56" s="248">
        <v>1.5329582920251823E-3</v>
      </c>
      <c r="T56" s="248">
        <v>1.6705235225424693E-3</v>
      </c>
      <c r="U56" s="252">
        <v>1.7981638889586291E-3</v>
      </c>
      <c r="V56" s="252">
        <v>1.7981638889586291E-3</v>
      </c>
      <c r="W56" s="248">
        <v>2.1274277853729085E-3</v>
      </c>
      <c r="X56" s="248">
        <v>2.1014721289464287E-3</v>
      </c>
      <c r="Y56" s="248">
        <v>2.1615418970238167E-3</v>
      </c>
      <c r="Z56" s="248">
        <v>1.7810694351366404E-3</v>
      </c>
      <c r="AA56" s="248">
        <v>1.6622850610459373E-3</v>
      </c>
      <c r="AB56" s="252">
        <v>1.5329582920251823E-3</v>
      </c>
      <c r="AC56" s="252">
        <v>1.5329582920251823E-3</v>
      </c>
      <c r="AD56" s="252">
        <v>1.5329582920251823E-3</v>
      </c>
      <c r="AE56" s="252">
        <v>1.7981638889586291E-3</v>
      </c>
      <c r="AF56" s="252">
        <v>1.3637922499633744E-3</v>
      </c>
      <c r="AG56" s="252">
        <v>1.3637922499633744E-3</v>
      </c>
      <c r="AH56" s="252">
        <v>1.3637922499633744E-3</v>
      </c>
      <c r="AI56" s="252">
        <v>1.3637922499633744E-3</v>
      </c>
      <c r="AJ56" s="248">
        <v>1.6638686820931547E-3</v>
      </c>
      <c r="AK56" s="252">
        <v>1.6705235225424693E-3</v>
      </c>
      <c r="AL56" s="252">
        <v>1.6705235225424693E-3</v>
      </c>
      <c r="AM56" s="252">
        <v>1.6705235225424693E-3</v>
      </c>
      <c r="AN56" s="252">
        <v>1.7981638889586291E-3</v>
      </c>
      <c r="AO56" s="252">
        <v>1.4242898697616215E-3</v>
      </c>
      <c r="AP56" s="252">
        <v>1.4242898697616215E-3</v>
      </c>
      <c r="AQ56" s="252">
        <v>1.4242898697616215E-3</v>
      </c>
      <c r="AR56" s="252">
        <v>1.4242898697616215E-3</v>
      </c>
      <c r="AS56" s="248">
        <v>1.6638686820931547E-3</v>
      </c>
      <c r="AT56" s="252">
        <v>1.997074067735056E-3</v>
      </c>
      <c r="AU56" s="252">
        <v>1.7981638889586291E-3</v>
      </c>
      <c r="AV56" s="248">
        <v>1.6638686820931547E-3</v>
      </c>
      <c r="AW56" s="252">
        <v>1.9189444027397935E-3</v>
      </c>
      <c r="AX56" s="252">
        <v>1.5329582920251823E-3</v>
      </c>
      <c r="AY56" s="252">
        <v>1.3637922499633744E-3</v>
      </c>
      <c r="AZ56" s="252">
        <v>1.7981638889586291E-3</v>
      </c>
      <c r="BA56" s="249">
        <v>8.0000000000000004E-4</v>
      </c>
      <c r="BB56" s="249">
        <v>8.0000000000000004E-4</v>
      </c>
      <c r="BC56" s="249">
        <v>8.0000000000000004E-4</v>
      </c>
      <c r="BD56" s="249">
        <v>1E-4</v>
      </c>
      <c r="BE56" s="249">
        <v>8.0000000000000004E-4</v>
      </c>
      <c r="BF56" s="248">
        <v>1.6638686820931547E-3</v>
      </c>
      <c r="BG56" s="248">
        <v>1.6638686820931547E-3</v>
      </c>
      <c r="BH56" s="249">
        <v>8.0000000000000004E-4</v>
      </c>
      <c r="BI56" s="248">
        <v>1.9189444027397935E-3</v>
      </c>
      <c r="BJ56" s="248">
        <v>1.997074067735056E-3</v>
      </c>
      <c r="BK56" s="248">
        <v>1.997074067735056E-3</v>
      </c>
      <c r="BL56" s="248">
        <v>1.997074067735056E-3</v>
      </c>
      <c r="BM56" s="248">
        <v>2.0992997873576441E-3</v>
      </c>
      <c r="BN56" s="248">
        <v>2.1274277853729085E-3</v>
      </c>
      <c r="BO56" s="248">
        <v>2.1274277853729085E-3</v>
      </c>
      <c r="BP56" s="248">
        <v>2.1274277853729085E-3</v>
      </c>
      <c r="BQ56" s="248">
        <v>1.5329582920251823E-3</v>
      </c>
      <c r="BR56" s="248">
        <v>1.7981638889586291E-3</v>
      </c>
      <c r="BS56" s="248">
        <v>1.6705235225424693E-3</v>
      </c>
      <c r="BT56" s="248">
        <v>1.7981638889586291E-3</v>
      </c>
      <c r="BU56" s="248">
        <v>1.3637922499633744E-3</v>
      </c>
      <c r="BV56" s="248">
        <v>1.6638686820931547E-3</v>
      </c>
      <c r="BW56" s="248">
        <v>1.4242898697616215E-3</v>
      </c>
      <c r="BX56" s="248">
        <v>1.6638686820931547E-3</v>
      </c>
      <c r="BY56" s="248">
        <v>1.6622850610459373E-3</v>
      </c>
      <c r="BZ56" s="248">
        <v>1.6622850610459373E-3</v>
      </c>
      <c r="CA56" s="248">
        <v>1.6622850610459373E-3</v>
      </c>
      <c r="CB56" s="248">
        <v>1.6622850610459373E-3</v>
      </c>
      <c r="CC56" s="248">
        <v>1.9189444027397935E-3</v>
      </c>
      <c r="CD56" s="248">
        <v>1.997074067735056E-3</v>
      </c>
      <c r="CE56" s="248">
        <v>1.997074067735056E-3</v>
      </c>
      <c r="CF56" s="248">
        <v>1.997074067735056E-3</v>
      </c>
      <c r="CG56" s="248">
        <v>2.0992997873576441E-3</v>
      </c>
      <c r="CH56" s="248">
        <v>2.1274277853729085E-3</v>
      </c>
      <c r="CI56" s="248">
        <v>2.1274277853729085E-3</v>
      </c>
      <c r="CJ56" s="248">
        <v>2.1274277853729085E-3</v>
      </c>
      <c r="CK56" s="248">
        <v>1.5329582920251823E-3</v>
      </c>
      <c r="CL56" s="248">
        <v>1.7981638889586291E-3</v>
      </c>
      <c r="CM56" s="248">
        <v>1.6705235225424693E-3</v>
      </c>
      <c r="CN56" s="248">
        <v>1.7981638889586291E-3</v>
      </c>
      <c r="CO56" s="248">
        <v>1.3637922499633744E-3</v>
      </c>
      <c r="CP56" s="248">
        <v>1.6638686820931547E-3</v>
      </c>
      <c r="CQ56" s="248">
        <v>1.4242898697616215E-3</v>
      </c>
      <c r="CR56" s="248">
        <v>1.6638686820931547E-3</v>
      </c>
      <c r="CS56" s="248">
        <v>1.9189444027397935E-3</v>
      </c>
      <c r="CT56" s="248">
        <v>1.997074067735056E-3</v>
      </c>
      <c r="CU56" s="248">
        <v>1.997074067735056E-3</v>
      </c>
      <c r="CV56" s="248">
        <v>1.997074067735056E-3</v>
      </c>
      <c r="CW56" s="248">
        <v>2.0992997873576441E-3</v>
      </c>
      <c r="CX56" s="248">
        <v>2.1274277853729085E-3</v>
      </c>
      <c r="CY56" s="248">
        <v>2.1274277853729085E-3</v>
      </c>
      <c r="CZ56" s="248">
        <v>2.1274277853729085E-3</v>
      </c>
      <c r="DA56" s="248">
        <v>1.5329582920251823E-3</v>
      </c>
      <c r="DB56" s="248">
        <v>1.7981638889586291E-3</v>
      </c>
      <c r="DC56" s="248">
        <v>1.6705235225424693E-3</v>
      </c>
      <c r="DD56" s="248">
        <v>1.7981638889586291E-3</v>
      </c>
      <c r="DE56" s="248">
        <v>1.3637922499633744E-3</v>
      </c>
      <c r="DF56" s="248">
        <v>1.6638686820931547E-3</v>
      </c>
      <c r="DG56" s="248">
        <v>1.4242898697616215E-3</v>
      </c>
      <c r="DH56" s="248">
        <v>1.6638686820931547E-3</v>
      </c>
      <c r="DI56" s="248">
        <v>1.6638686820931547E-3</v>
      </c>
      <c r="DJ56" s="248">
        <v>1.6638686820931547E-3</v>
      </c>
      <c r="DK56" s="248">
        <v>1.6638686820931547E-3</v>
      </c>
      <c r="DL56" s="248">
        <v>1.6638686820931547E-3</v>
      </c>
      <c r="DM56" s="248">
        <v>1.6638686820931547E-3</v>
      </c>
      <c r="DN56" s="248">
        <v>1.6638686820931547E-3</v>
      </c>
      <c r="DO56" s="248">
        <v>1.6638686820931547E-3</v>
      </c>
      <c r="DP56" s="248">
        <v>1.6638686820931547E-3</v>
      </c>
      <c r="DQ56" s="248">
        <v>1.6638686820931547E-3</v>
      </c>
      <c r="DR56" s="248">
        <v>1.6638686820931547E-3</v>
      </c>
      <c r="DS56" s="248">
        <v>1.6638686820931547E-3</v>
      </c>
      <c r="DT56" s="248">
        <v>1.6638686820931547E-3</v>
      </c>
      <c r="DU56" s="248">
        <v>1.6638686820931547E-3</v>
      </c>
      <c r="DV56" s="248">
        <v>1.6638686820931547E-3</v>
      </c>
      <c r="DW56" s="248">
        <v>1.6638686820931547E-3</v>
      </c>
      <c r="DX56" s="248">
        <v>1.6638686820931547E-3</v>
      </c>
      <c r="DY56" s="248">
        <v>1.6638686820931547E-3</v>
      </c>
      <c r="DZ56" s="248">
        <v>1.6638686820931547E-3</v>
      </c>
      <c r="EA56" s="248">
        <v>1.6638686820931547E-3</v>
      </c>
      <c r="EB56" s="248">
        <v>1.6638686820931547E-3</v>
      </c>
    </row>
    <row r="57" spans="1:132" ht="14.5" x14ac:dyDescent="0.35">
      <c r="B57" s="198">
        <v>2</v>
      </c>
      <c r="C57" s="252">
        <v>0</v>
      </c>
      <c r="D57" s="248">
        <v>0</v>
      </c>
      <c r="E57" s="252">
        <v>0</v>
      </c>
      <c r="F57" s="252">
        <v>0</v>
      </c>
      <c r="G57" s="252">
        <v>0</v>
      </c>
      <c r="H57" s="252">
        <v>0</v>
      </c>
      <c r="I57" s="252">
        <v>0</v>
      </c>
      <c r="J57" s="252">
        <v>0</v>
      </c>
      <c r="K57" s="252">
        <v>0</v>
      </c>
      <c r="L57" s="248">
        <v>0</v>
      </c>
      <c r="M57" s="252">
        <v>0</v>
      </c>
      <c r="N57" s="248">
        <v>0</v>
      </c>
      <c r="O57" s="248">
        <v>0</v>
      </c>
      <c r="P57" s="252">
        <v>0</v>
      </c>
      <c r="Q57" s="252">
        <v>0</v>
      </c>
      <c r="R57" s="248">
        <v>0</v>
      </c>
      <c r="S57" s="248">
        <v>0</v>
      </c>
      <c r="T57" s="248">
        <v>0</v>
      </c>
      <c r="U57" s="252">
        <v>0</v>
      </c>
      <c r="V57" s="252">
        <v>0</v>
      </c>
      <c r="W57" s="248">
        <v>0</v>
      </c>
      <c r="X57" s="248">
        <v>0</v>
      </c>
      <c r="Y57" s="248">
        <v>0</v>
      </c>
      <c r="Z57" s="248">
        <v>0</v>
      </c>
      <c r="AA57" s="248">
        <v>0</v>
      </c>
      <c r="AB57" s="252">
        <v>0</v>
      </c>
      <c r="AC57" s="252">
        <v>0</v>
      </c>
      <c r="AD57" s="252">
        <v>0</v>
      </c>
      <c r="AE57" s="252">
        <v>0</v>
      </c>
      <c r="AF57" s="252">
        <v>0</v>
      </c>
      <c r="AG57" s="252">
        <v>0</v>
      </c>
      <c r="AH57" s="252">
        <v>0</v>
      </c>
      <c r="AI57" s="252">
        <v>0</v>
      </c>
      <c r="AJ57" s="248">
        <v>0</v>
      </c>
      <c r="AK57" s="252">
        <v>0</v>
      </c>
      <c r="AL57" s="252">
        <v>0</v>
      </c>
      <c r="AM57" s="252">
        <v>0</v>
      </c>
      <c r="AN57" s="252">
        <v>0</v>
      </c>
      <c r="AO57" s="252">
        <v>0</v>
      </c>
      <c r="AP57" s="252">
        <v>0</v>
      </c>
      <c r="AQ57" s="252">
        <v>0</v>
      </c>
      <c r="AR57" s="252">
        <v>0</v>
      </c>
      <c r="AS57" s="248">
        <v>0</v>
      </c>
      <c r="AT57" s="252">
        <v>0</v>
      </c>
      <c r="AU57" s="252">
        <v>0</v>
      </c>
      <c r="AV57" s="248">
        <v>0</v>
      </c>
      <c r="AW57" s="252">
        <v>0</v>
      </c>
      <c r="AX57" s="252">
        <v>0</v>
      </c>
      <c r="AY57" s="252">
        <v>0</v>
      </c>
      <c r="AZ57" s="252">
        <v>0</v>
      </c>
      <c r="BA57" s="249">
        <v>0</v>
      </c>
      <c r="BB57" s="249">
        <v>0</v>
      </c>
      <c r="BC57" s="249">
        <v>0</v>
      </c>
      <c r="BD57" s="249">
        <v>0</v>
      </c>
      <c r="BE57" s="249">
        <v>0</v>
      </c>
      <c r="BF57" s="248">
        <v>0</v>
      </c>
      <c r="BG57" s="248">
        <v>0</v>
      </c>
      <c r="BH57" s="249">
        <v>0</v>
      </c>
      <c r="BI57" s="248">
        <v>0</v>
      </c>
      <c r="BJ57" s="248">
        <v>0</v>
      </c>
      <c r="BK57" s="248">
        <v>0</v>
      </c>
      <c r="BL57" s="248">
        <v>0</v>
      </c>
      <c r="BM57" s="248">
        <v>0</v>
      </c>
      <c r="BN57" s="248">
        <v>0</v>
      </c>
      <c r="BO57" s="248">
        <v>0</v>
      </c>
      <c r="BP57" s="248">
        <v>0</v>
      </c>
      <c r="BQ57" s="248">
        <v>0</v>
      </c>
      <c r="BR57" s="248">
        <v>0</v>
      </c>
      <c r="BS57" s="248">
        <v>0</v>
      </c>
      <c r="BT57" s="248">
        <v>0</v>
      </c>
      <c r="BU57" s="248">
        <v>0</v>
      </c>
      <c r="BV57" s="248">
        <v>0</v>
      </c>
      <c r="BW57" s="248">
        <v>0</v>
      </c>
      <c r="BX57" s="248">
        <v>0</v>
      </c>
      <c r="BY57" s="248">
        <v>0</v>
      </c>
      <c r="BZ57" s="248">
        <v>0</v>
      </c>
      <c r="CA57" s="248">
        <v>0</v>
      </c>
      <c r="CB57" s="248">
        <v>0</v>
      </c>
      <c r="CC57" s="248">
        <v>0</v>
      </c>
      <c r="CD57" s="248">
        <v>0</v>
      </c>
      <c r="CE57" s="248">
        <v>0</v>
      </c>
      <c r="CF57" s="248">
        <v>0</v>
      </c>
      <c r="CG57" s="248">
        <v>0</v>
      </c>
      <c r="CH57" s="248">
        <v>0</v>
      </c>
      <c r="CI57" s="248">
        <v>0</v>
      </c>
      <c r="CJ57" s="248">
        <v>0</v>
      </c>
      <c r="CK57" s="248">
        <v>0</v>
      </c>
      <c r="CL57" s="248">
        <v>0</v>
      </c>
      <c r="CM57" s="248">
        <v>0</v>
      </c>
      <c r="CN57" s="248">
        <v>0</v>
      </c>
      <c r="CO57" s="248">
        <v>0</v>
      </c>
      <c r="CP57" s="248">
        <v>0</v>
      </c>
      <c r="CQ57" s="248">
        <v>0</v>
      </c>
      <c r="CR57" s="248">
        <v>0</v>
      </c>
      <c r="CS57" s="248">
        <v>0</v>
      </c>
      <c r="CT57" s="248">
        <v>0</v>
      </c>
      <c r="CU57" s="248">
        <v>0</v>
      </c>
      <c r="CV57" s="248">
        <v>0</v>
      </c>
      <c r="CW57" s="248">
        <v>0</v>
      </c>
      <c r="CX57" s="248">
        <v>0</v>
      </c>
      <c r="CY57" s="248">
        <v>0</v>
      </c>
      <c r="CZ57" s="248">
        <v>0</v>
      </c>
      <c r="DA57" s="248">
        <v>0</v>
      </c>
      <c r="DB57" s="248">
        <v>0</v>
      </c>
      <c r="DC57" s="248">
        <v>0</v>
      </c>
      <c r="DD57" s="248">
        <v>0</v>
      </c>
      <c r="DE57" s="248">
        <v>0</v>
      </c>
      <c r="DF57" s="248">
        <v>0</v>
      </c>
      <c r="DG57" s="248">
        <v>0</v>
      </c>
      <c r="DH57" s="248">
        <v>0</v>
      </c>
      <c r="DI57" s="248">
        <v>0</v>
      </c>
      <c r="DJ57" s="248">
        <v>0</v>
      </c>
      <c r="DK57" s="248">
        <v>0</v>
      </c>
      <c r="DL57" s="248">
        <v>0</v>
      </c>
      <c r="DM57" s="248">
        <v>0</v>
      </c>
      <c r="DN57" s="248">
        <v>0</v>
      </c>
      <c r="DO57" s="248">
        <v>0</v>
      </c>
      <c r="DP57" s="248">
        <v>0</v>
      </c>
      <c r="DQ57" s="248">
        <v>0</v>
      </c>
      <c r="DR57" s="248">
        <v>0</v>
      </c>
      <c r="DS57" s="248">
        <v>0</v>
      </c>
      <c r="DT57" s="248">
        <v>0</v>
      </c>
      <c r="DU57" s="248">
        <v>0</v>
      </c>
      <c r="DV57" s="248">
        <v>0</v>
      </c>
      <c r="DW57" s="248">
        <v>0</v>
      </c>
      <c r="DX57" s="248">
        <v>0</v>
      </c>
      <c r="DY57" s="248">
        <v>0</v>
      </c>
      <c r="DZ57" s="248">
        <v>0</v>
      </c>
      <c r="EA57" s="248">
        <v>0</v>
      </c>
      <c r="EB57" s="248">
        <v>0</v>
      </c>
    </row>
    <row r="58" spans="1:132" ht="14.5" x14ac:dyDescent="0.35">
      <c r="B58" s="198">
        <v>3</v>
      </c>
      <c r="C58" s="252">
        <v>2.5704667746054025E-2</v>
      </c>
      <c r="D58" s="248">
        <v>3.0433510980076182E-3</v>
      </c>
      <c r="E58" s="252">
        <v>2.7231603713102043E-2</v>
      </c>
      <c r="F58" s="252">
        <v>2.5966224609313211E-3</v>
      </c>
      <c r="G58" s="252">
        <v>1.2074531929890304E-3</v>
      </c>
      <c r="H58" s="252">
        <v>2.7929403978164459E-4</v>
      </c>
      <c r="I58" s="252">
        <v>2.5704667746054025E-2</v>
      </c>
      <c r="J58" s="252">
        <v>1.4765680127342331E-3</v>
      </c>
      <c r="K58" s="252">
        <v>4.3505946541692539E-4</v>
      </c>
      <c r="L58" s="248">
        <v>3.0433510980076182E-3</v>
      </c>
      <c r="M58" s="252">
        <v>1.4783433465040063E-3</v>
      </c>
      <c r="N58" s="248">
        <v>4.4433790795029345E-4</v>
      </c>
      <c r="O58" s="248">
        <v>1.7716361939007299E-4</v>
      </c>
      <c r="P58" s="252">
        <v>2.5704667746054025E-2</v>
      </c>
      <c r="Q58" s="252">
        <v>1.4783433465040063E-3</v>
      </c>
      <c r="R58" s="248">
        <v>3.0433510980076182E-3</v>
      </c>
      <c r="S58" s="248">
        <v>1.2074531929890304E-3</v>
      </c>
      <c r="T58" s="248">
        <v>1.4765680127342331E-3</v>
      </c>
      <c r="U58" s="252">
        <v>1.4783433465040063E-3</v>
      </c>
      <c r="V58" s="252">
        <v>1.4783433465040063E-3</v>
      </c>
      <c r="W58" s="248">
        <v>3.0433510980076182E-3</v>
      </c>
      <c r="X58" s="248">
        <v>1.8414027683863162E-3</v>
      </c>
      <c r="Y58" s="248">
        <v>1.3073296681596722E-3</v>
      </c>
      <c r="Z58" s="248">
        <v>7.5541738885446857E-4</v>
      </c>
      <c r="AA58" s="248">
        <v>1.7716361939007299E-4</v>
      </c>
      <c r="AB58" s="252">
        <v>1.2074531929890304E-3</v>
      </c>
      <c r="AC58" s="252">
        <v>1.2074531929890304E-3</v>
      </c>
      <c r="AD58" s="252">
        <v>1.2074531929890304E-3</v>
      </c>
      <c r="AE58" s="252">
        <v>1.4783433465040063E-3</v>
      </c>
      <c r="AF58" s="252">
        <v>2.7929403978164459E-4</v>
      </c>
      <c r="AG58" s="252">
        <v>2.7929403978164459E-4</v>
      </c>
      <c r="AH58" s="252">
        <v>2.7929403978164459E-4</v>
      </c>
      <c r="AI58" s="252">
        <v>2.7929403978164459E-4</v>
      </c>
      <c r="AJ58" s="248">
        <v>4.4433790795029345E-4</v>
      </c>
      <c r="AK58" s="252">
        <v>1.4765680127342331E-3</v>
      </c>
      <c r="AL58" s="252">
        <v>1.4765680127342331E-3</v>
      </c>
      <c r="AM58" s="252">
        <v>1.4765680127342331E-3</v>
      </c>
      <c r="AN58" s="252">
        <v>1.4783433465040063E-3</v>
      </c>
      <c r="AO58" s="252">
        <v>4.3505946541692539E-4</v>
      </c>
      <c r="AP58" s="252">
        <v>4.3505946541692539E-4</v>
      </c>
      <c r="AQ58" s="252">
        <v>4.3505946541692539E-4</v>
      </c>
      <c r="AR58" s="252">
        <v>4.3505946541692539E-4</v>
      </c>
      <c r="AS58" s="248">
        <v>4.4433790795029345E-4</v>
      </c>
      <c r="AT58" s="252">
        <v>2.5704667746054025E-2</v>
      </c>
      <c r="AU58" s="252">
        <v>1.4783433465040063E-3</v>
      </c>
      <c r="AV58" s="248">
        <v>4.4433790795029345E-4</v>
      </c>
      <c r="AW58" s="252">
        <v>2.7231603713102043E-2</v>
      </c>
      <c r="AX58" s="252">
        <v>1.2074531929890304E-3</v>
      </c>
      <c r="AY58" s="252">
        <v>2.7929403978164459E-4</v>
      </c>
      <c r="AZ58" s="252">
        <v>1.4783433465040063E-3</v>
      </c>
      <c r="BA58" s="249">
        <v>2.0000000000000001E-4</v>
      </c>
      <c r="BB58" s="249">
        <v>2.0000000000000001E-4</v>
      </c>
      <c r="BC58" s="249">
        <v>2.0000000000000001E-4</v>
      </c>
      <c r="BD58" s="249">
        <v>0</v>
      </c>
      <c r="BE58" s="249">
        <v>2.0000000000000001E-4</v>
      </c>
      <c r="BF58" s="248">
        <v>4.4433790795029345E-4</v>
      </c>
      <c r="BG58" s="248">
        <v>4.4433790795029345E-4</v>
      </c>
      <c r="BH58" s="249">
        <v>2.0000000000000001E-4</v>
      </c>
      <c r="BI58" s="248">
        <v>2.7231603713102043E-2</v>
      </c>
      <c r="BJ58" s="248">
        <v>2.5704667746054025E-2</v>
      </c>
      <c r="BK58" s="248">
        <v>2.5704667746054025E-2</v>
      </c>
      <c r="BL58" s="248">
        <v>2.5704667746054025E-2</v>
      </c>
      <c r="BM58" s="248">
        <v>2.5966224609313211E-3</v>
      </c>
      <c r="BN58" s="248">
        <v>3.0433510980076182E-3</v>
      </c>
      <c r="BO58" s="248">
        <v>3.0433510980076182E-3</v>
      </c>
      <c r="BP58" s="248">
        <v>3.0433510980076182E-3</v>
      </c>
      <c r="BQ58" s="248">
        <v>1.2074531929890304E-3</v>
      </c>
      <c r="BR58" s="248">
        <v>1.4783433465040063E-3</v>
      </c>
      <c r="BS58" s="248">
        <v>1.4765680127342331E-3</v>
      </c>
      <c r="BT58" s="248">
        <v>1.4783433465040063E-3</v>
      </c>
      <c r="BU58" s="248">
        <v>2.7929403978164459E-4</v>
      </c>
      <c r="BV58" s="248">
        <v>4.4433790795029345E-4</v>
      </c>
      <c r="BW58" s="248">
        <v>4.3505946541692539E-4</v>
      </c>
      <c r="BX58" s="248">
        <v>4.4433790795029345E-4</v>
      </c>
      <c r="BY58" s="248">
        <v>1.7716361939007299E-4</v>
      </c>
      <c r="BZ58" s="248">
        <v>1.7716361939007299E-4</v>
      </c>
      <c r="CA58" s="248">
        <v>1.7716361939007299E-4</v>
      </c>
      <c r="CB58" s="248">
        <v>1.7716361939007299E-4</v>
      </c>
      <c r="CC58" s="248">
        <v>2.7231603713102043E-2</v>
      </c>
      <c r="CD58" s="248">
        <v>2.5704667746054025E-2</v>
      </c>
      <c r="CE58" s="248">
        <v>2.5704667746054025E-2</v>
      </c>
      <c r="CF58" s="248">
        <v>2.5704667746054025E-2</v>
      </c>
      <c r="CG58" s="248">
        <v>2.5966224609313211E-3</v>
      </c>
      <c r="CH58" s="248">
        <v>3.0433510980076182E-3</v>
      </c>
      <c r="CI58" s="248">
        <v>3.0433510980076182E-3</v>
      </c>
      <c r="CJ58" s="248">
        <v>3.0433510980076182E-3</v>
      </c>
      <c r="CK58" s="248">
        <v>1.2074531929890304E-3</v>
      </c>
      <c r="CL58" s="248">
        <v>1.4783433465040063E-3</v>
      </c>
      <c r="CM58" s="248">
        <v>1.4765680127342331E-3</v>
      </c>
      <c r="CN58" s="248">
        <v>1.4783433465040063E-3</v>
      </c>
      <c r="CO58" s="248">
        <v>2.7929403978164459E-4</v>
      </c>
      <c r="CP58" s="248">
        <v>4.4433790795029345E-4</v>
      </c>
      <c r="CQ58" s="248">
        <v>4.3505946541692539E-4</v>
      </c>
      <c r="CR58" s="248">
        <v>4.4433790795029345E-4</v>
      </c>
      <c r="CS58" s="248">
        <v>2.7231603713102043E-2</v>
      </c>
      <c r="CT58" s="248">
        <v>2.5704667746054025E-2</v>
      </c>
      <c r="CU58" s="248">
        <v>2.5704667746054025E-2</v>
      </c>
      <c r="CV58" s="248">
        <v>2.5704667746054025E-2</v>
      </c>
      <c r="CW58" s="248">
        <v>2.5966224609313211E-3</v>
      </c>
      <c r="CX58" s="248">
        <v>3.0433510980076182E-3</v>
      </c>
      <c r="CY58" s="248">
        <v>3.0433510980076182E-3</v>
      </c>
      <c r="CZ58" s="248">
        <v>3.0433510980076182E-3</v>
      </c>
      <c r="DA58" s="248">
        <v>1.2074531929890304E-3</v>
      </c>
      <c r="DB58" s="248">
        <v>1.4783433465040063E-3</v>
      </c>
      <c r="DC58" s="248">
        <v>1.4765680127342331E-3</v>
      </c>
      <c r="DD58" s="248">
        <v>1.4783433465040063E-3</v>
      </c>
      <c r="DE58" s="248">
        <v>2.7929403978164459E-4</v>
      </c>
      <c r="DF58" s="248">
        <v>4.4433790795029345E-4</v>
      </c>
      <c r="DG58" s="248">
        <v>4.3505946541692539E-4</v>
      </c>
      <c r="DH58" s="248">
        <v>4.4433790795029345E-4</v>
      </c>
      <c r="DI58" s="248">
        <v>4.4433790795029345E-4</v>
      </c>
      <c r="DJ58" s="248">
        <v>4.4433790795029345E-4</v>
      </c>
      <c r="DK58" s="248">
        <v>4.4433790795029345E-4</v>
      </c>
      <c r="DL58" s="248">
        <v>4.4433790795029345E-4</v>
      </c>
      <c r="DM58" s="248">
        <v>4.4433790795029345E-4</v>
      </c>
      <c r="DN58" s="248">
        <v>4.4433790795029345E-4</v>
      </c>
      <c r="DO58" s="248">
        <v>4.4433790795029345E-4</v>
      </c>
      <c r="DP58" s="248">
        <v>4.4433790795029345E-4</v>
      </c>
      <c r="DQ58" s="248">
        <v>4.4433790795029345E-4</v>
      </c>
      <c r="DR58" s="248">
        <v>4.4433790795029345E-4</v>
      </c>
      <c r="DS58" s="248">
        <v>4.4433790795029345E-4</v>
      </c>
      <c r="DT58" s="248">
        <v>4.4433790795029345E-4</v>
      </c>
      <c r="DU58" s="248">
        <v>4.4433790795029345E-4</v>
      </c>
      <c r="DV58" s="248">
        <v>4.4433790795029345E-4</v>
      </c>
      <c r="DW58" s="248">
        <v>4.4433790795029345E-4</v>
      </c>
      <c r="DX58" s="248">
        <v>4.4433790795029345E-4</v>
      </c>
      <c r="DY58" s="248">
        <v>4.4433790795029345E-4</v>
      </c>
      <c r="DZ58" s="248">
        <v>4.4433790795029345E-4</v>
      </c>
      <c r="EA58" s="248">
        <v>4.4433790795029345E-4</v>
      </c>
      <c r="EB58" s="248">
        <v>4.4433790795029345E-4</v>
      </c>
    </row>
    <row r="59" spans="1:132" ht="14.5" x14ac:dyDescent="0.35">
      <c r="B59" s="198">
        <v>4</v>
      </c>
      <c r="C59" s="252">
        <v>0</v>
      </c>
      <c r="D59" s="248">
        <v>3.6539189541637896E-3</v>
      </c>
      <c r="E59" s="252">
        <v>0</v>
      </c>
      <c r="F59" s="252">
        <v>4.7634550005857604E-3</v>
      </c>
      <c r="G59" s="252">
        <v>3.1419440246951104E-3</v>
      </c>
      <c r="H59" s="252">
        <v>1.5981026569760466E-3</v>
      </c>
      <c r="I59" s="252">
        <v>0</v>
      </c>
      <c r="J59" s="252">
        <v>3.1344419810647086E-3</v>
      </c>
      <c r="K59" s="252">
        <v>1.5602582316485668E-3</v>
      </c>
      <c r="L59" s="248">
        <v>3.6539189541637896E-3</v>
      </c>
      <c r="M59" s="252">
        <v>2.3512442482630591E-3</v>
      </c>
      <c r="N59" s="248">
        <v>9.0633956756309888E-4</v>
      </c>
      <c r="O59" s="248">
        <v>3.9464777078228769E-4</v>
      </c>
      <c r="P59" s="252">
        <v>0</v>
      </c>
      <c r="Q59" s="252">
        <v>2.3512442482630591E-3</v>
      </c>
      <c r="R59" s="248">
        <v>3.6539189541637896E-3</v>
      </c>
      <c r="S59" s="248">
        <v>3.1419440246951104E-3</v>
      </c>
      <c r="T59" s="248">
        <v>3.1344419810647086E-3</v>
      </c>
      <c r="U59" s="252">
        <v>2.3512442482630591E-3</v>
      </c>
      <c r="V59" s="252">
        <v>2.3512442482630591E-3</v>
      </c>
      <c r="W59" s="248">
        <v>3.6539189541637896E-3</v>
      </c>
      <c r="X59" s="248">
        <v>2.9436153077893848E-3</v>
      </c>
      <c r="Y59" s="248">
        <v>2.1723601735613336E-3</v>
      </c>
      <c r="Z59" s="248">
        <v>1.3142555195606769E-3</v>
      </c>
      <c r="AA59" s="248">
        <v>3.9464777078228769E-4</v>
      </c>
      <c r="AB59" s="252">
        <v>3.1419440246951104E-3</v>
      </c>
      <c r="AC59" s="252">
        <v>3.1419440246951104E-3</v>
      </c>
      <c r="AD59" s="252">
        <v>3.1419440246951104E-3</v>
      </c>
      <c r="AE59" s="252">
        <v>2.3512442482630591E-3</v>
      </c>
      <c r="AF59" s="252">
        <v>1.5981026569760466E-3</v>
      </c>
      <c r="AG59" s="252">
        <v>1.5981026569760466E-3</v>
      </c>
      <c r="AH59" s="252">
        <v>1.5981026569760466E-3</v>
      </c>
      <c r="AI59" s="252">
        <v>1.5981026569760466E-3</v>
      </c>
      <c r="AJ59" s="248">
        <v>9.0633956756309888E-4</v>
      </c>
      <c r="AK59" s="252">
        <v>3.1344419810647086E-3</v>
      </c>
      <c r="AL59" s="252">
        <v>3.1344419810647086E-3</v>
      </c>
      <c r="AM59" s="252">
        <v>3.1344419810647086E-3</v>
      </c>
      <c r="AN59" s="252">
        <v>2.3512442482630591E-3</v>
      </c>
      <c r="AO59" s="252">
        <v>1.5602582316485668E-3</v>
      </c>
      <c r="AP59" s="252">
        <v>1.5602582316485668E-3</v>
      </c>
      <c r="AQ59" s="252">
        <v>1.5602582316485668E-3</v>
      </c>
      <c r="AR59" s="252">
        <v>1.5602582316485668E-3</v>
      </c>
      <c r="AS59" s="248">
        <v>9.0633956756309888E-4</v>
      </c>
      <c r="AT59" s="252">
        <v>0</v>
      </c>
      <c r="AU59" s="252">
        <v>2.3512442482630591E-3</v>
      </c>
      <c r="AV59" s="248">
        <v>9.0633956756309888E-4</v>
      </c>
      <c r="AW59" s="252">
        <v>0</v>
      </c>
      <c r="AX59" s="252">
        <v>3.1419440246951104E-3</v>
      </c>
      <c r="AY59" s="252">
        <v>1.5981026569760466E-3</v>
      </c>
      <c r="AZ59" s="252">
        <v>2.3512442482630591E-3</v>
      </c>
      <c r="BA59" s="249">
        <v>2.8E-3</v>
      </c>
      <c r="BB59" s="249">
        <v>2.8E-3</v>
      </c>
      <c r="BC59" s="249">
        <v>2.8E-3</v>
      </c>
      <c r="BD59" s="249">
        <v>2.0000000000000001E-4</v>
      </c>
      <c r="BE59" s="249">
        <v>2.8E-3</v>
      </c>
      <c r="BF59" s="248">
        <v>9.0633956756309888E-4</v>
      </c>
      <c r="BG59" s="248">
        <v>9.0633956756309888E-4</v>
      </c>
      <c r="BH59" s="249">
        <v>2.8E-3</v>
      </c>
      <c r="BI59" s="248">
        <v>0</v>
      </c>
      <c r="BJ59" s="248">
        <v>0</v>
      </c>
      <c r="BK59" s="248">
        <v>0</v>
      </c>
      <c r="BL59" s="248">
        <v>0</v>
      </c>
      <c r="BM59" s="248">
        <v>4.7634550005857604E-3</v>
      </c>
      <c r="BN59" s="248">
        <v>3.6539189541637896E-3</v>
      </c>
      <c r="BO59" s="248">
        <v>3.6539189541637896E-3</v>
      </c>
      <c r="BP59" s="248">
        <v>3.6539189541637896E-3</v>
      </c>
      <c r="BQ59" s="248">
        <v>3.1419440246951104E-3</v>
      </c>
      <c r="BR59" s="248">
        <v>2.3512442482630591E-3</v>
      </c>
      <c r="BS59" s="248">
        <v>3.1344419810647086E-3</v>
      </c>
      <c r="BT59" s="248">
        <v>2.3512442482630591E-3</v>
      </c>
      <c r="BU59" s="248">
        <v>1.5981026569760466E-3</v>
      </c>
      <c r="BV59" s="248">
        <v>9.0633956756309888E-4</v>
      </c>
      <c r="BW59" s="248">
        <v>1.5602582316485668E-3</v>
      </c>
      <c r="BX59" s="248">
        <v>9.0633956756309888E-4</v>
      </c>
      <c r="BY59" s="248">
        <v>3.9464777078228769E-4</v>
      </c>
      <c r="BZ59" s="248">
        <v>3.9464777078228769E-4</v>
      </c>
      <c r="CA59" s="248">
        <v>3.9464777078228769E-4</v>
      </c>
      <c r="CB59" s="248">
        <v>3.9464777078228769E-4</v>
      </c>
      <c r="CC59" s="248">
        <v>0</v>
      </c>
      <c r="CD59" s="248">
        <v>0</v>
      </c>
      <c r="CE59" s="248">
        <v>0</v>
      </c>
      <c r="CF59" s="248">
        <v>0</v>
      </c>
      <c r="CG59" s="248">
        <v>4.7634550005857604E-3</v>
      </c>
      <c r="CH59" s="248">
        <v>3.6539189541637896E-3</v>
      </c>
      <c r="CI59" s="248">
        <v>3.6539189541637896E-3</v>
      </c>
      <c r="CJ59" s="248">
        <v>3.6539189541637896E-3</v>
      </c>
      <c r="CK59" s="248">
        <v>3.1419440246951104E-3</v>
      </c>
      <c r="CL59" s="248">
        <v>2.3512442482630591E-3</v>
      </c>
      <c r="CM59" s="248">
        <v>3.1344419810647086E-3</v>
      </c>
      <c r="CN59" s="248">
        <v>2.3512442482630591E-3</v>
      </c>
      <c r="CO59" s="248">
        <v>1.5981026569760466E-3</v>
      </c>
      <c r="CP59" s="248">
        <v>9.0633956756309888E-4</v>
      </c>
      <c r="CQ59" s="248">
        <v>1.5602582316485668E-3</v>
      </c>
      <c r="CR59" s="248">
        <v>9.0633956756309888E-4</v>
      </c>
      <c r="CS59" s="248">
        <v>0</v>
      </c>
      <c r="CT59" s="248">
        <v>0</v>
      </c>
      <c r="CU59" s="248">
        <v>0</v>
      </c>
      <c r="CV59" s="248">
        <v>0</v>
      </c>
      <c r="CW59" s="248">
        <v>4.7634550005857604E-3</v>
      </c>
      <c r="CX59" s="248">
        <v>3.6539189541637896E-3</v>
      </c>
      <c r="CY59" s="248">
        <v>3.6539189541637896E-3</v>
      </c>
      <c r="CZ59" s="248">
        <v>3.6539189541637896E-3</v>
      </c>
      <c r="DA59" s="248">
        <v>3.1419440246951104E-3</v>
      </c>
      <c r="DB59" s="248">
        <v>2.3512442482630591E-3</v>
      </c>
      <c r="DC59" s="248">
        <v>3.1344419810647086E-3</v>
      </c>
      <c r="DD59" s="248">
        <v>2.3512442482630591E-3</v>
      </c>
      <c r="DE59" s="248">
        <v>1.5981026569760466E-3</v>
      </c>
      <c r="DF59" s="248">
        <v>9.0633956756309888E-4</v>
      </c>
      <c r="DG59" s="248">
        <v>1.5602582316485668E-3</v>
      </c>
      <c r="DH59" s="248">
        <v>9.0633956756309888E-4</v>
      </c>
      <c r="DI59" s="248">
        <v>9.0633956756309888E-4</v>
      </c>
      <c r="DJ59" s="248">
        <v>9.0633956756309888E-4</v>
      </c>
      <c r="DK59" s="248">
        <v>9.0633956756309888E-4</v>
      </c>
      <c r="DL59" s="248">
        <v>9.0633956756309888E-4</v>
      </c>
      <c r="DM59" s="248">
        <v>9.0633956756309888E-4</v>
      </c>
      <c r="DN59" s="248">
        <v>9.0633956756309888E-4</v>
      </c>
      <c r="DO59" s="248">
        <v>9.0633956756309888E-4</v>
      </c>
      <c r="DP59" s="248">
        <v>9.0633956756309888E-4</v>
      </c>
      <c r="DQ59" s="248">
        <v>9.0633956756309888E-4</v>
      </c>
      <c r="DR59" s="248">
        <v>9.0633956756309888E-4</v>
      </c>
      <c r="DS59" s="248">
        <v>9.0633956756309888E-4</v>
      </c>
      <c r="DT59" s="248">
        <v>9.0633956756309888E-4</v>
      </c>
      <c r="DU59" s="248">
        <v>9.0633956756309888E-4</v>
      </c>
      <c r="DV59" s="248">
        <v>9.0633956756309888E-4</v>
      </c>
      <c r="DW59" s="248">
        <v>9.0633956756309888E-4</v>
      </c>
      <c r="DX59" s="248">
        <v>9.0633956756309888E-4</v>
      </c>
      <c r="DY59" s="248">
        <v>9.0633956756309888E-4</v>
      </c>
      <c r="DZ59" s="248">
        <v>9.0633956756309888E-4</v>
      </c>
      <c r="EA59" s="248">
        <v>9.0633956756309888E-4</v>
      </c>
      <c r="EB59" s="248">
        <v>9.0633956756309888E-4</v>
      </c>
    </row>
    <row r="60" spans="1:132" ht="14.5" x14ac:dyDescent="0.35">
      <c r="B60" s="198">
        <v>5</v>
      </c>
      <c r="C60" s="252">
        <v>0</v>
      </c>
      <c r="D60" s="248">
        <v>0</v>
      </c>
      <c r="E60" s="252">
        <v>0</v>
      </c>
      <c r="F60" s="252">
        <v>0</v>
      </c>
      <c r="G60" s="252">
        <v>3.7515014296667969E-3</v>
      </c>
      <c r="H60" s="252">
        <v>1.6841683652504364E-3</v>
      </c>
      <c r="I60" s="252">
        <v>0</v>
      </c>
      <c r="J60" s="252">
        <v>3.7852324733293544E-3</v>
      </c>
      <c r="K60" s="252">
        <v>1.5307132151011287E-3</v>
      </c>
      <c r="L60" s="248">
        <v>0</v>
      </c>
      <c r="M60" s="252">
        <v>3.7439840738884567E-3</v>
      </c>
      <c r="N60" s="248">
        <v>1.5049439511309092E-3</v>
      </c>
      <c r="O60" s="248">
        <v>5.6761453519049135E-4</v>
      </c>
      <c r="P60" s="252">
        <v>0</v>
      </c>
      <c r="Q60" s="252">
        <v>3.7439840738884567E-3</v>
      </c>
      <c r="R60" s="248">
        <v>0</v>
      </c>
      <c r="S60" s="248">
        <v>3.7515014296667969E-3</v>
      </c>
      <c r="T60" s="248">
        <v>3.7852324733293544E-3</v>
      </c>
      <c r="U60" s="252">
        <v>3.7439840738884567E-3</v>
      </c>
      <c r="V60" s="252">
        <v>3.7439840738884567E-3</v>
      </c>
      <c r="W60" s="248">
        <v>0</v>
      </c>
      <c r="X60" s="248">
        <v>4.2790866759220792E-3</v>
      </c>
      <c r="Y60" s="248">
        <v>3.0130681564519181E-3</v>
      </c>
      <c r="Z60" s="248">
        <v>1.752105537316776E-3</v>
      </c>
      <c r="AA60" s="248">
        <v>5.6761453519049135E-4</v>
      </c>
      <c r="AB60" s="252">
        <v>3.7515014296667969E-3</v>
      </c>
      <c r="AC60" s="252">
        <v>3.7515014296667969E-3</v>
      </c>
      <c r="AD60" s="252">
        <v>3.7515014296667969E-3</v>
      </c>
      <c r="AE60" s="252">
        <v>3.7439840738884567E-3</v>
      </c>
      <c r="AF60" s="252">
        <v>1.6841683652504364E-3</v>
      </c>
      <c r="AG60" s="252">
        <v>1.6841683652504364E-3</v>
      </c>
      <c r="AH60" s="252">
        <v>1.6841683652504364E-3</v>
      </c>
      <c r="AI60" s="252">
        <v>1.6841683652504364E-3</v>
      </c>
      <c r="AJ60" s="248">
        <v>1.5049439511309092E-3</v>
      </c>
      <c r="AK60" s="252">
        <v>3.7852324733293544E-3</v>
      </c>
      <c r="AL60" s="252">
        <v>3.7852324733293544E-3</v>
      </c>
      <c r="AM60" s="252">
        <v>3.7852324733293544E-3</v>
      </c>
      <c r="AN60" s="252">
        <v>3.7439840738884567E-3</v>
      </c>
      <c r="AO60" s="252">
        <v>1.5307132151011287E-3</v>
      </c>
      <c r="AP60" s="252">
        <v>1.5307132151011287E-3</v>
      </c>
      <c r="AQ60" s="252">
        <v>1.5307132151011287E-3</v>
      </c>
      <c r="AR60" s="252">
        <v>1.5307132151011287E-3</v>
      </c>
      <c r="AS60" s="248">
        <v>1.5049439511309092E-3</v>
      </c>
      <c r="AT60" s="252">
        <v>0</v>
      </c>
      <c r="AU60" s="252">
        <v>3.7439840738884567E-3</v>
      </c>
      <c r="AV60" s="248">
        <v>1.5049439511309092E-3</v>
      </c>
      <c r="AW60" s="252">
        <v>0</v>
      </c>
      <c r="AX60" s="252">
        <v>3.7515014296667969E-3</v>
      </c>
      <c r="AY60" s="252">
        <v>1.6841683652504364E-3</v>
      </c>
      <c r="AZ60" s="252">
        <v>3.7439840738884567E-3</v>
      </c>
      <c r="BA60" s="249">
        <v>0</v>
      </c>
      <c r="BB60" s="249">
        <v>0</v>
      </c>
      <c r="BC60" s="249">
        <v>0</v>
      </c>
      <c r="BD60" s="249">
        <v>0</v>
      </c>
      <c r="BE60" s="249">
        <v>0</v>
      </c>
      <c r="BF60" s="248">
        <v>1.5049439511309092E-3</v>
      </c>
      <c r="BG60" s="248">
        <v>1.5049439511309092E-3</v>
      </c>
      <c r="BH60" s="249">
        <v>0</v>
      </c>
      <c r="BI60" s="248">
        <v>0</v>
      </c>
      <c r="BJ60" s="248">
        <v>0</v>
      </c>
      <c r="BK60" s="248">
        <v>0</v>
      </c>
      <c r="BL60" s="248">
        <v>0</v>
      </c>
      <c r="BM60" s="248">
        <v>0</v>
      </c>
      <c r="BN60" s="248">
        <v>0</v>
      </c>
      <c r="BO60" s="248">
        <v>0</v>
      </c>
      <c r="BP60" s="248">
        <v>0</v>
      </c>
      <c r="BQ60" s="248">
        <v>3.7515014296667969E-3</v>
      </c>
      <c r="BR60" s="248">
        <v>3.7439840738884567E-3</v>
      </c>
      <c r="BS60" s="248">
        <v>3.7852324733293544E-3</v>
      </c>
      <c r="BT60" s="248">
        <v>3.7439840738884567E-3</v>
      </c>
      <c r="BU60" s="248">
        <v>1.6841683652504364E-3</v>
      </c>
      <c r="BV60" s="248">
        <v>1.5049439511309092E-3</v>
      </c>
      <c r="BW60" s="248">
        <v>1.5307132151011287E-3</v>
      </c>
      <c r="BX60" s="248">
        <v>1.5049439511309092E-3</v>
      </c>
      <c r="BY60" s="248">
        <v>5.6761453519049135E-4</v>
      </c>
      <c r="BZ60" s="248">
        <v>5.6761453519049135E-4</v>
      </c>
      <c r="CA60" s="248">
        <v>5.6761453519049135E-4</v>
      </c>
      <c r="CB60" s="248">
        <v>5.6761453519049135E-4</v>
      </c>
      <c r="CC60" s="248">
        <v>0</v>
      </c>
      <c r="CD60" s="248">
        <v>0</v>
      </c>
      <c r="CE60" s="248">
        <v>0</v>
      </c>
      <c r="CF60" s="248">
        <v>0</v>
      </c>
      <c r="CG60" s="248">
        <v>0</v>
      </c>
      <c r="CH60" s="248">
        <v>0</v>
      </c>
      <c r="CI60" s="248">
        <v>0</v>
      </c>
      <c r="CJ60" s="248">
        <v>0</v>
      </c>
      <c r="CK60" s="248">
        <v>3.7515014296667969E-3</v>
      </c>
      <c r="CL60" s="248">
        <v>3.7439840738884567E-3</v>
      </c>
      <c r="CM60" s="248">
        <v>3.7852324733293544E-3</v>
      </c>
      <c r="CN60" s="248">
        <v>3.7439840738884567E-3</v>
      </c>
      <c r="CO60" s="248">
        <v>1.6841683652504364E-3</v>
      </c>
      <c r="CP60" s="248">
        <v>1.5049439511309092E-3</v>
      </c>
      <c r="CQ60" s="248">
        <v>1.5307132151011287E-3</v>
      </c>
      <c r="CR60" s="248">
        <v>1.5049439511309092E-3</v>
      </c>
      <c r="CS60" s="248">
        <v>0</v>
      </c>
      <c r="CT60" s="248">
        <v>0</v>
      </c>
      <c r="CU60" s="248">
        <v>0</v>
      </c>
      <c r="CV60" s="248">
        <v>0</v>
      </c>
      <c r="CW60" s="248">
        <v>0</v>
      </c>
      <c r="CX60" s="248">
        <v>0</v>
      </c>
      <c r="CY60" s="248">
        <v>0</v>
      </c>
      <c r="CZ60" s="248">
        <v>0</v>
      </c>
      <c r="DA60" s="248">
        <v>3.7515014296667969E-3</v>
      </c>
      <c r="DB60" s="248">
        <v>3.7439840738884567E-3</v>
      </c>
      <c r="DC60" s="248">
        <v>3.7852324733293544E-3</v>
      </c>
      <c r="DD60" s="248">
        <v>3.7439840738884567E-3</v>
      </c>
      <c r="DE60" s="248">
        <v>1.6841683652504364E-3</v>
      </c>
      <c r="DF60" s="248">
        <v>1.5049439511309092E-3</v>
      </c>
      <c r="DG60" s="248">
        <v>1.5307132151011287E-3</v>
      </c>
      <c r="DH60" s="248">
        <v>1.5049439511309092E-3</v>
      </c>
      <c r="DI60" s="248">
        <v>1.5049439511309092E-3</v>
      </c>
      <c r="DJ60" s="248">
        <v>1.5049439511309092E-3</v>
      </c>
      <c r="DK60" s="248">
        <v>1.5049439511309092E-3</v>
      </c>
      <c r="DL60" s="248">
        <v>1.5049439511309092E-3</v>
      </c>
      <c r="DM60" s="248">
        <v>1.5049439511309092E-3</v>
      </c>
      <c r="DN60" s="248">
        <v>1.5049439511309092E-3</v>
      </c>
      <c r="DO60" s="248">
        <v>1.5049439511309092E-3</v>
      </c>
      <c r="DP60" s="248">
        <v>1.5049439511309092E-3</v>
      </c>
      <c r="DQ60" s="248">
        <v>1.5049439511309092E-3</v>
      </c>
      <c r="DR60" s="248">
        <v>1.5049439511309092E-3</v>
      </c>
      <c r="DS60" s="248">
        <v>1.5049439511309092E-3</v>
      </c>
      <c r="DT60" s="248">
        <v>1.5049439511309092E-3</v>
      </c>
      <c r="DU60" s="248">
        <v>1.5049439511309092E-3</v>
      </c>
      <c r="DV60" s="248">
        <v>1.5049439511309092E-3</v>
      </c>
      <c r="DW60" s="248">
        <v>1.5049439511309092E-3</v>
      </c>
      <c r="DX60" s="248">
        <v>1.5049439511309092E-3</v>
      </c>
      <c r="DY60" s="248">
        <v>1.5049439511309092E-3</v>
      </c>
      <c r="DZ60" s="248">
        <v>1.5049439511309092E-3</v>
      </c>
      <c r="EA60" s="248">
        <v>1.5049439511309092E-3</v>
      </c>
      <c r="EB60" s="248">
        <v>1.5049439511309092E-3</v>
      </c>
    </row>
    <row r="61" spans="1:132" ht="14.5" x14ac:dyDescent="0.35">
      <c r="B61" s="198">
        <v>6</v>
      </c>
      <c r="C61" s="252">
        <v>0.19889775979111157</v>
      </c>
      <c r="D61" s="248">
        <v>1.4271647903070651E-2</v>
      </c>
      <c r="E61" s="252">
        <v>0.19236407175631795</v>
      </c>
      <c r="F61" s="252">
        <v>0</v>
      </c>
      <c r="G61" s="252">
        <v>2.0024285114835783E-2</v>
      </c>
      <c r="H61" s="252">
        <v>3.1414294859729741E-2</v>
      </c>
      <c r="I61" s="252">
        <v>0.19889775979111157</v>
      </c>
      <c r="J61" s="252">
        <v>2.0110206807967945E-2</v>
      </c>
      <c r="K61" s="252">
        <v>3.0498007105522668E-2</v>
      </c>
      <c r="L61" s="248">
        <v>1.4271647903070651E-2</v>
      </c>
      <c r="M61" s="252">
        <v>1.7149114586112863E-2</v>
      </c>
      <c r="N61" s="248">
        <v>3.2739882219631228E-2</v>
      </c>
      <c r="O61" s="248">
        <v>2.3609507986729367E-2</v>
      </c>
      <c r="P61" s="252">
        <v>0.19889775979111157</v>
      </c>
      <c r="Q61" s="252">
        <v>1.7149114586112863E-2</v>
      </c>
      <c r="R61" s="248">
        <v>1.4271647903070651E-2</v>
      </c>
      <c r="S61" s="248">
        <v>2.0024285114835783E-2</v>
      </c>
      <c r="T61" s="248">
        <v>2.0110206807967945E-2</v>
      </c>
      <c r="U61" s="252">
        <v>1.7149114586112863E-2</v>
      </c>
      <c r="V61" s="252">
        <v>1.7149114586112863E-2</v>
      </c>
      <c r="W61" s="248">
        <v>1.4271647903070651E-2</v>
      </c>
      <c r="X61" s="248">
        <v>0</v>
      </c>
      <c r="Y61" s="248">
        <v>5.0021170729775188E-2</v>
      </c>
      <c r="Z61" s="248">
        <v>3.0271089590790598E-2</v>
      </c>
      <c r="AA61" s="248">
        <v>2.3609507986729367E-2</v>
      </c>
      <c r="AB61" s="252">
        <v>2.0024285114835783E-2</v>
      </c>
      <c r="AC61" s="252">
        <v>2.0024285114835783E-2</v>
      </c>
      <c r="AD61" s="252">
        <v>2.0024285114835783E-2</v>
      </c>
      <c r="AE61" s="252">
        <v>1.7149114586112863E-2</v>
      </c>
      <c r="AF61" s="252">
        <v>3.1414294859729741E-2</v>
      </c>
      <c r="AG61" s="252">
        <v>3.1414294859729741E-2</v>
      </c>
      <c r="AH61" s="252">
        <v>3.1414294859729741E-2</v>
      </c>
      <c r="AI61" s="252">
        <v>3.1414294859729741E-2</v>
      </c>
      <c r="AJ61" s="248">
        <v>3.2739882219631228E-2</v>
      </c>
      <c r="AK61" s="252">
        <v>2.0110206807967945E-2</v>
      </c>
      <c r="AL61" s="252">
        <v>2.0110206807967945E-2</v>
      </c>
      <c r="AM61" s="252">
        <v>2.0110206807967945E-2</v>
      </c>
      <c r="AN61" s="252">
        <v>1.7149114586112863E-2</v>
      </c>
      <c r="AO61" s="252">
        <v>3.0498007105522668E-2</v>
      </c>
      <c r="AP61" s="252">
        <v>3.0498007105522668E-2</v>
      </c>
      <c r="AQ61" s="252">
        <v>3.0498007105522668E-2</v>
      </c>
      <c r="AR61" s="252">
        <v>3.0498007105522668E-2</v>
      </c>
      <c r="AS61" s="248">
        <v>3.2739882219631228E-2</v>
      </c>
      <c r="AT61" s="252">
        <v>0.19889775979111157</v>
      </c>
      <c r="AU61" s="252">
        <v>1.7149114586112863E-2</v>
      </c>
      <c r="AV61" s="248">
        <v>3.2739882219631228E-2</v>
      </c>
      <c r="AW61" s="252">
        <v>0.19236407175631795</v>
      </c>
      <c r="AX61" s="252">
        <v>2.0024285114835783E-2</v>
      </c>
      <c r="AY61" s="252">
        <v>3.1414294859729741E-2</v>
      </c>
      <c r="AZ61" s="252">
        <v>1.7149114586112863E-2</v>
      </c>
      <c r="BA61" s="249">
        <v>1.2999999999999999E-3</v>
      </c>
      <c r="BB61" s="249">
        <v>1.2999999999999999E-3</v>
      </c>
      <c r="BC61" s="249">
        <v>1.2999999999999999E-3</v>
      </c>
      <c r="BD61" s="249">
        <v>1E-4</v>
      </c>
      <c r="BE61" s="249">
        <v>1.2999999999999999E-3</v>
      </c>
      <c r="BF61" s="248">
        <v>3.2739882219631228E-2</v>
      </c>
      <c r="BG61" s="248">
        <v>3.2739882219631228E-2</v>
      </c>
      <c r="BH61" s="249">
        <v>1.2999999999999999E-3</v>
      </c>
      <c r="BI61" s="248">
        <v>0.19236407175631795</v>
      </c>
      <c r="BJ61" s="248">
        <v>0.19889775979111157</v>
      </c>
      <c r="BK61" s="248">
        <v>0.19889775979111157</v>
      </c>
      <c r="BL61" s="248">
        <v>0.19889775979111157</v>
      </c>
      <c r="BM61" s="248">
        <v>0</v>
      </c>
      <c r="BN61" s="248">
        <v>1.4271647903070651E-2</v>
      </c>
      <c r="BO61" s="248">
        <v>1.4271647903070651E-2</v>
      </c>
      <c r="BP61" s="248">
        <v>1.4271647903070651E-2</v>
      </c>
      <c r="BQ61" s="248">
        <v>2.0024285114835783E-2</v>
      </c>
      <c r="BR61" s="248">
        <v>1.7149114586112863E-2</v>
      </c>
      <c r="BS61" s="248">
        <v>2.0110206807967945E-2</v>
      </c>
      <c r="BT61" s="248">
        <v>1.7149114586112863E-2</v>
      </c>
      <c r="BU61" s="248">
        <v>3.1414294859729741E-2</v>
      </c>
      <c r="BV61" s="248">
        <v>3.2739882219631228E-2</v>
      </c>
      <c r="BW61" s="248">
        <v>3.0498007105522668E-2</v>
      </c>
      <c r="BX61" s="248">
        <v>3.2739882219631228E-2</v>
      </c>
      <c r="BY61" s="248">
        <v>2.3609507986729367E-2</v>
      </c>
      <c r="BZ61" s="248">
        <v>2.3609507986729367E-2</v>
      </c>
      <c r="CA61" s="248">
        <v>2.3609507986729367E-2</v>
      </c>
      <c r="CB61" s="248">
        <v>2.3609507986729367E-2</v>
      </c>
      <c r="CC61" s="248">
        <v>0.19236407175631795</v>
      </c>
      <c r="CD61" s="248">
        <v>0.19889775979111157</v>
      </c>
      <c r="CE61" s="248">
        <v>0.19889775979111157</v>
      </c>
      <c r="CF61" s="248">
        <v>0.19889775979111157</v>
      </c>
      <c r="CG61" s="248">
        <v>0</v>
      </c>
      <c r="CH61" s="248">
        <v>1.4271647903070651E-2</v>
      </c>
      <c r="CI61" s="248">
        <v>1.4271647903070651E-2</v>
      </c>
      <c r="CJ61" s="248">
        <v>1.4271647903070651E-2</v>
      </c>
      <c r="CK61" s="248">
        <v>2.0024285114835783E-2</v>
      </c>
      <c r="CL61" s="248">
        <v>1.7149114586112863E-2</v>
      </c>
      <c r="CM61" s="248">
        <v>2.0110206807967945E-2</v>
      </c>
      <c r="CN61" s="248">
        <v>1.7149114586112863E-2</v>
      </c>
      <c r="CO61" s="248">
        <v>3.1414294859729741E-2</v>
      </c>
      <c r="CP61" s="248">
        <v>3.2739882219631228E-2</v>
      </c>
      <c r="CQ61" s="248">
        <v>3.0498007105522668E-2</v>
      </c>
      <c r="CR61" s="248">
        <v>3.2739882219631228E-2</v>
      </c>
      <c r="CS61" s="248">
        <v>0.19236407175631795</v>
      </c>
      <c r="CT61" s="248">
        <v>0.19889775979111157</v>
      </c>
      <c r="CU61" s="248">
        <v>0.19889775979111157</v>
      </c>
      <c r="CV61" s="248">
        <v>0.19889775979111157</v>
      </c>
      <c r="CW61" s="248">
        <v>0</v>
      </c>
      <c r="CX61" s="248">
        <v>1.4271647903070651E-2</v>
      </c>
      <c r="CY61" s="248">
        <v>1.4271647903070651E-2</v>
      </c>
      <c r="CZ61" s="248">
        <v>1.4271647903070651E-2</v>
      </c>
      <c r="DA61" s="248">
        <v>2.0024285114835783E-2</v>
      </c>
      <c r="DB61" s="248">
        <v>1.7149114586112863E-2</v>
      </c>
      <c r="DC61" s="248">
        <v>2.0110206807967945E-2</v>
      </c>
      <c r="DD61" s="248">
        <v>1.7149114586112863E-2</v>
      </c>
      <c r="DE61" s="248">
        <v>3.1414294859729741E-2</v>
      </c>
      <c r="DF61" s="248">
        <v>3.2739882219631228E-2</v>
      </c>
      <c r="DG61" s="248">
        <v>3.0498007105522668E-2</v>
      </c>
      <c r="DH61" s="248">
        <v>3.2739882219631228E-2</v>
      </c>
      <c r="DI61" s="248">
        <v>3.2739882219631228E-2</v>
      </c>
      <c r="DJ61" s="248">
        <v>3.2739882219631228E-2</v>
      </c>
      <c r="DK61" s="248">
        <v>3.2739882219631228E-2</v>
      </c>
      <c r="DL61" s="248">
        <v>3.2739882219631228E-2</v>
      </c>
      <c r="DM61" s="248">
        <v>3.2739882219631228E-2</v>
      </c>
      <c r="DN61" s="248">
        <v>3.2739882219631228E-2</v>
      </c>
      <c r="DO61" s="248">
        <v>3.2739882219631228E-2</v>
      </c>
      <c r="DP61" s="248">
        <v>3.2739882219631228E-2</v>
      </c>
      <c r="DQ61" s="248">
        <v>3.2739882219631228E-2</v>
      </c>
      <c r="DR61" s="248">
        <v>3.2739882219631228E-2</v>
      </c>
      <c r="DS61" s="248">
        <v>3.2739882219631228E-2</v>
      </c>
      <c r="DT61" s="248">
        <v>3.2739882219631228E-2</v>
      </c>
      <c r="DU61" s="248">
        <v>3.2739882219631228E-2</v>
      </c>
      <c r="DV61" s="248">
        <v>3.2739882219631228E-2</v>
      </c>
      <c r="DW61" s="248">
        <v>3.2739882219631228E-2</v>
      </c>
      <c r="DX61" s="248">
        <v>3.2739882219631228E-2</v>
      </c>
      <c r="DY61" s="248">
        <v>3.2739882219631228E-2</v>
      </c>
      <c r="DZ61" s="248">
        <v>3.2739882219631228E-2</v>
      </c>
      <c r="EA61" s="248">
        <v>3.2739882219631228E-2</v>
      </c>
      <c r="EB61" s="248">
        <v>3.2739882219631228E-2</v>
      </c>
    </row>
    <row r="62" spans="1:132" ht="14.5" x14ac:dyDescent="0.35">
      <c r="B62" s="198">
        <v>7</v>
      </c>
      <c r="C62" s="252">
        <v>1.0072149726886415E-2</v>
      </c>
      <c r="D62" s="248">
        <v>0</v>
      </c>
      <c r="E62" s="252">
        <v>7.8467972685064558E-3</v>
      </c>
      <c r="F62" s="252">
        <v>0</v>
      </c>
      <c r="G62" s="252">
        <v>0</v>
      </c>
      <c r="H62" s="252">
        <v>6.6463418601161103E-3</v>
      </c>
      <c r="I62" s="252">
        <v>1.0072149726886415E-2</v>
      </c>
      <c r="J62" s="252">
        <v>0</v>
      </c>
      <c r="K62" s="252">
        <v>5.9694551069083973E-3</v>
      </c>
      <c r="L62" s="248">
        <v>0</v>
      </c>
      <c r="M62" s="252">
        <v>0</v>
      </c>
      <c r="N62" s="248">
        <v>7.0861162761028801E-3</v>
      </c>
      <c r="O62" s="248">
        <v>3.2863151377094703E-3</v>
      </c>
      <c r="P62" s="252">
        <v>1.0072149726886415E-2</v>
      </c>
      <c r="Q62" s="252">
        <v>0</v>
      </c>
      <c r="R62" s="248">
        <v>0</v>
      </c>
      <c r="S62" s="248">
        <v>0</v>
      </c>
      <c r="T62" s="248">
        <v>0</v>
      </c>
      <c r="U62" s="252">
        <v>0</v>
      </c>
      <c r="V62" s="252">
        <v>0</v>
      </c>
      <c r="W62" s="248">
        <v>0</v>
      </c>
      <c r="X62" s="248">
        <v>0</v>
      </c>
      <c r="Y62" s="248">
        <v>0</v>
      </c>
      <c r="Z62" s="248">
        <v>5.4764984129459515E-3</v>
      </c>
      <c r="AA62" s="248">
        <v>3.2863151377094703E-3</v>
      </c>
      <c r="AB62" s="252">
        <v>0</v>
      </c>
      <c r="AC62" s="252">
        <v>0</v>
      </c>
      <c r="AD62" s="252">
        <v>0</v>
      </c>
      <c r="AE62" s="252">
        <v>0</v>
      </c>
      <c r="AF62" s="252">
        <v>6.6463418601161103E-3</v>
      </c>
      <c r="AG62" s="252">
        <v>6.6463418601161103E-3</v>
      </c>
      <c r="AH62" s="252">
        <v>6.6463418601161103E-3</v>
      </c>
      <c r="AI62" s="252">
        <v>6.6463418601161103E-3</v>
      </c>
      <c r="AJ62" s="248">
        <v>7.0861162761028801E-3</v>
      </c>
      <c r="AK62" s="252">
        <v>0</v>
      </c>
      <c r="AL62" s="252">
        <v>0</v>
      </c>
      <c r="AM62" s="252">
        <v>0</v>
      </c>
      <c r="AN62" s="252">
        <v>0</v>
      </c>
      <c r="AO62" s="252">
        <v>5.9694551069083973E-3</v>
      </c>
      <c r="AP62" s="252">
        <v>5.9694551069083973E-3</v>
      </c>
      <c r="AQ62" s="252">
        <v>5.9694551069083973E-3</v>
      </c>
      <c r="AR62" s="252">
        <v>5.9694551069083973E-3</v>
      </c>
      <c r="AS62" s="248">
        <v>7.0861162761028801E-3</v>
      </c>
      <c r="AT62" s="252">
        <v>1.0072149726886415E-2</v>
      </c>
      <c r="AU62" s="252">
        <v>0</v>
      </c>
      <c r="AV62" s="248">
        <v>7.0861162761028801E-3</v>
      </c>
      <c r="AW62" s="252">
        <v>7.8467972685064558E-3</v>
      </c>
      <c r="AX62" s="252">
        <v>0</v>
      </c>
      <c r="AY62" s="252">
        <v>6.6463418601161103E-3</v>
      </c>
      <c r="AZ62" s="252">
        <v>0</v>
      </c>
      <c r="BA62" s="249">
        <v>0</v>
      </c>
      <c r="BB62" s="249">
        <v>0</v>
      </c>
      <c r="BC62" s="249">
        <v>0</v>
      </c>
      <c r="BD62" s="249">
        <v>0</v>
      </c>
      <c r="BE62" s="249">
        <v>0</v>
      </c>
      <c r="BF62" s="248">
        <v>7.0861162761028801E-3</v>
      </c>
      <c r="BG62" s="248">
        <v>7.0861162761028801E-3</v>
      </c>
      <c r="BH62" s="249">
        <v>0</v>
      </c>
      <c r="BI62" s="248">
        <v>7.8467972685064558E-3</v>
      </c>
      <c r="BJ62" s="248">
        <v>1.0072149726886415E-2</v>
      </c>
      <c r="BK62" s="248">
        <v>1.0072149726886415E-2</v>
      </c>
      <c r="BL62" s="248">
        <v>1.0072149726886415E-2</v>
      </c>
      <c r="BM62" s="248">
        <v>0</v>
      </c>
      <c r="BN62" s="248">
        <v>0</v>
      </c>
      <c r="BO62" s="248">
        <v>0</v>
      </c>
      <c r="BP62" s="248">
        <v>0</v>
      </c>
      <c r="BQ62" s="248">
        <v>0</v>
      </c>
      <c r="BR62" s="248">
        <v>0</v>
      </c>
      <c r="BS62" s="248">
        <v>0</v>
      </c>
      <c r="BT62" s="248">
        <v>0</v>
      </c>
      <c r="BU62" s="248">
        <v>6.6463418601161103E-3</v>
      </c>
      <c r="BV62" s="248">
        <v>7.0861162761028801E-3</v>
      </c>
      <c r="BW62" s="248">
        <v>5.9694551069083973E-3</v>
      </c>
      <c r="BX62" s="248">
        <v>7.0861162761028801E-3</v>
      </c>
      <c r="BY62" s="248">
        <v>3.2863151377094703E-3</v>
      </c>
      <c r="BZ62" s="248">
        <v>3.2863151377094703E-3</v>
      </c>
      <c r="CA62" s="248">
        <v>3.2863151377094703E-3</v>
      </c>
      <c r="CB62" s="248">
        <v>3.2863151377094703E-3</v>
      </c>
      <c r="CC62" s="248">
        <v>7.8467972685064558E-3</v>
      </c>
      <c r="CD62" s="248">
        <v>1.0072149726886415E-2</v>
      </c>
      <c r="CE62" s="248">
        <v>1.0072149726886415E-2</v>
      </c>
      <c r="CF62" s="248">
        <v>1.0072149726886415E-2</v>
      </c>
      <c r="CG62" s="248">
        <v>0</v>
      </c>
      <c r="CH62" s="248">
        <v>0</v>
      </c>
      <c r="CI62" s="248">
        <v>0</v>
      </c>
      <c r="CJ62" s="248">
        <v>0</v>
      </c>
      <c r="CK62" s="248">
        <v>0</v>
      </c>
      <c r="CL62" s="248">
        <v>0</v>
      </c>
      <c r="CM62" s="248">
        <v>0</v>
      </c>
      <c r="CN62" s="248">
        <v>0</v>
      </c>
      <c r="CO62" s="248">
        <v>6.6463418601161103E-3</v>
      </c>
      <c r="CP62" s="248">
        <v>7.0861162761028801E-3</v>
      </c>
      <c r="CQ62" s="248">
        <v>5.9694551069083973E-3</v>
      </c>
      <c r="CR62" s="248">
        <v>7.0861162761028801E-3</v>
      </c>
      <c r="CS62" s="248">
        <v>7.8467972685064558E-3</v>
      </c>
      <c r="CT62" s="248">
        <v>1.0072149726886415E-2</v>
      </c>
      <c r="CU62" s="248">
        <v>1.0072149726886415E-2</v>
      </c>
      <c r="CV62" s="248">
        <v>1.0072149726886415E-2</v>
      </c>
      <c r="CW62" s="248">
        <v>0</v>
      </c>
      <c r="CX62" s="248">
        <v>0</v>
      </c>
      <c r="CY62" s="248">
        <v>0</v>
      </c>
      <c r="CZ62" s="248">
        <v>0</v>
      </c>
      <c r="DA62" s="248">
        <v>0</v>
      </c>
      <c r="DB62" s="248">
        <v>0</v>
      </c>
      <c r="DC62" s="248">
        <v>0</v>
      </c>
      <c r="DD62" s="248">
        <v>0</v>
      </c>
      <c r="DE62" s="248">
        <v>6.6463418601161103E-3</v>
      </c>
      <c r="DF62" s="248">
        <v>7.0861162761028801E-3</v>
      </c>
      <c r="DG62" s="248">
        <v>5.9694551069083973E-3</v>
      </c>
      <c r="DH62" s="248">
        <v>7.0861162761028801E-3</v>
      </c>
      <c r="DI62" s="248">
        <v>7.0861162761028801E-3</v>
      </c>
      <c r="DJ62" s="248">
        <v>7.0861162761028801E-3</v>
      </c>
      <c r="DK62" s="248">
        <v>7.0861162761028801E-3</v>
      </c>
      <c r="DL62" s="248">
        <v>7.0861162761028801E-3</v>
      </c>
      <c r="DM62" s="248">
        <v>7.0861162761028801E-3</v>
      </c>
      <c r="DN62" s="248">
        <v>7.0861162761028801E-3</v>
      </c>
      <c r="DO62" s="248">
        <v>7.0861162761028801E-3</v>
      </c>
      <c r="DP62" s="248">
        <v>7.0861162761028801E-3</v>
      </c>
      <c r="DQ62" s="248">
        <v>7.0861162761028801E-3</v>
      </c>
      <c r="DR62" s="248">
        <v>7.0861162761028801E-3</v>
      </c>
      <c r="DS62" s="248">
        <v>7.0861162761028801E-3</v>
      </c>
      <c r="DT62" s="248">
        <v>7.0861162761028801E-3</v>
      </c>
      <c r="DU62" s="248">
        <v>7.0861162761028801E-3</v>
      </c>
      <c r="DV62" s="248">
        <v>7.0861162761028801E-3</v>
      </c>
      <c r="DW62" s="248">
        <v>7.0861162761028801E-3</v>
      </c>
      <c r="DX62" s="248">
        <v>7.0861162761028801E-3</v>
      </c>
      <c r="DY62" s="248">
        <v>7.0861162761028801E-3</v>
      </c>
      <c r="DZ62" s="248">
        <v>7.0861162761028801E-3</v>
      </c>
      <c r="EA62" s="248">
        <v>7.0861162761028801E-3</v>
      </c>
      <c r="EB62" s="248">
        <v>7.0861162761028801E-3</v>
      </c>
    </row>
    <row r="63" spans="1:132" ht="14.5" x14ac:dyDescent="0.35">
      <c r="B63" s="198">
        <v>8</v>
      </c>
      <c r="C63" s="252">
        <v>0</v>
      </c>
      <c r="D63" s="248">
        <v>0.19016351894114081</v>
      </c>
      <c r="E63" s="252">
        <v>0</v>
      </c>
      <c r="F63" s="252">
        <v>5.6281254115668714E-2</v>
      </c>
      <c r="G63" s="252">
        <v>6.7447926998490254E-2</v>
      </c>
      <c r="H63" s="252">
        <v>4.9303297063430229E-3</v>
      </c>
      <c r="I63" s="252">
        <v>0</v>
      </c>
      <c r="J63" s="252">
        <v>6.0968449087615117E-2</v>
      </c>
      <c r="K63" s="252">
        <v>0</v>
      </c>
      <c r="L63" s="248">
        <v>0.19016351894114081</v>
      </c>
      <c r="M63" s="252">
        <v>8.168922208108427E-2</v>
      </c>
      <c r="N63" s="248">
        <v>2.7368560575169731E-3</v>
      </c>
      <c r="O63" s="248">
        <v>0</v>
      </c>
      <c r="P63" s="252">
        <v>0</v>
      </c>
      <c r="Q63" s="252">
        <v>8.168922208108427E-2</v>
      </c>
      <c r="R63" s="248">
        <v>0.19016351894114081</v>
      </c>
      <c r="S63" s="248">
        <v>6.7447926998490254E-2</v>
      </c>
      <c r="T63" s="248">
        <v>6.0968449087615117E-2</v>
      </c>
      <c r="U63" s="252">
        <v>8.168922208108427E-2</v>
      </c>
      <c r="V63" s="252">
        <v>8.168922208108427E-2</v>
      </c>
      <c r="W63" s="248">
        <v>0.19016351894114081</v>
      </c>
      <c r="X63" s="248">
        <v>4.0015514334743575E-2</v>
      </c>
      <c r="Y63" s="248">
        <v>6.07435050908069E-3</v>
      </c>
      <c r="Z63" s="248">
        <v>0</v>
      </c>
      <c r="AA63" s="248">
        <v>0</v>
      </c>
      <c r="AB63" s="252">
        <v>6.7447926998490254E-2</v>
      </c>
      <c r="AC63" s="252">
        <v>6.7447926998490254E-2</v>
      </c>
      <c r="AD63" s="252">
        <v>6.7447926998490254E-2</v>
      </c>
      <c r="AE63" s="252">
        <v>8.168922208108427E-2</v>
      </c>
      <c r="AF63" s="252">
        <v>4.9303297063430229E-3</v>
      </c>
      <c r="AG63" s="252">
        <v>4.9303297063430229E-3</v>
      </c>
      <c r="AH63" s="252">
        <v>4.9303297063430229E-3</v>
      </c>
      <c r="AI63" s="252">
        <v>4.9303297063430229E-3</v>
      </c>
      <c r="AJ63" s="248">
        <v>2.7368560575169731E-3</v>
      </c>
      <c r="AK63" s="252">
        <v>6.0968449087615117E-2</v>
      </c>
      <c r="AL63" s="252">
        <v>6.0968449087615117E-2</v>
      </c>
      <c r="AM63" s="252">
        <v>6.0968449087615117E-2</v>
      </c>
      <c r="AN63" s="252">
        <v>8.168922208108427E-2</v>
      </c>
      <c r="AO63" s="252">
        <v>0</v>
      </c>
      <c r="AP63" s="252">
        <v>0</v>
      </c>
      <c r="AQ63" s="252">
        <v>0</v>
      </c>
      <c r="AR63" s="252">
        <v>0</v>
      </c>
      <c r="AS63" s="248">
        <v>2.7368560575169731E-3</v>
      </c>
      <c r="AT63" s="252">
        <v>0</v>
      </c>
      <c r="AU63" s="252">
        <v>8.168922208108427E-2</v>
      </c>
      <c r="AV63" s="248">
        <v>2.7368560575169731E-3</v>
      </c>
      <c r="AW63" s="252">
        <v>0</v>
      </c>
      <c r="AX63" s="252">
        <v>6.7447926998490254E-2</v>
      </c>
      <c r="AY63" s="252">
        <v>4.9303297063430229E-3</v>
      </c>
      <c r="AZ63" s="252">
        <v>8.168922208108427E-2</v>
      </c>
      <c r="BA63" s="249">
        <v>0</v>
      </c>
      <c r="BB63" s="249">
        <v>0</v>
      </c>
      <c r="BC63" s="249">
        <v>0</v>
      </c>
      <c r="BD63" s="249">
        <v>0</v>
      </c>
      <c r="BE63" s="249">
        <v>0</v>
      </c>
      <c r="BF63" s="248">
        <v>2.7368560575169731E-3</v>
      </c>
      <c r="BG63" s="248">
        <v>2.7368560575169731E-3</v>
      </c>
      <c r="BH63" s="249">
        <v>0</v>
      </c>
      <c r="BI63" s="248">
        <v>0</v>
      </c>
      <c r="BJ63" s="248">
        <v>0</v>
      </c>
      <c r="BK63" s="248">
        <v>0</v>
      </c>
      <c r="BL63" s="248">
        <v>0</v>
      </c>
      <c r="BM63" s="248">
        <v>5.6281254115668714E-2</v>
      </c>
      <c r="BN63" s="248">
        <v>0.19016351894114081</v>
      </c>
      <c r="BO63" s="248">
        <v>0.19016351894114081</v>
      </c>
      <c r="BP63" s="248">
        <v>0.19016351894114081</v>
      </c>
      <c r="BQ63" s="248">
        <v>6.7447926998490254E-2</v>
      </c>
      <c r="BR63" s="248">
        <v>8.168922208108427E-2</v>
      </c>
      <c r="BS63" s="248">
        <v>6.0968449087615117E-2</v>
      </c>
      <c r="BT63" s="248">
        <v>8.168922208108427E-2</v>
      </c>
      <c r="BU63" s="248">
        <v>4.9303297063430229E-3</v>
      </c>
      <c r="BV63" s="248">
        <v>2.7368560575169731E-3</v>
      </c>
      <c r="BW63" s="248">
        <v>0</v>
      </c>
      <c r="BX63" s="248">
        <v>2.7368560575169731E-3</v>
      </c>
      <c r="BY63" s="248">
        <v>0</v>
      </c>
      <c r="BZ63" s="248">
        <v>0</v>
      </c>
      <c r="CA63" s="248">
        <v>0</v>
      </c>
      <c r="CB63" s="248">
        <v>0</v>
      </c>
      <c r="CC63" s="248">
        <v>0</v>
      </c>
      <c r="CD63" s="248">
        <v>0</v>
      </c>
      <c r="CE63" s="248">
        <v>0</v>
      </c>
      <c r="CF63" s="248">
        <v>0</v>
      </c>
      <c r="CG63" s="248">
        <v>5.6281254115668714E-2</v>
      </c>
      <c r="CH63" s="248">
        <v>0.19016351894114081</v>
      </c>
      <c r="CI63" s="248">
        <v>0.19016351894114081</v>
      </c>
      <c r="CJ63" s="248">
        <v>0.19016351894114081</v>
      </c>
      <c r="CK63" s="248">
        <v>6.7447926998490254E-2</v>
      </c>
      <c r="CL63" s="248">
        <v>8.168922208108427E-2</v>
      </c>
      <c r="CM63" s="248">
        <v>6.0968449087615117E-2</v>
      </c>
      <c r="CN63" s="248">
        <v>8.168922208108427E-2</v>
      </c>
      <c r="CO63" s="248">
        <v>4.9303297063430229E-3</v>
      </c>
      <c r="CP63" s="248">
        <v>2.7368560575169731E-3</v>
      </c>
      <c r="CQ63" s="248">
        <v>0</v>
      </c>
      <c r="CR63" s="248">
        <v>2.7368560575169731E-3</v>
      </c>
      <c r="CS63" s="248">
        <v>0</v>
      </c>
      <c r="CT63" s="248">
        <v>0</v>
      </c>
      <c r="CU63" s="248">
        <v>0</v>
      </c>
      <c r="CV63" s="248">
        <v>0</v>
      </c>
      <c r="CW63" s="248">
        <v>5.6281254115668714E-2</v>
      </c>
      <c r="CX63" s="248">
        <v>0.19016351894114081</v>
      </c>
      <c r="CY63" s="248">
        <v>0.19016351894114081</v>
      </c>
      <c r="CZ63" s="248">
        <v>0.19016351894114081</v>
      </c>
      <c r="DA63" s="248">
        <v>6.7447926998490254E-2</v>
      </c>
      <c r="DB63" s="248">
        <v>8.168922208108427E-2</v>
      </c>
      <c r="DC63" s="248">
        <v>6.0968449087615117E-2</v>
      </c>
      <c r="DD63" s="248">
        <v>8.168922208108427E-2</v>
      </c>
      <c r="DE63" s="248">
        <v>4.9303297063430229E-3</v>
      </c>
      <c r="DF63" s="248">
        <v>2.7368560575169731E-3</v>
      </c>
      <c r="DG63" s="248">
        <v>0</v>
      </c>
      <c r="DH63" s="248">
        <v>2.7368560575169731E-3</v>
      </c>
      <c r="DI63" s="248">
        <v>2.7368560575169731E-3</v>
      </c>
      <c r="DJ63" s="248">
        <v>2.7368560575169731E-3</v>
      </c>
      <c r="DK63" s="248">
        <v>2.7368560575169731E-3</v>
      </c>
      <c r="DL63" s="248">
        <v>2.7368560575169731E-3</v>
      </c>
      <c r="DM63" s="248">
        <v>2.7368560575169731E-3</v>
      </c>
      <c r="DN63" s="248">
        <v>2.7368560575169731E-3</v>
      </c>
      <c r="DO63" s="248">
        <v>2.7368560575169731E-3</v>
      </c>
      <c r="DP63" s="248">
        <v>2.7368560575169731E-3</v>
      </c>
      <c r="DQ63" s="248">
        <v>2.7368560575169731E-3</v>
      </c>
      <c r="DR63" s="248">
        <v>2.7368560575169731E-3</v>
      </c>
      <c r="DS63" s="248">
        <v>2.7368560575169731E-3</v>
      </c>
      <c r="DT63" s="248">
        <v>2.7368560575169731E-3</v>
      </c>
      <c r="DU63" s="248">
        <v>2.7368560575169731E-3</v>
      </c>
      <c r="DV63" s="248">
        <v>2.7368560575169731E-3</v>
      </c>
      <c r="DW63" s="248">
        <v>2.7368560575169731E-3</v>
      </c>
      <c r="DX63" s="248">
        <v>2.7368560575169731E-3</v>
      </c>
      <c r="DY63" s="248">
        <v>2.7368560575169731E-3</v>
      </c>
      <c r="DZ63" s="248">
        <v>2.7368560575169731E-3</v>
      </c>
      <c r="EA63" s="248">
        <v>2.7368560575169731E-3</v>
      </c>
      <c r="EB63" s="248">
        <v>2.7368560575169731E-3</v>
      </c>
    </row>
    <row r="64" spans="1:132" ht="14.5" x14ac:dyDescent="0.35">
      <c r="B64" s="198">
        <v>9</v>
      </c>
      <c r="C64" s="252">
        <v>0</v>
      </c>
      <c r="D64" s="248">
        <v>0.12018399367970362</v>
      </c>
      <c r="E64" s="252">
        <v>0</v>
      </c>
      <c r="F64" s="252">
        <v>3.211167662917673E-2</v>
      </c>
      <c r="G64" s="252">
        <v>6.9359248724242123E-3</v>
      </c>
      <c r="H64" s="252">
        <v>0</v>
      </c>
      <c r="I64" s="252">
        <v>0</v>
      </c>
      <c r="J64" s="252">
        <v>2.5174487619534225E-3</v>
      </c>
      <c r="K64" s="252">
        <v>0</v>
      </c>
      <c r="L64" s="248">
        <v>0.12018399367970362</v>
      </c>
      <c r="M64" s="252">
        <v>1.8269472123226771E-2</v>
      </c>
      <c r="N64" s="248">
        <v>0</v>
      </c>
      <c r="O64" s="248">
        <v>0</v>
      </c>
      <c r="P64" s="252">
        <v>0</v>
      </c>
      <c r="Q64" s="252">
        <v>1.8269472123226771E-2</v>
      </c>
      <c r="R64" s="248">
        <v>0.12018399367970362</v>
      </c>
      <c r="S64" s="248">
        <v>6.9359248724242123E-3</v>
      </c>
      <c r="T64" s="248">
        <v>2.5174487619534225E-3</v>
      </c>
      <c r="U64" s="252">
        <v>1.8269472123226771E-2</v>
      </c>
      <c r="V64" s="252">
        <v>1.8269472123226771E-2</v>
      </c>
      <c r="W64" s="248">
        <v>0.12018399367970362</v>
      </c>
      <c r="X64" s="248">
        <v>0</v>
      </c>
      <c r="Y64" s="248">
        <v>0</v>
      </c>
      <c r="Z64" s="248">
        <v>0</v>
      </c>
      <c r="AA64" s="248">
        <v>0</v>
      </c>
      <c r="AB64" s="252">
        <v>6.9359248724242123E-3</v>
      </c>
      <c r="AC64" s="252">
        <v>6.9359248724242123E-3</v>
      </c>
      <c r="AD64" s="252">
        <v>6.9359248724242123E-3</v>
      </c>
      <c r="AE64" s="252">
        <v>1.8269472123226771E-2</v>
      </c>
      <c r="AF64" s="252">
        <v>0</v>
      </c>
      <c r="AG64" s="252">
        <v>0</v>
      </c>
      <c r="AH64" s="252">
        <v>0</v>
      </c>
      <c r="AI64" s="252">
        <v>0</v>
      </c>
      <c r="AJ64" s="248">
        <v>0</v>
      </c>
      <c r="AK64" s="252">
        <v>2.5174487619534225E-3</v>
      </c>
      <c r="AL64" s="252">
        <v>2.5174487619534225E-3</v>
      </c>
      <c r="AM64" s="252">
        <v>2.5174487619534225E-3</v>
      </c>
      <c r="AN64" s="252">
        <v>1.8269472123226771E-2</v>
      </c>
      <c r="AO64" s="252">
        <v>0</v>
      </c>
      <c r="AP64" s="252">
        <v>0</v>
      </c>
      <c r="AQ64" s="252">
        <v>0</v>
      </c>
      <c r="AR64" s="252">
        <v>0</v>
      </c>
      <c r="AS64" s="248">
        <v>0</v>
      </c>
      <c r="AT64" s="252">
        <v>0</v>
      </c>
      <c r="AU64" s="252">
        <v>1.8269472123226771E-2</v>
      </c>
      <c r="AV64" s="248">
        <v>0</v>
      </c>
      <c r="AW64" s="252">
        <v>0</v>
      </c>
      <c r="AX64" s="252">
        <v>6.9359248724242123E-3</v>
      </c>
      <c r="AY64" s="252">
        <v>0</v>
      </c>
      <c r="AZ64" s="252">
        <v>1.8269472123226771E-2</v>
      </c>
      <c r="BA64" s="249">
        <v>0</v>
      </c>
      <c r="BB64" s="249">
        <v>0</v>
      </c>
      <c r="BC64" s="249">
        <v>0</v>
      </c>
      <c r="BD64" s="249">
        <v>0</v>
      </c>
      <c r="BE64" s="249">
        <v>0</v>
      </c>
      <c r="BF64" s="248">
        <v>0</v>
      </c>
      <c r="BG64" s="248">
        <v>0</v>
      </c>
      <c r="BH64" s="249">
        <v>0</v>
      </c>
      <c r="BI64" s="248">
        <v>0</v>
      </c>
      <c r="BJ64" s="248">
        <v>0</v>
      </c>
      <c r="BK64" s="248">
        <v>0</v>
      </c>
      <c r="BL64" s="248">
        <v>0</v>
      </c>
      <c r="BM64" s="248">
        <v>3.211167662917673E-2</v>
      </c>
      <c r="BN64" s="248">
        <v>0.12018399367970362</v>
      </c>
      <c r="BO64" s="248">
        <v>0.12018399367970362</v>
      </c>
      <c r="BP64" s="248">
        <v>0.12018399367970362</v>
      </c>
      <c r="BQ64" s="248">
        <v>6.9359248724242123E-3</v>
      </c>
      <c r="BR64" s="248">
        <v>1.8269472123226771E-2</v>
      </c>
      <c r="BS64" s="248">
        <v>2.5174487619534225E-3</v>
      </c>
      <c r="BT64" s="248">
        <v>1.8269472123226771E-2</v>
      </c>
      <c r="BU64" s="248">
        <v>0</v>
      </c>
      <c r="BV64" s="248">
        <v>0</v>
      </c>
      <c r="BW64" s="248">
        <v>0</v>
      </c>
      <c r="BX64" s="248">
        <v>0</v>
      </c>
      <c r="BY64" s="248">
        <v>0</v>
      </c>
      <c r="BZ64" s="248">
        <v>0</v>
      </c>
      <c r="CA64" s="248">
        <v>0</v>
      </c>
      <c r="CB64" s="248">
        <v>0</v>
      </c>
      <c r="CC64" s="248">
        <v>0</v>
      </c>
      <c r="CD64" s="248">
        <v>0</v>
      </c>
      <c r="CE64" s="248">
        <v>0</v>
      </c>
      <c r="CF64" s="248">
        <v>0</v>
      </c>
      <c r="CG64" s="248">
        <v>3.211167662917673E-2</v>
      </c>
      <c r="CH64" s="248">
        <v>0.12018399367970362</v>
      </c>
      <c r="CI64" s="248">
        <v>0.12018399367970362</v>
      </c>
      <c r="CJ64" s="248">
        <v>0.12018399367970362</v>
      </c>
      <c r="CK64" s="248">
        <v>6.9359248724242123E-3</v>
      </c>
      <c r="CL64" s="248">
        <v>1.8269472123226771E-2</v>
      </c>
      <c r="CM64" s="248">
        <v>2.5174487619534225E-3</v>
      </c>
      <c r="CN64" s="248">
        <v>1.8269472123226771E-2</v>
      </c>
      <c r="CO64" s="248">
        <v>0</v>
      </c>
      <c r="CP64" s="248">
        <v>0</v>
      </c>
      <c r="CQ64" s="248">
        <v>0</v>
      </c>
      <c r="CR64" s="248">
        <v>0</v>
      </c>
      <c r="CS64" s="248">
        <v>0</v>
      </c>
      <c r="CT64" s="248">
        <v>0</v>
      </c>
      <c r="CU64" s="248">
        <v>0</v>
      </c>
      <c r="CV64" s="248">
        <v>0</v>
      </c>
      <c r="CW64" s="248">
        <v>3.211167662917673E-2</v>
      </c>
      <c r="CX64" s="248">
        <v>0.12018399367970362</v>
      </c>
      <c r="CY64" s="248">
        <v>0.12018399367970362</v>
      </c>
      <c r="CZ64" s="248">
        <v>0.12018399367970362</v>
      </c>
      <c r="DA64" s="248">
        <v>6.9359248724242123E-3</v>
      </c>
      <c r="DB64" s="248">
        <v>1.8269472123226771E-2</v>
      </c>
      <c r="DC64" s="248">
        <v>2.5174487619534225E-3</v>
      </c>
      <c r="DD64" s="248">
        <v>1.8269472123226771E-2</v>
      </c>
      <c r="DE64" s="248">
        <v>0</v>
      </c>
      <c r="DF64" s="248">
        <v>0</v>
      </c>
      <c r="DG64" s="248">
        <v>0</v>
      </c>
      <c r="DH64" s="248">
        <v>0</v>
      </c>
      <c r="DI64" s="248">
        <v>0</v>
      </c>
      <c r="DJ64" s="248">
        <v>0</v>
      </c>
      <c r="DK64" s="248">
        <v>0</v>
      </c>
      <c r="DL64" s="248">
        <v>0</v>
      </c>
      <c r="DM64" s="248">
        <v>0</v>
      </c>
      <c r="DN64" s="248">
        <v>0</v>
      </c>
      <c r="DO64" s="248">
        <v>0</v>
      </c>
      <c r="DP64" s="248">
        <v>0</v>
      </c>
      <c r="DQ64" s="248">
        <v>0</v>
      </c>
      <c r="DR64" s="248">
        <v>0</v>
      </c>
      <c r="DS64" s="248">
        <v>0</v>
      </c>
      <c r="DT64" s="248">
        <v>0</v>
      </c>
      <c r="DU64" s="248">
        <v>0</v>
      </c>
      <c r="DV64" s="248">
        <v>0</v>
      </c>
      <c r="DW64" s="248">
        <v>0</v>
      </c>
      <c r="DX64" s="248">
        <v>0</v>
      </c>
      <c r="DY64" s="248">
        <v>0</v>
      </c>
      <c r="DZ64" s="248">
        <v>0</v>
      </c>
      <c r="EA64" s="248">
        <v>0</v>
      </c>
      <c r="EB64" s="248">
        <v>0</v>
      </c>
    </row>
    <row r="65" spans="2:132" ht="14.5" x14ac:dyDescent="0.35">
      <c r="B65" s="198">
        <v>10</v>
      </c>
      <c r="C65" s="252">
        <v>0</v>
      </c>
      <c r="D65" s="248">
        <v>0</v>
      </c>
      <c r="E65" s="252">
        <v>0</v>
      </c>
      <c r="F65" s="252">
        <v>0</v>
      </c>
      <c r="G65" s="252">
        <v>0</v>
      </c>
      <c r="H65" s="252">
        <v>0</v>
      </c>
      <c r="I65" s="252">
        <v>0</v>
      </c>
      <c r="J65" s="252">
        <v>0</v>
      </c>
      <c r="K65" s="252">
        <v>0</v>
      </c>
      <c r="L65" s="248">
        <v>0</v>
      </c>
      <c r="M65" s="252">
        <v>0</v>
      </c>
      <c r="N65" s="248">
        <v>0</v>
      </c>
      <c r="O65" s="248">
        <v>0</v>
      </c>
      <c r="P65" s="252">
        <v>0</v>
      </c>
      <c r="Q65" s="252">
        <v>0</v>
      </c>
      <c r="R65" s="248">
        <v>0</v>
      </c>
      <c r="S65" s="248">
        <v>0</v>
      </c>
      <c r="T65" s="248">
        <v>0</v>
      </c>
      <c r="U65" s="252">
        <v>0</v>
      </c>
      <c r="V65" s="252">
        <v>0</v>
      </c>
      <c r="W65" s="248">
        <v>0</v>
      </c>
      <c r="X65" s="248">
        <v>0</v>
      </c>
      <c r="Y65" s="248">
        <v>0</v>
      </c>
      <c r="Z65" s="248">
        <v>0</v>
      </c>
      <c r="AA65" s="248">
        <v>0</v>
      </c>
      <c r="AB65" s="252">
        <v>0</v>
      </c>
      <c r="AC65" s="252">
        <v>0</v>
      </c>
      <c r="AD65" s="252">
        <v>0</v>
      </c>
      <c r="AE65" s="252">
        <v>0</v>
      </c>
      <c r="AF65" s="252">
        <v>0</v>
      </c>
      <c r="AG65" s="252">
        <v>0</v>
      </c>
      <c r="AH65" s="252">
        <v>0</v>
      </c>
      <c r="AI65" s="252">
        <v>0</v>
      </c>
      <c r="AJ65" s="248">
        <v>0</v>
      </c>
      <c r="AK65" s="252">
        <v>0</v>
      </c>
      <c r="AL65" s="252">
        <v>0</v>
      </c>
      <c r="AM65" s="252">
        <v>0</v>
      </c>
      <c r="AN65" s="252">
        <v>0</v>
      </c>
      <c r="AO65" s="252">
        <v>0</v>
      </c>
      <c r="AP65" s="252">
        <v>0</v>
      </c>
      <c r="AQ65" s="252">
        <v>0</v>
      </c>
      <c r="AR65" s="252">
        <v>0</v>
      </c>
      <c r="AS65" s="248">
        <v>0</v>
      </c>
      <c r="AT65" s="252">
        <v>0</v>
      </c>
      <c r="AU65" s="252">
        <v>0</v>
      </c>
      <c r="AV65" s="248">
        <v>0</v>
      </c>
      <c r="AW65" s="252">
        <v>0</v>
      </c>
      <c r="AX65" s="252">
        <v>0</v>
      </c>
      <c r="AY65" s="252">
        <v>0</v>
      </c>
      <c r="AZ65" s="252">
        <v>0</v>
      </c>
      <c r="BA65" s="249">
        <v>0</v>
      </c>
      <c r="BB65" s="249">
        <v>0</v>
      </c>
      <c r="BC65" s="249">
        <v>0</v>
      </c>
      <c r="BD65" s="249">
        <v>0</v>
      </c>
      <c r="BE65" s="249">
        <v>0</v>
      </c>
      <c r="BF65" s="248">
        <v>0</v>
      </c>
      <c r="BG65" s="248">
        <v>0</v>
      </c>
      <c r="BH65" s="249">
        <v>0</v>
      </c>
      <c r="BI65" s="248">
        <v>0</v>
      </c>
      <c r="BJ65" s="248">
        <v>0</v>
      </c>
      <c r="BK65" s="248">
        <v>0</v>
      </c>
      <c r="BL65" s="248">
        <v>0</v>
      </c>
      <c r="BM65" s="248">
        <v>0</v>
      </c>
      <c r="BN65" s="248">
        <v>0</v>
      </c>
      <c r="BO65" s="248">
        <v>0</v>
      </c>
      <c r="BP65" s="248">
        <v>0</v>
      </c>
      <c r="BQ65" s="248">
        <v>0</v>
      </c>
      <c r="BR65" s="248">
        <v>0</v>
      </c>
      <c r="BS65" s="248">
        <v>0</v>
      </c>
      <c r="BT65" s="248">
        <v>0</v>
      </c>
      <c r="BU65" s="248">
        <v>0</v>
      </c>
      <c r="BV65" s="248">
        <v>0</v>
      </c>
      <c r="BW65" s="248">
        <v>0</v>
      </c>
      <c r="BX65" s="248">
        <v>0</v>
      </c>
      <c r="BY65" s="248">
        <v>0</v>
      </c>
      <c r="BZ65" s="248">
        <v>0</v>
      </c>
      <c r="CA65" s="248">
        <v>0</v>
      </c>
      <c r="CB65" s="248">
        <v>0</v>
      </c>
      <c r="CC65" s="248">
        <v>0</v>
      </c>
      <c r="CD65" s="248">
        <v>0</v>
      </c>
      <c r="CE65" s="248">
        <v>0</v>
      </c>
      <c r="CF65" s="248">
        <v>0</v>
      </c>
      <c r="CG65" s="248">
        <v>0</v>
      </c>
      <c r="CH65" s="248">
        <v>0</v>
      </c>
      <c r="CI65" s="248">
        <v>0</v>
      </c>
      <c r="CJ65" s="248">
        <v>0</v>
      </c>
      <c r="CK65" s="248">
        <v>0</v>
      </c>
      <c r="CL65" s="248">
        <v>0</v>
      </c>
      <c r="CM65" s="248">
        <v>0</v>
      </c>
      <c r="CN65" s="248">
        <v>0</v>
      </c>
      <c r="CO65" s="248">
        <v>0</v>
      </c>
      <c r="CP65" s="248">
        <v>0</v>
      </c>
      <c r="CQ65" s="248">
        <v>0</v>
      </c>
      <c r="CR65" s="248">
        <v>0</v>
      </c>
      <c r="CS65" s="248">
        <v>0</v>
      </c>
      <c r="CT65" s="248">
        <v>0</v>
      </c>
      <c r="CU65" s="248">
        <v>0</v>
      </c>
      <c r="CV65" s="248">
        <v>0</v>
      </c>
      <c r="CW65" s="248">
        <v>0</v>
      </c>
      <c r="CX65" s="248">
        <v>0</v>
      </c>
      <c r="CY65" s="248">
        <v>0</v>
      </c>
      <c r="CZ65" s="248">
        <v>0</v>
      </c>
      <c r="DA65" s="248">
        <v>0</v>
      </c>
      <c r="DB65" s="248">
        <v>0</v>
      </c>
      <c r="DC65" s="248">
        <v>0</v>
      </c>
      <c r="DD65" s="248">
        <v>0</v>
      </c>
      <c r="DE65" s="248">
        <v>0</v>
      </c>
      <c r="DF65" s="248">
        <v>0</v>
      </c>
      <c r="DG65" s="248">
        <v>0</v>
      </c>
      <c r="DH65" s="248">
        <v>0</v>
      </c>
      <c r="DI65" s="248">
        <v>0</v>
      </c>
      <c r="DJ65" s="248">
        <v>0</v>
      </c>
      <c r="DK65" s="248">
        <v>0</v>
      </c>
      <c r="DL65" s="248">
        <v>0</v>
      </c>
      <c r="DM65" s="248">
        <v>0</v>
      </c>
      <c r="DN65" s="248">
        <v>0</v>
      </c>
      <c r="DO65" s="248">
        <v>0</v>
      </c>
      <c r="DP65" s="248">
        <v>0</v>
      </c>
      <c r="DQ65" s="248">
        <v>0</v>
      </c>
      <c r="DR65" s="248">
        <v>0</v>
      </c>
      <c r="DS65" s="248">
        <v>0</v>
      </c>
      <c r="DT65" s="248">
        <v>0</v>
      </c>
      <c r="DU65" s="248">
        <v>0</v>
      </c>
      <c r="DV65" s="248">
        <v>0</v>
      </c>
      <c r="DW65" s="248">
        <v>0</v>
      </c>
      <c r="DX65" s="248">
        <v>0</v>
      </c>
      <c r="DY65" s="248">
        <v>0</v>
      </c>
      <c r="DZ65" s="248">
        <v>0</v>
      </c>
      <c r="EA65" s="248">
        <v>0</v>
      </c>
      <c r="EB65" s="248">
        <v>0</v>
      </c>
    </row>
    <row r="66" spans="2:132" ht="14.5" x14ac:dyDescent="0.35">
      <c r="B66" s="198">
        <v>11</v>
      </c>
      <c r="C66" s="252">
        <v>0</v>
      </c>
      <c r="D66" s="248">
        <v>0</v>
      </c>
      <c r="E66" s="252">
        <v>0</v>
      </c>
      <c r="F66" s="252">
        <v>0</v>
      </c>
      <c r="G66" s="252">
        <v>0.20853790932449839</v>
      </c>
      <c r="H66" s="252">
        <v>0.12160608473499229</v>
      </c>
      <c r="I66" s="252">
        <v>0</v>
      </c>
      <c r="J66" s="252">
        <v>0.20428446680220519</v>
      </c>
      <c r="K66" s="252">
        <v>0.12429544711392143</v>
      </c>
      <c r="L66" s="248">
        <v>0</v>
      </c>
      <c r="M66" s="252">
        <v>0.15196048936835699</v>
      </c>
      <c r="N66" s="248">
        <v>0.16304304985925749</v>
      </c>
      <c r="O66" s="248">
        <v>8.3112352540043594E-2</v>
      </c>
      <c r="P66" s="252">
        <v>0</v>
      </c>
      <c r="Q66" s="252">
        <v>0.15196048936835699</v>
      </c>
      <c r="R66" s="248">
        <v>0</v>
      </c>
      <c r="S66" s="248">
        <v>0.20853790932449839</v>
      </c>
      <c r="T66" s="248">
        <v>0.20428446680220519</v>
      </c>
      <c r="U66" s="252">
        <v>0.15196048936835699</v>
      </c>
      <c r="V66" s="252">
        <v>0.15196048936835699</v>
      </c>
      <c r="W66" s="248">
        <v>0</v>
      </c>
      <c r="X66" s="248">
        <v>8.8499075276371852E-2</v>
      </c>
      <c r="Y66" s="248">
        <v>9.6662286752098842E-2</v>
      </c>
      <c r="Z66" s="248">
        <v>5.8860391301553523E-2</v>
      </c>
      <c r="AA66" s="248">
        <v>8.3112352540043594E-2</v>
      </c>
      <c r="AB66" s="252">
        <v>0.20853790932449839</v>
      </c>
      <c r="AC66" s="252">
        <v>0.20853790932449839</v>
      </c>
      <c r="AD66" s="252">
        <v>0.20853790932449839</v>
      </c>
      <c r="AE66" s="252">
        <v>0.15196048936835699</v>
      </c>
      <c r="AF66" s="252">
        <v>0.12160608473499229</v>
      </c>
      <c r="AG66" s="252">
        <v>0.12160608473499229</v>
      </c>
      <c r="AH66" s="252">
        <v>0.12160608473499229</v>
      </c>
      <c r="AI66" s="252">
        <v>0.12160608473499229</v>
      </c>
      <c r="AJ66" s="248">
        <v>0.16304304985925749</v>
      </c>
      <c r="AK66" s="252">
        <v>0.20428446680220519</v>
      </c>
      <c r="AL66" s="252">
        <v>0.20428446680220519</v>
      </c>
      <c r="AM66" s="252">
        <v>0.20428446680220519</v>
      </c>
      <c r="AN66" s="252">
        <v>0.15196048936835699</v>
      </c>
      <c r="AO66" s="252">
        <v>0.12429544711392143</v>
      </c>
      <c r="AP66" s="252">
        <v>0.12429544711392143</v>
      </c>
      <c r="AQ66" s="252">
        <v>0.12429544711392143</v>
      </c>
      <c r="AR66" s="252">
        <v>0.12429544711392143</v>
      </c>
      <c r="AS66" s="248">
        <v>0.16304304985925749</v>
      </c>
      <c r="AT66" s="252">
        <v>0</v>
      </c>
      <c r="AU66" s="252">
        <v>0.15196048936835699</v>
      </c>
      <c r="AV66" s="248">
        <v>0.16304304985925749</v>
      </c>
      <c r="AW66" s="252">
        <v>0</v>
      </c>
      <c r="AX66" s="252">
        <v>0.20853790932449839</v>
      </c>
      <c r="AY66" s="252">
        <v>0.12160608473499229</v>
      </c>
      <c r="AZ66" s="252">
        <v>0.15196048936835699</v>
      </c>
      <c r="BA66" s="249">
        <v>2.1399999999999999E-2</v>
      </c>
      <c r="BB66" s="249">
        <v>2.1399999999999999E-2</v>
      </c>
      <c r="BC66" s="249">
        <v>2.1399999999999999E-2</v>
      </c>
      <c r="BD66" s="249">
        <v>1.9E-3</v>
      </c>
      <c r="BE66" s="249">
        <v>2.1399999999999999E-2</v>
      </c>
      <c r="BF66" s="248">
        <v>0.16304304985925749</v>
      </c>
      <c r="BG66" s="248">
        <v>0.16304304985925749</v>
      </c>
      <c r="BH66" s="249">
        <v>2.1399999999999999E-2</v>
      </c>
      <c r="BI66" s="248">
        <v>0</v>
      </c>
      <c r="BJ66" s="248">
        <v>0</v>
      </c>
      <c r="BK66" s="248">
        <v>0</v>
      </c>
      <c r="BL66" s="248">
        <v>0</v>
      </c>
      <c r="BM66" s="248">
        <v>0</v>
      </c>
      <c r="BN66" s="248">
        <v>0</v>
      </c>
      <c r="BO66" s="248">
        <v>0</v>
      </c>
      <c r="BP66" s="248">
        <v>0</v>
      </c>
      <c r="BQ66" s="248">
        <v>0.20853790932449839</v>
      </c>
      <c r="BR66" s="248">
        <v>0.15196048936835699</v>
      </c>
      <c r="BS66" s="248">
        <v>0.20428446680220519</v>
      </c>
      <c r="BT66" s="248">
        <v>0.15196048936835699</v>
      </c>
      <c r="BU66" s="248">
        <v>0.12160608473499229</v>
      </c>
      <c r="BV66" s="248">
        <v>0.16304304985925749</v>
      </c>
      <c r="BW66" s="248">
        <v>0.12429544711392143</v>
      </c>
      <c r="BX66" s="248">
        <v>0.16304304985925749</v>
      </c>
      <c r="BY66" s="248">
        <v>8.3112352540043594E-2</v>
      </c>
      <c r="BZ66" s="248">
        <v>8.3112352540043594E-2</v>
      </c>
      <c r="CA66" s="248">
        <v>8.3112352540043594E-2</v>
      </c>
      <c r="CB66" s="248">
        <v>8.3112352540043594E-2</v>
      </c>
      <c r="CC66" s="248">
        <v>0</v>
      </c>
      <c r="CD66" s="248">
        <v>0</v>
      </c>
      <c r="CE66" s="248">
        <v>0</v>
      </c>
      <c r="CF66" s="248">
        <v>0</v>
      </c>
      <c r="CG66" s="248">
        <v>0</v>
      </c>
      <c r="CH66" s="248">
        <v>0</v>
      </c>
      <c r="CI66" s="248">
        <v>0</v>
      </c>
      <c r="CJ66" s="248">
        <v>0</v>
      </c>
      <c r="CK66" s="248">
        <v>0.20853790932449839</v>
      </c>
      <c r="CL66" s="248">
        <v>0.15196048936835699</v>
      </c>
      <c r="CM66" s="248">
        <v>0.20428446680220519</v>
      </c>
      <c r="CN66" s="248">
        <v>0.15196048936835699</v>
      </c>
      <c r="CO66" s="248">
        <v>0.12160608473499229</v>
      </c>
      <c r="CP66" s="248">
        <v>0.16304304985925749</v>
      </c>
      <c r="CQ66" s="248">
        <v>0.12429544711392143</v>
      </c>
      <c r="CR66" s="248">
        <v>0.16304304985925749</v>
      </c>
      <c r="CS66" s="248">
        <v>0</v>
      </c>
      <c r="CT66" s="248">
        <v>0</v>
      </c>
      <c r="CU66" s="248">
        <v>0</v>
      </c>
      <c r="CV66" s="248">
        <v>0</v>
      </c>
      <c r="CW66" s="248">
        <v>0</v>
      </c>
      <c r="CX66" s="248">
        <v>0</v>
      </c>
      <c r="CY66" s="248">
        <v>0</v>
      </c>
      <c r="CZ66" s="248">
        <v>0</v>
      </c>
      <c r="DA66" s="248">
        <v>0.20853790932449839</v>
      </c>
      <c r="DB66" s="248">
        <v>0.15196048936835699</v>
      </c>
      <c r="DC66" s="248">
        <v>0.20428446680220519</v>
      </c>
      <c r="DD66" s="248">
        <v>0.15196048936835699</v>
      </c>
      <c r="DE66" s="248">
        <v>0.12160608473499229</v>
      </c>
      <c r="DF66" s="248">
        <v>0.16304304985925749</v>
      </c>
      <c r="DG66" s="248">
        <v>0.12429544711392143</v>
      </c>
      <c r="DH66" s="248">
        <v>0.16304304985925749</v>
      </c>
      <c r="DI66" s="248">
        <v>0.16304304985925749</v>
      </c>
      <c r="DJ66" s="248">
        <v>0.16304304985925749</v>
      </c>
      <c r="DK66" s="248">
        <v>0.16304304985925749</v>
      </c>
      <c r="DL66" s="248">
        <v>0.16304304985925749</v>
      </c>
      <c r="DM66" s="248">
        <v>0.16304304985925749</v>
      </c>
      <c r="DN66" s="248">
        <v>0.16304304985925749</v>
      </c>
      <c r="DO66" s="248">
        <v>0.16304304985925749</v>
      </c>
      <c r="DP66" s="248">
        <v>0.16304304985925749</v>
      </c>
      <c r="DQ66" s="248">
        <v>0.16304304985925749</v>
      </c>
      <c r="DR66" s="248">
        <v>0.16304304985925749</v>
      </c>
      <c r="DS66" s="248">
        <v>0.16304304985925749</v>
      </c>
      <c r="DT66" s="248">
        <v>0.16304304985925749</v>
      </c>
      <c r="DU66" s="248">
        <v>0.16304304985925749</v>
      </c>
      <c r="DV66" s="248">
        <v>0.16304304985925749</v>
      </c>
      <c r="DW66" s="248">
        <v>0.16304304985925749</v>
      </c>
      <c r="DX66" s="248">
        <v>0.16304304985925749</v>
      </c>
      <c r="DY66" s="248">
        <v>0.16304304985925749</v>
      </c>
      <c r="DZ66" s="248">
        <v>0.16304304985925749</v>
      </c>
      <c r="EA66" s="248">
        <v>0.16304304985925749</v>
      </c>
      <c r="EB66" s="248">
        <v>0.16304304985925749</v>
      </c>
    </row>
    <row r="67" spans="2:132" ht="14.5" x14ac:dyDescent="0.35">
      <c r="B67" s="198">
        <v>12</v>
      </c>
      <c r="C67" s="252">
        <v>0</v>
      </c>
      <c r="D67" s="248">
        <v>0</v>
      </c>
      <c r="E67" s="252">
        <v>0</v>
      </c>
      <c r="F67" s="252">
        <v>0</v>
      </c>
      <c r="G67" s="252">
        <v>0</v>
      </c>
      <c r="H67" s="252">
        <v>0</v>
      </c>
      <c r="I67" s="252">
        <v>0</v>
      </c>
      <c r="J67" s="252">
        <v>0</v>
      </c>
      <c r="K67" s="252">
        <v>0</v>
      </c>
      <c r="L67" s="248">
        <v>0</v>
      </c>
      <c r="M67" s="252">
        <v>0</v>
      </c>
      <c r="N67" s="248">
        <v>2.3552800207334024E-3</v>
      </c>
      <c r="O67" s="248">
        <v>2.5333910791728309E-3</v>
      </c>
      <c r="P67" s="252">
        <v>0</v>
      </c>
      <c r="Q67" s="252">
        <v>0</v>
      </c>
      <c r="R67" s="248">
        <v>0</v>
      </c>
      <c r="S67" s="248">
        <v>0</v>
      </c>
      <c r="T67" s="248">
        <v>0</v>
      </c>
      <c r="U67" s="252">
        <v>0</v>
      </c>
      <c r="V67" s="252">
        <v>0</v>
      </c>
      <c r="W67" s="248">
        <v>0</v>
      </c>
      <c r="X67" s="248">
        <v>0</v>
      </c>
      <c r="Y67" s="248">
        <v>0</v>
      </c>
      <c r="Z67" s="248">
        <v>0</v>
      </c>
      <c r="AA67" s="248">
        <v>2.5333910791728309E-3</v>
      </c>
      <c r="AB67" s="252">
        <v>0</v>
      </c>
      <c r="AC67" s="252">
        <v>0</v>
      </c>
      <c r="AD67" s="252">
        <v>0</v>
      </c>
      <c r="AE67" s="252">
        <v>0</v>
      </c>
      <c r="AF67" s="252">
        <v>0</v>
      </c>
      <c r="AG67" s="252">
        <v>0</v>
      </c>
      <c r="AH67" s="252">
        <v>0</v>
      </c>
      <c r="AI67" s="252">
        <v>0</v>
      </c>
      <c r="AJ67" s="248">
        <v>2.3552800207334024E-3</v>
      </c>
      <c r="AK67" s="252">
        <v>0</v>
      </c>
      <c r="AL67" s="252">
        <v>0</v>
      </c>
      <c r="AM67" s="252">
        <v>0</v>
      </c>
      <c r="AN67" s="252">
        <v>0</v>
      </c>
      <c r="AO67" s="252">
        <v>0</v>
      </c>
      <c r="AP67" s="252">
        <v>0</v>
      </c>
      <c r="AQ67" s="252">
        <v>0</v>
      </c>
      <c r="AR67" s="252">
        <v>0</v>
      </c>
      <c r="AS67" s="248">
        <v>2.3552800207334024E-3</v>
      </c>
      <c r="AT67" s="252">
        <v>0</v>
      </c>
      <c r="AU67" s="252">
        <v>0</v>
      </c>
      <c r="AV67" s="248">
        <v>2.3552800207334024E-3</v>
      </c>
      <c r="AW67" s="252">
        <v>0</v>
      </c>
      <c r="AX67" s="252">
        <v>0</v>
      </c>
      <c r="AY67" s="252">
        <v>0</v>
      </c>
      <c r="AZ67" s="252">
        <v>0</v>
      </c>
      <c r="BA67" s="249">
        <v>0</v>
      </c>
      <c r="BB67" s="249">
        <v>0</v>
      </c>
      <c r="BC67" s="249">
        <v>0</v>
      </c>
      <c r="BD67" s="249">
        <v>0</v>
      </c>
      <c r="BE67" s="249">
        <v>0</v>
      </c>
      <c r="BF67" s="248">
        <v>2.3552800207334024E-3</v>
      </c>
      <c r="BG67" s="248">
        <v>2.3552800207334024E-3</v>
      </c>
      <c r="BH67" s="249">
        <v>0</v>
      </c>
      <c r="BI67" s="248">
        <v>0</v>
      </c>
      <c r="BJ67" s="248">
        <v>0</v>
      </c>
      <c r="BK67" s="248">
        <v>0</v>
      </c>
      <c r="BL67" s="248">
        <v>0</v>
      </c>
      <c r="BM67" s="248">
        <v>0</v>
      </c>
      <c r="BN67" s="248">
        <v>0</v>
      </c>
      <c r="BO67" s="248">
        <v>0</v>
      </c>
      <c r="BP67" s="248">
        <v>0</v>
      </c>
      <c r="BQ67" s="248">
        <v>0</v>
      </c>
      <c r="BR67" s="248">
        <v>0</v>
      </c>
      <c r="BS67" s="248">
        <v>0</v>
      </c>
      <c r="BT67" s="248">
        <v>0</v>
      </c>
      <c r="BU67" s="248">
        <v>0</v>
      </c>
      <c r="BV67" s="248">
        <v>2.3552800207334024E-3</v>
      </c>
      <c r="BW67" s="248">
        <v>0</v>
      </c>
      <c r="BX67" s="248">
        <v>2.3552800207334024E-3</v>
      </c>
      <c r="BY67" s="248">
        <v>2.5333910791728309E-3</v>
      </c>
      <c r="BZ67" s="248">
        <v>2.5333910791728309E-3</v>
      </c>
      <c r="CA67" s="248">
        <v>2.5333910791728309E-3</v>
      </c>
      <c r="CB67" s="248">
        <v>2.5333910791728309E-3</v>
      </c>
      <c r="CC67" s="248">
        <v>0</v>
      </c>
      <c r="CD67" s="248">
        <v>0</v>
      </c>
      <c r="CE67" s="248">
        <v>0</v>
      </c>
      <c r="CF67" s="248">
        <v>0</v>
      </c>
      <c r="CG67" s="248">
        <v>0</v>
      </c>
      <c r="CH67" s="248">
        <v>0</v>
      </c>
      <c r="CI67" s="248">
        <v>0</v>
      </c>
      <c r="CJ67" s="248">
        <v>0</v>
      </c>
      <c r="CK67" s="248">
        <v>0</v>
      </c>
      <c r="CL67" s="248">
        <v>0</v>
      </c>
      <c r="CM67" s="248">
        <v>0</v>
      </c>
      <c r="CN67" s="248">
        <v>0</v>
      </c>
      <c r="CO67" s="248">
        <v>0</v>
      </c>
      <c r="CP67" s="248">
        <v>2.3552800207334024E-3</v>
      </c>
      <c r="CQ67" s="248">
        <v>0</v>
      </c>
      <c r="CR67" s="248">
        <v>2.3552800207334024E-3</v>
      </c>
      <c r="CS67" s="248">
        <v>0</v>
      </c>
      <c r="CT67" s="248">
        <v>0</v>
      </c>
      <c r="CU67" s="248">
        <v>0</v>
      </c>
      <c r="CV67" s="248">
        <v>0</v>
      </c>
      <c r="CW67" s="248">
        <v>0</v>
      </c>
      <c r="CX67" s="248">
        <v>0</v>
      </c>
      <c r="CY67" s="248">
        <v>0</v>
      </c>
      <c r="CZ67" s="248">
        <v>0</v>
      </c>
      <c r="DA67" s="248">
        <v>0</v>
      </c>
      <c r="DB67" s="248">
        <v>0</v>
      </c>
      <c r="DC67" s="248">
        <v>0</v>
      </c>
      <c r="DD67" s="248">
        <v>0</v>
      </c>
      <c r="DE67" s="248">
        <v>0</v>
      </c>
      <c r="DF67" s="248">
        <v>2.3552800207334024E-3</v>
      </c>
      <c r="DG67" s="248">
        <v>0</v>
      </c>
      <c r="DH67" s="248">
        <v>2.3552800207334024E-3</v>
      </c>
      <c r="DI67" s="248">
        <v>2.3552800207334024E-3</v>
      </c>
      <c r="DJ67" s="248">
        <v>2.3552800207334024E-3</v>
      </c>
      <c r="DK67" s="248">
        <v>2.3552800207334024E-3</v>
      </c>
      <c r="DL67" s="248">
        <v>2.3552800207334024E-3</v>
      </c>
      <c r="DM67" s="248">
        <v>2.3552800207334024E-3</v>
      </c>
      <c r="DN67" s="248">
        <v>2.3552800207334024E-3</v>
      </c>
      <c r="DO67" s="248">
        <v>2.3552800207334024E-3</v>
      </c>
      <c r="DP67" s="248">
        <v>2.3552800207334024E-3</v>
      </c>
      <c r="DQ67" s="248">
        <v>2.3552800207334024E-3</v>
      </c>
      <c r="DR67" s="248">
        <v>2.3552800207334024E-3</v>
      </c>
      <c r="DS67" s="248">
        <v>2.3552800207334024E-3</v>
      </c>
      <c r="DT67" s="248">
        <v>2.3552800207334024E-3</v>
      </c>
      <c r="DU67" s="248">
        <v>2.3552800207334024E-3</v>
      </c>
      <c r="DV67" s="248">
        <v>2.3552800207334024E-3</v>
      </c>
      <c r="DW67" s="248">
        <v>2.3552800207334024E-3</v>
      </c>
      <c r="DX67" s="248">
        <v>2.3552800207334024E-3</v>
      </c>
      <c r="DY67" s="248">
        <v>2.3552800207334024E-3</v>
      </c>
      <c r="DZ67" s="248">
        <v>2.3552800207334024E-3</v>
      </c>
      <c r="EA67" s="248">
        <v>2.3552800207334024E-3</v>
      </c>
      <c r="EB67" s="248">
        <v>2.3552800207334024E-3</v>
      </c>
    </row>
    <row r="68" spans="2:132" ht="14.5" x14ac:dyDescent="0.35">
      <c r="B68" s="198">
        <v>13</v>
      </c>
      <c r="C68" s="252">
        <v>0</v>
      </c>
      <c r="D68" s="248">
        <v>0</v>
      </c>
      <c r="E68" s="252">
        <v>0</v>
      </c>
      <c r="F68" s="252">
        <v>0</v>
      </c>
      <c r="G68" s="252">
        <v>0</v>
      </c>
      <c r="H68" s="252">
        <v>0</v>
      </c>
      <c r="I68" s="252">
        <v>0</v>
      </c>
      <c r="J68" s="252">
        <v>0</v>
      </c>
      <c r="K68" s="252">
        <v>0</v>
      </c>
      <c r="L68" s="248">
        <v>0</v>
      </c>
      <c r="M68" s="252">
        <v>0</v>
      </c>
      <c r="N68" s="248">
        <v>0</v>
      </c>
      <c r="O68" s="248">
        <v>0</v>
      </c>
      <c r="P68" s="252">
        <v>0</v>
      </c>
      <c r="Q68" s="252">
        <v>0</v>
      </c>
      <c r="R68" s="248">
        <v>0</v>
      </c>
      <c r="S68" s="248">
        <v>0</v>
      </c>
      <c r="T68" s="248">
        <v>0</v>
      </c>
      <c r="U68" s="252">
        <v>0</v>
      </c>
      <c r="V68" s="252">
        <v>0</v>
      </c>
      <c r="W68" s="248">
        <v>0</v>
      </c>
      <c r="X68" s="248">
        <v>0</v>
      </c>
      <c r="Y68" s="248">
        <v>0</v>
      </c>
      <c r="Z68" s="248">
        <v>0</v>
      </c>
      <c r="AA68" s="248">
        <v>0</v>
      </c>
      <c r="AB68" s="252">
        <v>0</v>
      </c>
      <c r="AC68" s="252">
        <v>0</v>
      </c>
      <c r="AD68" s="252">
        <v>0</v>
      </c>
      <c r="AE68" s="252">
        <v>0</v>
      </c>
      <c r="AF68" s="252">
        <v>0</v>
      </c>
      <c r="AG68" s="252">
        <v>0</v>
      </c>
      <c r="AH68" s="252">
        <v>0</v>
      </c>
      <c r="AI68" s="252">
        <v>0</v>
      </c>
      <c r="AJ68" s="248">
        <v>0</v>
      </c>
      <c r="AK68" s="252">
        <v>0</v>
      </c>
      <c r="AL68" s="252">
        <v>0</v>
      </c>
      <c r="AM68" s="252">
        <v>0</v>
      </c>
      <c r="AN68" s="252">
        <v>0</v>
      </c>
      <c r="AO68" s="252">
        <v>0</v>
      </c>
      <c r="AP68" s="252">
        <v>0</v>
      </c>
      <c r="AQ68" s="252">
        <v>0</v>
      </c>
      <c r="AR68" s="252">
        <v>0</v>
      </c>
      <c r="AS68" s="248">
        <v>0</v>
      </c>
      <c r="AT68" s="252">
        <v>0</v>
      </c>
      <c r="AU68" s="252">
        <v>0</v>
      </c>
      <c r="AV68" s="248">
        <v>0</v>
      </c>
      <c r="AW68" s="252">
        <v>0</v>
      </c>
      <c r="AX68" s="252">
        <v>0</v>
      </c>
      <c r="AY68" s="252">
        <v>0</v>
      </c>
      <c r="AZ68" s="252">
        <v>0</v>
      </c>
      <c r="BA68" s="249">
        <v>0</v>
      </c>
      <c r="BB68" s="249">
        <v>0</v>
      </c>
      <c r="BC68" s="249">
        <v>0</v>
      </c>
      <c r="BD68" s="249">
        <v>0</v>
      </c>
      <c r="BE68" s="249">
        <v>0</v>
      </c>
      <c r="BF68" s="248">
        <v>0</v>
      </c>
      <c r="BG68" s="248">
        <v>0</v>
      </c>
      <c r="BH68" s="249">
        <v>0</v>
      </c>
      <c r="BI68" s="248">
        <v>0</v>
      </c>
      <c r="BJ68" s="248">
        <v>0</v>
      </c>
      <c r="BK68" s="248">
        <v>0</v>
      </c>
      <c r="BL68" s="248">
        <v>0</v>
      </c>
      <c r="BM68" s="248">
        <v>0</v>
      </c>
      <c r="BN68" s="248">
        <v>0</v>
      </c>
      <c r="BO68" s="248">
        <v>0</v>
      </c>
      <c r="BP68" s="248">
        <v>0</v>
      </c>
      <c r="BQ68" s="248">
        <v>0</v>
      </c>
      <c r="BR68" s="248">
        <v>0</v>
      </c>
      <c r="BS68" s="248">
        <v>0</v>
      </c>
      <c r="BT68" s="248">
        <v>0</v>
      </c>
      <c r="BU68" s="248">
        <v>0</v>
      </c>
      <c r="BV68" s="248">
        <v>0</v>
      </c>
      <c r="BW68" s="248">
        <v>0</v>
      </c>
      <c r="BX68" s="248">
        <v>0</v>
      </c>
      <c r="BY68" s="248">
        <v>0</v>
      </c>
      <c r="BZ68" s="248">
        <v>0</v>
      </c>
      <c r="CA68" s="248">
        <v>0</v>
      </c>
      <c r="CB68" s="248">
        <v>0</v>
      </c>
      <c r="CC68" s="248">
        <v>0</v>
      </c>
      <c r="CD68" s="248">
        <v>0</v>
      </c>
      <c r="CE68" s="248">
        <v>0</v>
      </c>
      <c r="CF68" s="248">
        <v>0</v>
      </c>
      <c r="CG68" s="248">
        <v>0</v>
      </c>
      <c r="CH68" s="248">
        <v>0</v>
      </c>
      <c r="CI68" s="248">
        <v>0</v>
      </c>
      <c r="CJ68" s="248">
        <v>0</v>
      </c>
      <c r="CK68" s="248">
        <v>0</v>
      </c>
      <c r="CL68" s="248">
        <v>0</v>
      </c>
      <c r="CM68" s="248">
        <v>0</v>
      </c>
      <c r="CN68" s="248">
        <v>0</v>
      </c>
      <c r="CO68" s="248">
        <v>0</v>
      </c>
      <c r="CP68" s="248">
        <v>0</v>
      </c>
      <c r="CQ68" s="248">
        <v>0</v>
      </c>
      <c r="CR68" s="248">
        <v>0</v>
      </c>
      <c r="CS68" s="248">
        <v>0</v>
      </c>
      <c r="CT68" s="248">
        <v>0</v>
      </c>
      <c r="CU68" s="248">
        <v>0</v>
      </c>
      <c r="CV68" s="248">
        <v>0</v>
      </c>
      <c r="CW68" s="248">
        <v>0</v>
      </c>
      <c r="CX68" s="248">
        <v>0</v>
      </c>
      <c r="CY68" s="248">
        <v>0</v>
      </c>
      <c r="CZ68" s="248">
        <v>0</v>
      </c>
      <c r="DA68" s="248">
        <v>0</v>
      </c>
      <c r="DB68" s="248">
        <v>0</v>
      </c>
      <c r="DC68" s="248">
        <v>0</v>
      </c>
      <c r="DD68" s="248">
        <v>0</v>
      </c>
      <c r="DE68" s="248">
        <v>0</v>
      </c>
      <c r="DF68" s="248">
        <v>0</v>
      </c>
      <c r="DG68" s="248">
        <v>0</v>
      </c>
      <c r="DH68" s="248">
        <v>0</v>
      </c>
      <c r="DI68" s="248">
        <v>0</v>
      </c>
      <c r="DJ68" s="248">
        <v>0</v>
      </c>
      <c r="DK68" s="248">
        <v>0</v>
      </c>
      <c r="DL68" s="248">
        <v>0</v>
      </c>
      <c r="DM68" s="248">
        <v>0</v>
      </c>
      <c r="DN68" s="248">
        <v>0</v>
      </c>
      <c r="DO68" s="248">
        <v>0</v>
      </c>
      <c r="DP68" s="248">
        <v>0</v>
      </c>
      <c r="DQ68" s="248">
        <v>0</v>
      </c>
      <c r="DR68" s="248">
        <v>0</v>
      </c>
      <c r="DS68" s="248">
        <v>0</v>
      </c>
      <c r="DT68" s="248">
        <v>0</v>
      </c>
      <c r="DU68" s="248">
        <v>0</v>
      </c>
      <c r="DV68" s="248">
        <v>0</v>
      </c>
      <c r="DW68" s="248">
        <v>0</v>
      </c>
      <c r="DX68" s="248">
        <v>0</v>
      </c>
      <c r="DY68" s="248">
        <v>0</v>
      </c>
      <c r="DZ68" s="248">
        <v>0</v>
      </c>
      <c r="EA68" s="248">
        <v>0</v>
      </c>
      <c r="EB68" s="248">
        <v>0</v>
      </c>
    </row>
    <row r="69" spans="2:132" ht="14.5" x14ac:dyDescent="0.35">
      <c r="B69" s="198">
        <v>14</v>
      </c>
      <c r="C69" s="252">
        <v>0</v>
      </c>
      <c r="D69" s="248">
        <v>0</v>
      </c>
      <c r="E69" s="252">
        <v>0</v>
      </c>
      <c r="F69" s="252">
        <v>0</v>
      </c>
      <c r="G69" s="252">
        <v>0</v>
      </c>
      <c r="H69" s="252">
        <v>0</v>
      </c>
      <c r="I69" s="252">
        <v>0</v>
      </c>
      <c r="J69" s="252">
        <v>0</v>
      </c>
      <c r="K69" s="252">
        <v>0</v>
      </c>
      <c r="L69" s="248">
        <v>0</v>
      </c>
      <c r="M69" s="252">
        <v>0</v>
      </c>
      <c r="N69" s="248">
        <v>0</v>
      </c>
      <c r="O69" s="248">
        <v>0</v>
      </c>
      <c r="P69" s="252">
        <v>0</v>
      </c>
      <c r="Q69" s="252">
        <v>0</v>
      </c>
      <c r="R69" s="248">
        <v>0</v>
      </c>
      <c r="S69" s="248">
        <v>0</v>
      </c>
      <c r="T69" s="248">
        <v>0</v>
      </c>
      <c r="U69" s="252">
        <v>0</v>
      </c>
      <c r="V69" s="252">
        <v>0</v>
      </c>
      <c r="W69" s="248">
        <v>0</v>
      </c>
      <c r="X69" s="248">
        <v>0</v>
      </c>
      <c r="Y69" s="248">
        <v>0</v>
      </c>
      <c r="Z69" s="248">
        <v>0</v>
      </c>
      <c r="AA69" s="248">
        <v>0</v>
      </c>
      <c r="AB69" s="252">
        <v>0</v>
      </c>
      <c r="AC69" s="252">
        <v>0</v>
      </c>
      <c r="AD69" s="252">
        <v>0</v>
      </c>
      <c r="AE69" s="252">
        <v>0</v>
      </c>
      <c r="AF69" s="252">
        <v>0</v>
      </c>
      <c r="AG69" s="252">
        <v>0</v>
      </c>
      <c r="AH69" s="252">
        <v>0</v>
      </c>
      <c r="AI69" s="252">
        <v>0</v>
      </c>
      <c r="AJ69" s="248">
        <v>0</v>
      </c>
      <c r="AK69" s="252">
        <v>0</v>
      </c>
      <c r="AL69" s="252">
        <v>0</v>
      </c>
      <c r="AM69" s="252">
        <v>0</v>
      </c>
      <c r="AN69" s="252">
        <v>0</v>
      </c>
      <c r="AO69" s="252">
        <v>0</v>
      </c>
      <c r="AP69" s="252">
        <v>0</v>
      </c>
      <c r="AQ69" s="252">
        <v>0</v>
      </c>
      <c r="AR69" s="252">
        <v>0</v>
      </c>
      <c r="AS69" s="248">
        <v>0</v>
      </c>
      <c r="AT69" s="252">
        <v>0</v>
      </c>
      <c r="AU69" s="252">
        <v>0</v>
      </c>
      <c r="AV69" s="248">
        <v>0</v>
      </c>
      <c r="AW69" s="252">
        <v>0</v>
      </c>
      <c r="AX69" s="252">
        <v>0</v>
      </c>
      <c r="AY69" s="252">
        <v>0</v>
      </c>
      <c r="AZ69" s="252">
        <v>0</v>
      </c>
      <c r="BA69" s="249">
        <v>0</v>
      </c>
      <c r="BB69" s="249">
        <v>0</v>
      </c>
      <c r="BC69" s="249">
        <v>0</v>
      </c>
      <c r="BD69" s="249">
        <v>0</v>
      </c>
      <c r="BE69" s="249">
        <v>0</v>
      </c>
      <c r="BF69" s="248">
        <v>0</v>
      </c>
      <c r="BG69" s="248">
        <v>0</v>
      </c>
      <c r="BH69" s="249">
        <v>0</v>
      </c>
      <c r="BI69" s="248">
        <v>0</v>
      </c>
      <c r="BJ69" s="248">
        <v>0</v>
      </c>
      <c r="BK69" s="248">
        <v>0</v>
      </c>
      <c r="BL69" s="248">
        <v>0</v>
      </c>
      <c r="BM69" s="248">
        <v>0</v>
      </c>
      <c r="BN69" s="248">
        <v>0</v>
      </c>
      <c r="BO69" s="248">
        <v>0</v>
      </c>
      <c r="BP69" s="248">
        <v>0</v>
      </c>
      <c r="BQ69" s="248">
        <v>0</v>
      </c>
      <c r="BR69" s="248">
        <v>0</v>
      </c>
      <c r="BS69" s="248">
        <v>0</v>
      </c>
      <c r="BT69" s="248">
        <v>0</v>
      </c>
      <c r="BU69" s="248">
        <v>0</v>
      </c>
      <c r="BV69" s="248">
        <v>0</v>
      </c>
      <c r="BW69" s="248">
        <v>0</v>
      </c>
      <c r="BX69" s="248">
        <v>0</v>
      </c>
      <c r="BY69" s="248">
        <v>0</v>
      </c>
      <c r="BZ69" s="248">
        <v>0</v>
      </c>
      <c r="CA69" s="248">
        <v>0</v>
      </c>
      <c r="CB69" s="248">
        <v>0</v>
      </c>
      <c r="CC69" s="248">
        <v>0</v>
      </c>
      <c r="CD69" s="248">
        <v>0</v>
      </c>
      <c r="CE69" s="248">
        <v>0</v>
      </c>
      <c r="CF69" s="248">
        <v>0</v>
      </c>
      <c r="CG69" s="248">
        <v>0</v>
      </c>
      <c r="CH69" s="248">
        <v>0</v>
      </c>
      <c r="CI69" s="248">
        <v>0</v>
      </c>
      <c r="CJ69" s="248">
        <v>0</v>
      </c>
      <c r="CK69" s="248">
        <v>0</v>
      </c>
      <c r="CL69" s="248">
        <v>0</v>
      </c>
      <c r="CM69" s="248">
        <v>0</v>
      </c>
      <c r="CN69" s="248">
        <v>0</v>
      </c>
      <c r="CO69" s="248">
        <v>0</v>
      </c>
      <c r="CP69" s="248">
        <v>0</v>
      </c>
      <c r="CQ69" s="248">
        <v>0</v>
      </c>
      <c r="CR69" s="248">
        <v>0</v>
      </c>
      <c r="CS69" s="248">
        <v>0</v>
      </c>
      <c r="CT69" s="248">
        <v>0</v>
      </c>
      <c r="CU69" s="248">
        <v>0</v>
      </c>
      <c r="CV69" s="248">
        <v>0</v>
      </c>
      <c r="CW69" s="248">
        <v>0</v>
      </c>
      <c r="CX69" s="248">
        <v>0</v>
      </c>
      <c r="CY69" s="248">
        <v>0</v>
      </c>
      <c r="CZ69" s="248">
        <v>0</v>
      </c>
      <c r="DA69" s="248">
        <v>0</v>
      </c>
      <c r="DB69" s="248">
        <v>0</v>
      </c>
      <c r="DC69" s="248">
        <v>0</v>
      </c>
      <c r="DD69" s="248">
        <v>0</v>
      </c>
      <c r="DE69" s="248">
        <v>0</v>
      </c>
      <c r="DF69" s="248">
        <v>0</v>
      </c>
      <c r="DG69" s="248">
        <v>0</v>
      </c>
      <c r="DH69" s="248">
        <v>0</v>
      </c>
      <c r="DI69" s="248">
        <v>0</v>
      </c>
      <c r="DJ69" s="248">
        <v>0</v>
      </c>
      <c r="DK69" s="248">
        <v>0</v>
      </c>
      <c r="DL69" s="248">
        <v>0</v>
      </c>
      <c r="DM69" s="248">
        <v>0</v>
      </c>
      <c r="DN69" s="248">
        <v>0</v>
      </c>
      <c r="DO69" s="248">
        <v>0</v>
      </c>
      <c r="DP69" s="248">
        <v>0</v>
      </c>
      <c r="DQ69" s="248">
        <v>0</v>
      </c>
      <c r="DR69" s="248">
        <v>0</v>
      </c>
      <c r="DS69" s="248">
        <v>0</v>
      </c>
      <c r="DT69" s="248">
        <v>0</v>
      </c>
      <c r="DU69" s="248">
        <v>0</v>
      </c>
      <c r="DV69" s="248">
        <v>0</v>
      </c>
      <c r="DW69" s="248">
        <v>0</v>
      </c>
      <c r="DX69" s="248">
        <v>0</v>
      </c>
      <c r="DY69" s="248">
        <v>0</v>
      </c>
      <c r="DZ69" s="248">
        <v>0</v>
      </c>
      <c r="EA69" s="248">
        <v>0</v>
      </c>
      <c r="EB69" s="248">
        <v>0</v>
      </c>
    </row>
    <row r="70" spans="2:132" ht="14.5" x14ac:dyDescent="0.35">
      <c r="B70" s="198">
        <v>15</v>
      </c>
      <c r="C70" s="252">
        <v>0</v>
      </c>
      <c r="D70" s="248">
        <v>0</v>
      </c>
      <c r="E70" s="252">
        <v>0</v>
      </c>
      <c r="F70" s="252">
        <v>0</v>
      </c>
      <c r="G70" s="252">
        <v>0</v>
      </c>
      <c r="H70" s="252">
        <v>0</v>
      </c>
      <c r="I70" s="252">
        <v>0</v>
      </c>
      <c r="J70" s="252">
        <v>0</v>
      </c>
      <c r="K70" s="252">
        <v>0</v>
      </c>
      <c r="L70" s="248">
        <v>0</v>
      </c>
      <c r="M70" s="252">
        <v>0</v>
      </c>
      <c r="N70" s="248">
        <v>0</v>
      </c>
      <c r="O70" s="248">
        <v>0</v>
      </c>
      <c r="P70" s="252">
        <v>0</v>
      </c>
      <c r="Q70" s="252">
        <v>0</v>
      </c>
      <c r="R70" s="248">
        <v>0</v>
      </c>
      <c r="S70" s="248">
        <v>0</v>
      </c>
      <c r="T70" s="248">
        <v>0</v>
      </c>
      <c r="U70" s="252">
        <v>0</v>
      </c>
      <c r="V70" s="252">
        <v>0</v>
      </c>
      <c r="W70" s="248">
        <v>0</v>
      </c>
      <c r="X70" s="248">
        <v>0</v>
      </c>
      <c r="Y70" s="248">
        <v>0</v>
      </c>
      <c r="Z70" s="248">
        <v>0</v>
      </c>
      <c r="AA70" s="248">
        <v>0</v>
      </c>
      <c r="AB70" s="252">
        <v>0</v>
      </c>
      <c r="AC70" s="252">
        <v>0</v>
      </c>
      <c r="AD70" s="252">
        <v>0</v>
      </c>
      <c r="AE70" s="252">
        <v>0</v>
      </c>
      <c r="AF70" s="252">
        <v>0</v>
      </c>
      <c r="AG70" s="252">
        <v>0</v>
      </c>
      <c r="AH70" s="252">
        <v>0</v>
      </c>
      <c r="AI70" s="252">
        <v>0</v>
      </c>
      <c r="AJ70" s="248">
        <v>0</v>
      </c>
      <c r="AK70" s="252">
        <v>0</v>
      </c>
      <c r="AL70" s="252">
        <v>0</v>
      </c>
      <c r="AM70" s="252">
        <v>0</v>
      </c>
      <c r="AN70" s="252">
        <v>0</v>
      </c>
      <c r="AO70" s="252">
        <v>0</v>
      </c>
      <c r="AP70" s="252">
        <v>0</v>
      </c>
      <c r="AQ70" s="252">
        <v>0</v>
      </c>
      <c r="AR70" s="252">
        <v>0</v>
      </c>
      <c r="AS70" s="248">
        <v>0</v>
      </c>
      <c r="AT70" s="252">
        <v>0</v>
      </c>
      <c r="AU70" s="252">
        <v>0</v>
      </c>
      <c r="AV70" s="248">
        <v>0</v>
      </c>
      <c r="AW70" s="252">
        <v>0</v>
      </c>
      <c r="AX70" s="252">
        <v>0</v>
      </c>
      <c r="AY70" s="252">
        <v>0</v>
      </c>
      <c r="AZ70" s="252">
        <v>0</v>
      </c>
      <c r="BA70" s="249">
        <v>0</v>
      </c>
      <c r="BB70" s="249">
        <v>0</v>
      </c>
      <c r="BC70" s="249">
        <v>0</v>
      </c>
      <c r="BD70" s="249">
        <v>0</v>
      </c>
      <c r="BE70" s="249">
        <v>0</v>
      </c>
      <c r="BF70" s="248">
        <v>0</v>
      </c>
      <c r="BG70" s="248">
        <v>0</v>
      </c>
      <c r="BH70" s="249">
        <v>0</v>
      </c>
      <c r="BI70" s="248">
        <v>0</v>
      </c>
      <c r="BJ70" s="248">
        <v>0</v>
      </c>
      <c r="BK70" s="248">
        <v>0</v>
      </c>
      <c r="BL70" s="248">
        <v>0</v>
      </c>
      <c r="BM70" s="248">
        <v>0</v>
      </c>
      <c r="BN70" s="248">
        <v>0</v>
      </c>
      <c r="BO70" s="248">
        <v>0</v>
      </c>
      <c r="BP70" s="248">
        <v>0</v>
      </c>
      <c r="BQ70" s="248">
        <v>0</v>
      </c>
      <c r="BR70" s="248">
        <v>0</v>
      </c>
      <c r="BS70" s="248">
        <v>0</v>
      </c>
      <c r="BT70" s="248">
        <v>0</v>
      </c>
      <c r="BU70" s="248">
        <v>0</v>
      </c>
      <c r="BV70" s="248">
        <v>0</v>
      </c>
      <c r="BW70" s="248">
        <v>0</v>
      </c>
      <c r="BX70" s="248">
        <v>0</v>
      </c>
      <c r="BY70" s="248">
        <v>0</v>
      </c>
      <c r="BZ70" s="248">
        <v>0</v>
      </c>
      <c r="CA70" s="248">
        <v>0</v>
      </c>
      <c r="CB70" s="248">
        <v>0</v>
      </c>
      <c r="CC70" s="248">
        <v>0</v>
      </c>
      <c r="CD70" s="248">
        <v>0</v>
      </c>
      <c r="CE70" s="248">
        <v>0</v>
      </c>
      <c r="CF70" s="248">
        <v>0</v>
      </c>
      <c r="CG70" s="248">
        <v>0</v>
      </c>
      <c r="CH70" s="248">
        <v>0</v>
      </c>
      <c r="CI70" s="248">
        <v>0</v>
      </c>
      <c r="CJ70" s="248">
        <v>0</v>
      </c>
      <c r="CK70" s="248">
        <v>0</v>
      </c>
      <c r="CL70" s="248">
        <v>0</v>
      </c>
      <c r="CM70" s="248">
        <v>0</v>
      </c>
      <c r="CN70" s="248">
        <v>0</v>
      </c>
      <c r="CO70" s="248">
        <v>0</v>
      </c>
      <c r="CP70" s="248">
        <v>0</v>
      </c>
      <c r="CQ70" s="248">
        <v>0</v>
      </c>
      <c r="CR70" s="248">
        <v>0</v>
      </c>
      <c r="CS70" s="248">
        <v>0</v>
      </c>
      <c r="CT70" s="248">
        <v>0</v>
      </c>
      <c r="CU70" s="248">
        <v>0</v>
      </c>
      <c r="CV70" s="248">
        <v>0</v>
      </c>
      <c r="CW70" s="248">
        <v>0</v>
      </c>
      <c r="CX70" s="248">
        <v>0</v>
      </c>
      <c r="CY70" s="248">
        <v>0</v>
      </c>
      <c r="CZ70" s="248">
        <v>0</v>
      </c>
      <c r="DA70" s="248">
        <v>0</v>
      </c>
      <c r="DB70" s="248">
        <v>0</v>
      </c>
      <c r="DC70" s="248">
        <v>0</v>
      </c>
      <c r="DD70" s="248">
        <v>0</v>
      </c>
      <c r="DE70" s="248">
        <v>0</v>
      </c>
      <c r="DF70" s="248">
        <v>0</v>
      </c>
      <c r="DG70" s="248">
        <v>0</v>
      </c>
      <c r="DH70" s="248">
        <v>0</v>
      </c>
      <c r="DI70" s="248">
        <v>0</v>
      </c>
      <c r="DJ70" s="248">
        <v>0</v>
      </c>
      <c r="DK70" s="248">
        <v>0</v>
      </c>
      <c r="DL70" s="248">
        <v>0</v>
      </c>
      <c r="DM70" s="248">
        <v>0</v>
      </c>
      <c r="DN70" s="248">
        <v>0</v>
      </c>
      <c r="DO70" s="248">
        <v>0</v>
      </c>
      <c r="DP70" s="248">
        <v>0</v>
      </c>
      <c r="DQ70" s="248">
        <v>0</v>
      </c>
      <c r="DR70" s="248">
        <v>0</v>
      </c>
      <c r="DS70" s="248">
        <v>0</v>
      </c>
      <c r="DT70" s="248">
        <v>0</v>
      </c>
      <c r="DU70" s="248">
        <v>0</v>
      </c>
      <c r="DV70" s="248">
        <v>0</v>
      </c>
      <c r="DW70" s="248">
        <v>0</v>
      </c>
      <c r="DX70" s="248">
        <v>0</v>
      </c>
      <c r="DY70" s="248">
        <v>0</v>
      </c>
      <c r="DZ70" s="248">
        <v>0</v>
      </c>
      <c r="EA70" s="248">
        <v>0</v>
      </c>
      <c r="EB70" s="248">
        <v>0</v>
      </c>
    </row>
    <row r="71" spans="2:132" ht="14.5" x14ac:dyDescent="0.35">
      <c r="B71" s="198">
        <v>16</v>
      </c>
      <c r="C71" s="252">
        <v>0</v>
      </c>
      <c r="D71" s="248">
        <v>0</v>
      </c>
      <c r="E71" s="252">
        <v>0</v>
      </c>
      <c r="F71" s="252">
        <v>0</v>
      </c>
      <c r="G71" s="252">
        <v>0</v>
      </c>
      <c r="H71" s="252">
        <v>0</v>
      </c>
      <c r="I71" s="252">
        <v>0</v>
      </c>
      <c r="J71" s="252">
        <v>0</v>
      </c>
      <c r="K71" s="252">
        <v>0</v>
      </c>
      <c r="L71" s="248">
        <v>0</v>
      </c>
      <c r="M71" s="252">
        <v>0</v>
      </c>
      <c r="N71" s="248">
        <v>0</v>
      </c>
      <c r="O71" s="248">
        <v>0</v>
      </c>
      <c r="P71" s="252">
        <v>0</v>
      </c>
      <c r="Q71" s="252">
        <v>0</v>
      </c>
      <c r="R71" s="248">
        <v>0</v>
      </c>
      <c r="S71" s="248">
        <v>0</v>
      </c>
      <c r="T71" s="248">
        <v>0</v>
      </c>
      <c r="U71" s="252">
        <v>0</v>
      </c>
      <c r="V71" s="252">
        <v>0</v>
      </c>
      <c r="W71" s="248">
        <v>0</v>
      </c>
      <c r="X71" s="248">
        <v>0</v>
      </c>
      <c r="Y71" s="248">
        <v>0</v>
      </c>
      <c r="Z71" s="248">
        <v>0</v>
      </c>
      <c r="AA71" s="248">
        <v>0</v>
      </c>
      <c r="AB71" s="252">
        <v>0</v>
      </c>
      <c r="AC71" s="252">
        <v>0</v>
      </c>
      <c r="AD71" s="252">
        <v>0</v>
      </c>
      <c r="AE71" s="252">
        <v>0</v>
      </c>
      <c r="AF71" s="252">
        <v>0</v>
      </c>
      <c r="AG71" s="252">
        <v>0</v>
      </c>
      <c r="AH71" s="252">
        <v>0</v>
      </c>
      <c r="AI71" s="252">
        <v>0</v>
      </c>
      <c r="AJ71" s="248">
        <v>0</v>
      </c>
      <c r="AK71" s="252">
        <v>0</v>
      </c>
      <c r="AL71" s="252">
        <v>0</v>
      </c>
      <c r="AM71" s="252">
        <v>0</v>
      </c>
      <c r="AN71" s="252">
        <v>0</v>
      </c>
      <c r="AO71" s="252">
        <v>0</v>
      </c>
      <c r="AP71" s="252">
        <v>0</v>
      </c>
      <c r="AQ71" s="252">
        <v>0</v>
      </c>
      <c r="AR71" s="252">
        <v>0</v>
      </c>
      <c r="AS71" s="248">
        <v>0</v>
      </c>
      <c r="AT71" s="252">
        <v>0</v>
      </c>
      <c r="AU71" s="252">
        <v>0</v>
      </c>
      <c r="AV71" s="248">
        <v>0</v>
      </c>
      <c r="AW71" s="252">
        <v>0</v>
      </c>
      <c r="AX71" s="252">
        <v>0</v>
      </c>
      <c r="AY71" s="252">
        <v>0</v>
      </c>
      <c r="AZ71" s="252">
        <v>0</v>
      </c>
      <c r="BA71" s="249">
        <v>9.7999999999999997E-3</v>
      </c>
      <c r="BB71" s="249">
        <v>9.7999999999999997E-3</v>
      </c>
      <c r="BC71" s="249">
        <v>9.7999999999999997E-3</v>
      </c>
      <c r="BD71" s="249">
        <v>8.0000000000000004E-4</v>
      </c>
      <c r="BE71" s="249">
        <v>9.7999999999999997E-3</v>
      </c>
      <c r="BF71" s="248">
        <v>0</v>
      </c>
      <c r="BG71" s="248">
        <v>0</v>
      </c>
      <c r="BH71" s="249">
        <v>9.7999999999999997E-3</v>
      </c>
      <c r="BI71" s="248">
        <v>0</v>
      </c>
      <c r="BJ71" s="248">
        <v>0</v>
      </c>
      <c r="BK71" s="248">
        <v>0</v>
      </c>
      <c r="BL71" s="248">
        <v>0</v>
      </c>
      <c r="BM71" s="248">
        <v>0</v>
      </c>
      <c r="BN71" s="248">
        <v>0</v>
      </c>
      <c r="BO71" s="248">
        <v>0</v>
      </c>
      <c r="BP71" s="248">
        <v>0</v>
      </c>
      <c r="BQ71" s="248">
        <v>0</v>
      </c>
      <c r="BR71" s="248">
        <v>0</v>
      </c>
      <c r="BS71" s="248">
        <v>0</v>
      </c>
      <c r="BT71" s="248">
        <v>0</v>
      </c>
      <c r="BU71" s="248">
        <v>0</v>
      </c>
      <c r="BV71" s="248">
        <v>0</v>
      </c>
      <c r="BW71" s="248">
        <v>0</v>
      </c>
      <c r="BX71" s="248">
        <v>0</v>
      </c>
      <c r="BY71" s="248">
        <v>0</v>
      </c>
      <c r="BZ71" s="248">
        <v>0</v>
      </c>
      <c r="CA71" s="248">
        <v>0</v>
      </c>
      <c r="CB71" s="248">
        <v>0</v>
      </c>
      <c r="CC71" s="248">
        <v>0</v>
      </c>
      <c r="CD71" s="248">
        <v>0</v>
      </c>
      <c r="CE71" s="248">
        <v>0</v>
      </c>
      <c r="CF71" s="248">
        <v>0</v>
      </c>
      <c r="CG71" s="248">
        <v>0</v>
      </c>
      <c r="CH71" s="248">
        <v>0</v>
      </c>
      <c r="CI71" s="248">
        <v>0</v>
      </c>
      <c r="CJ71" s="248">
        <v>0</v>
      </c>
      <c r="CK71" s="248">
        <v>0</v>
      </c>
      <c r="CL71" s="248">
        <v>0</v>
      </c>
      <c r="CM71" s="248">
        <v>0</v>
      </c>
      <c r="CN71" s="248">
        <v>0</v>
      </c>
      <c r="CO71" s="248">
        <v>0</v>
      </c>
      <c r="CP71" s="248">
        <v>0</v>
      </c>
      <c r="CQ71" s="248">
        <v>0</v>
      </c>
      <c r="CR71" s="248">
        <v>0</v>
      </c>
      <c r="CS71" s="248">
        <v>0</v>
      </c>
      <c r="CT71" s="248">
        <v>0</v>
      </c>
      <c r="CU71" s="248">
        <v>0</v>
      </c>
      <c r="CV71" s="248">
        <v>0</v>
      </c>
      <c r="CW71" s="248">
        <v>0</v>
      </c>
      <c r="CX71" s="248">
        <v>0</v>
      </c>
      <c r="CY71" s="248">
        <v>0</v>
      </c>
      <c r="CZ71" s="248">
        <v>0</v>
      </c>
      <c r="DA71" s="248">
        <v>0</v>
      </c>
      <c r="DB71" s="248">
        <v>0</v>
      </c>
      <c r="DC71" s="248">
        <v>0</v>
      </c>
      <c r="DD71" s="248">
        <v>0</v>
      </c>
      <c r="DE71" s="248">
        <v>0</v>
      </c>
      <c r="DF71" s="248">
        <v>0</v>
      </c>
      <c r="DG71" s="248">
        <v>0</v>
      </c>
      <c r="DH71" s="248">
        <v>0</v>
      </c>
      <c r="DI71" s="248">
        <v>0</v>
      </c>
      <c r="DJ71" s="248">
        <v>0</v>
      </c>
      <c r="DK71" s="248">
        <v>0</v>
      </c>
      <c r="DL71" s="248">
        <v>0</v>
      </c>
      <c r="DM71" s="248">
        <v>0</v>
      </c>
      <c r="DN71" s="248">
        <v>0</v>
      </c>
      <c r="DO71" s="248">
        <v>0</v>
      </c>
      <c r="DP71" s="248">
        <v>0</v>
      </c>
      <c r="DQ71" s="248">
        <v>0</v>
      </c>
      <c r="DR71" s="248">
        <v>0</v>
      </c>
      <c r="DS71" s="248">
        <v>0</v>
      </c>
      <c r="DT71" s="248">
        <v>0</v>
      </c>
      <c r="DU71" s="248">
        <v>0</v>
      </c>
      <c r="DV71" s="248">
        <v>0</v>
      </c>
      <c r="DW71" s="248">
        <v>0</v>
      </c>
      <c r="DX71" s="248">
        <v>0</v>
      </c>
      <c r="DY71" s="248">
        <v>0</v>
      </c>
      <c r="DZ71" s="248">
        <v>0</v>
      </c>
      <c r="EA71" s="248">
        <v>0</v>
      </c>
      <c r="EB71" s="248">
        <v>0</v>
      </c>
    </row>
    <row r="72" spans="2:132" ht="14.5" x14ac:dyDescent="0.35">
      <c r="B72" s="198">
        <v>17</v>
      </c>
      <c r="C72" s="252">
        <v>0</v>
      </c>
      <c r="D72" s="248">
        <v>0</v>
      </c>
      <c r="E72" s="252">
        <v>0</v>
      </c>
      <c r="F72" s="252">
        <v>0</v>
      </c>
      <c r="G72" s="252">
        <v>0</v>
      </c>
      <c r="H72" s="252">
        <v>0</v>
      </c>
      <c r="I72" s="252">
        <v>0</v>
      </c>
      <c r="J72" s="252">
        <v>0</v>
      </c>
      <c r="K72" s="252">
        <v>0</v>
      </c>
      <c r="L72" s="248">
        <v>0</v>
      </c>
      <c r="M72" s="252">
        <v>0</v>
      </c>
      <c r="N72" s="248">
        <v>0</v>
      </c>
      <c r="O72" s="248">
        <v>0</v>
      </c>
      <c r="P72" s="252">
        <v>0</v>
      </c>
      <c r="Q72" s="252">
        <v>0</v>
      </c>
      <c r="R72" s="248">
        <v>0</v>
      </c>
      <c r="S72" s="248">
        <v>0</v>
      </c>
      <c r="T72" s="248">
        <v>0</v>
      </c>
      <c r="U72" s="252">
        <v>0</v>
      </c>
      <c r="V72" s="252">
        <v>0</v>
      </c>
      <c r="W72" s="248">
        <v>0</v>
      </c>
      <c r="X72" s="248">
        <v>0</v>
      </c>
      <c r="Y72" s="248">
        <v>0</v>
      </c>
      <c r="Z72" s="248">
        <v>0</v>
      </c>
      <c r="AA72" s="248">
        <v>0</v>
      </c>
      <c r="AB72" s="252">
        <v>0</v>
      </c>
      <c r="AC72" s="252">
        <v>0</v>
      </c>
      <c r="AD72" s="252">
        <v>0</v>
      </c>
      <c r="AE72" s="252">
        <v>0</v>
      </c>
      <c r="AF72" s="252">
        <v>0</v>
      </c>
      <c r="AG72" s="252">
        <v>0</v>
      </c>
      <c r="AH72" s="252">
        <v>0</v>
      </c>
      <c r="AI72" s="252">
        <v>0</v>
      </c>
      <c r="AJ72" s="248">
        <v>0</v>
      </c>
      <c r="AK72" s="252">
        <v>0</v>
      </c>
      <c r="AL72" s="252">
        <v>0</v>
      </c>
      <c r="AM72" s="252">
        <v>0</v>
      </c>
      <c r="AN72" s="252">
        <v>0</v>
      </c>
      <c r="AO72" s="252">
        <v>0</v>
      </c>
      <c r="AP72" s="252">
        <v>0</v>
      </c>
      <c r="AQ72" s="252">
        <v>0</v>
      </c>
      <c r="AR72" s="252">
        <v>0</v>
      </c>
      <c r="AS72" s="248">
        <v>0</v>
      </c>
      <c r="AT72" s="252">
        <v>0</v>
      </c>
      <c r="AU72" s="252">
        <v>0</v>
      </c>
      <c r="AV72" s="248">
        <v>0</v>
      </c>
      <c r="AW72" s="252">
        <v>0</v>
      </c>
      <c r="AX72" s="252">
        <v>0</v>
      </c>
      <c r="AY72" s="252">
        <v>0</v>
      </c>
      <c r="AZ72" s="252">
        <v>0</v>
      </c>
      <c r="BA72" s="249">
        <v>0</v>
      </c>
      <c r="BB72" s="249">
        <v>0</v>
      </c>
      <c r="BC72" s="249">
        <v>0</v>
      </c>
      <c r="BD72" s="249">
        <v>0</v>
      </c>
      <c r="BE72" s="249">
        <v>0</v>
      </c>
      <c r="BF72" s="248">
        <v>0</v>
      </c>
      <c r="BG72" s="248">
        <v>0</v>
      </c>
      <c r="BH72" s="249">
        <v>0</v>
      </c>
      <c r="BI72" s="248">
        <v>0</v>
      </c>
      <c r="BJ72" s="248">
        <v>0</v>
      </c>
      <c r="BK72" s="248">
        <v>0</v>
      </c>
      <c r="BL72" s="248">
        <v>0</v>
      </c>
      <c r="BM72" s="248">
        <v>0</v>
      </c>
      <c r="BN72" s="248">
        <v>0</v>
      </c>
      <c r="BO72" s="248">
        <v>0</v>
      </c>
      <c r="BP72" s="248">
        <v>0</v>
      </c>
      <c r="BQ72" s="248">
        <v>0</v>
      </c>
      <c r="BR72" s="248">
        <v>0</v>
      </c>
      <c r="BS72" s="248">
        <v>0</v>
      </c>
      <c r="BT72" s="248">
        <v>0</v>
      </c>
      <c r="BU72" s="248">
        <v>0</v>
      </c>
      <c r="BV72" s="248">
        <v>0</v>
      </c>
      <c r="BW72" s="248">
        <v>0</v>
      </c>
      <c r="BX72" s="248">
        <v>0</v>
      </c>
      <c r="BY72" s="248">
        <v>0</v>
      </c>
      <c r="BZ72" s="248">
        <v>0</v>
      </c>
      <c r="CA72" s="248">
        <v>0</v>
      </c>
      <c r="CB72" s="248">
        <v>0</v>
      </c>
      <c r="CC72" s="248">
        <v>0</v>
      </c>
      <c r="CD72" s="248">
        <v>0</v>
      </c>
      <c r="CE72" s="248">
        <v>0</v>
      </c>
      <c r="CF72" s="248">
        <v>0</v>
      </c>
      <c r="CG72" s="248">
        <v>0</v>
      </c>
      <c r="CH72" s="248">
        <v>0</v>
      </c>
      <c r="CI72" s="248">
        <v>0</v>
      </c>
      <c r="CJ72" s="248">
        <v>0</v>
      </c>
      <c r="CK72" s="248">
        <v>0</v>
      </c>
      <c r="CL72" s="248">
        <v>0</v>
      </c>
      <c r="CM72" s="248">
        <v>0</v>
      </c>
      <c r="CN72" s="248">
        <v>0</v>
      </c>
      <c r="CO72" s="248">
        <v>0</v>
      </c>
      <c r="CP72" s="248">
        <v>0</v>
      </c>
      <c r="CQ72" s="248">
        <v>0</v>
      </c>
      <c r="CR72" s="248">
        <v>0</v>
      </c>
      <c r="CS72" s="248">
        <v>0</v>
      </c>
      <c r="CT72" s="248">
        <v>0</v>
      </c>
      <c r="CU72" s="248">
        <v>0</v>
      </c>
      <c r="CV72" s="248">
        <v>0</v>
      </c>
      <c r="CW72" s="248">
        <v>0</v>
      </c>
      <c r="CX72" s="248">
        <v>0</v>
      </c>
      <c r="CY72" s="248">
        <v>0</v>
      </c>
      <c r="CZ72" s="248">
        <v>0</v>
      </c>
      <c r="DA72" s="248">
        <v>0</v>
      </c>
      <c r="DB72" s="248">
        <v>0</v>
      </c>
      <c r="DC72" s="248">
        <v>0</v>
      </c>
      <c r="DD72" s="248">
        <v>0</v>
      </c>
      <c r="DE72" s="248">
        <v>0</v>
      </c>
      <c r="DF72" s="248">
        <v>0</v>
      </c>
      <c r="DG72" s="248">
        <v>0</v>
      </c>
      <c r="DH72" s="248">
        <v>0</v>
      </c>
      <c r="DI72" s="248">
        <v>0</v>
      </c>
      <c r="DJ72" s="248">
        <v>0</v>
      </c>
      <c r="DK72" s="248">
        <v>0</v>
      </c>
      <c r="DL72" s="248">
        <v>0</v>
      </c>
      <c r="DM72" s="248">
        <v>0</v>
      </c>
      <c r="DN72" s="248">
        <v>0</v>
      </c>
      <c r="DO72" s="248">
        <v>0</v>
      </c>
      <c r="DP72" s="248">
        <v>0</v>
      </c>
      <c r="DQ72" s="248">
        <v>0</v>
      </c>
      <c r="DR72" s="248">
        <v>0</v>
      </c>
      <c r="DS72" s="248">
        <v>0</v>
      </c>
      <c r="DT72" s="248">
        <v>0</v>
      </c>
      <c r="DU72" s="248">
        <v>0</v>
      </c>
      <c r="DV72" s="248">
        <v>0</v>
      </c>
      <c r="DW72" s="248">
        <v>0</v>
      </c>
      <c r="DX72" s="248">
        <v>0</v>
      </c>
      <c r="DY72" s="248">
        <v>0</v>
      </c>
      <c r="DZ72" s="248">
        <v>0</v>
      </c>
      <c r="EA72" s="248">
        <v>0</v>
      </c>
      <c r="EB72" s="248">
        <v>0</v>
      </c>
    </row>
    <row r="73" spans="2:132" ht="14.5" x14ac:dyDescent="0.35">
      <c r="B73" s="198">
        <v>18</v>
      </c>
      <c r="C73" s="252">
        <v>0</v>
      </c>
      <c r="D73" s="248">
        <v>0</v>
      </c>
      <c r="E73" s="252">
        <v>0</v>
      </c>
      <c r="F73" s="252">
        <v>0</v>
      </c>
      <c r="G73" s="252">
        <v>0</v>
      </c>
      <c r="H73" s="252">
        <v>0</v>
      </c>
      <c r="I73" s="252">
        <v>0</v>
      </c>
      <c r="J73" s="252">
        <v>0</v>
      </c>
      <c r="K73" s="252">
        <v>0</v>
      </c>
      <c r="L73" s="248">
        <v>0</v>
      </c>
      <c r="M73" s="252">
        <v>0</v>
      </c>
      <c r="N73" s="248">
        <v>0</v>
      </c>
      <c r="O73" s="248">
        <v>0</v>
      </c>
      <c r="P73" s="252">
        <v>0</v>
      </c>
      <c r="Q73" s="252">
        <v>0</v>
      </c>
      <c r="R73" s="248">
        <v>0</v>
      </c>
      <c r="S73" s="248">
        <v>0</v>
      </c>
      <c r="T73" s="248">
        <v>0</v>
      </c>
      <c r="U73" s="252">
        <v>0</v>
      </c>
      <c r="V73" s="252">
        <v>0</v>
      </c>
      <c r="W73" s="248">
        <v>0</v>
      </c>
      <c r="X73" s="248">
        <v>0</v>
      </c>
      <c r="Y73" s="248">
        <v>0</v>
      </c>
      <c r="Z73" s="248">
        <v>0</v>
      </c>
      <c r="AA73" s="248">
        <v>0</v>
      </c>
      <c r="AB73" s="252">
        <v>0</v>
      </c>
      <c r="AC73" s="252">
        <v>0</v>
      </c>
      <c r="AD73" s="252">
        <v>0</v>
      </c>
      <c r="AE73" s="252">
        <v>0</v>
      </c>
      <c r="AF73" s="252">
        <v>0</v>
      </c>
      <c r="AG73" s="252">
        <v>0</v>
      </c>
      <c r="AH73" s="252">
        <v>0</v>
      </c>
      <c r="AI73" s="252">
        <v>0</v>
      </c>
      <c r="AJ73" s="248">
        <v>0</v>
      </c>
      <c r="AK73" s="252">
        <v>0</v>
      </c>
      <c r="AL73" s="252">
        <v>0</v>
      </c>
      <c r="AM73" s="252">
        <v>0</v>
      </c>
      <c r="AN73" s="252">
        <v>0</v>
      </c>
      <c r="AO73" s="252">
        <v>0</v>
      </c>
      <c r="AP73" s="252">
        <v>0</v>
      </c>
      <c r="AQ73" s="252">
        <v>0</v>
      </c>
      <c r="AR73" s="252">
        <v>0</v>
      </c>
      <c r="AS73" s="248">
        <v>0</v>
      </c>
      <c r="AT73" s="252">
        <v>0</v>
      </c>
      <c r="AU73" s="252">
        <v>0</v>
      </c>
      <c r="AV73" s="248">
        <v>0</v>
      </c>
      <c r="AW73" s="252">
        <v>0</v>
      </c>
      <c r="AX73" s="252">
        <v>0</v>
      </c>
      <c r="AY73" s="252">
        <v>0</v>
      </c>
      <c r="AZ73" s="252">
        <v>0</v>
      </c>
      <c r="BA73" s="249">
        <v>0</v>
      </c>
      <c r="BB73" s="249">
        <v>0</v>
      </c>
      <c r="BC73" s="249">
        <v>0</v>
      </c>
      <c r="BD73" s="249">
        <v>0</v>
      </c>
      <c r="BE73" s="249">
        <v>0</v>
      </c>
      <c r="BF73" s="248">
        <v>0</v>
      </c>
      <c r="BG73" s="248">
        <v>0</v>
      </c>
      <c r="BH73" s="249">
        <v>0</v>
      </c>
      <c r="BI73" s="248">
        <v>0</v>
      </c>
      <c r="BJ73" s="248">
        <v>0</v>
      </c>
      <c r="BK73" s="248">
        <v>0</v>
      </c>
      <c r="BL73" s="248">
        <v>0</v>
      </c>
      <c r="BM73" s="248">
        <v>0</v>
      </c>
      <c r="BN73" s="248">
        <v>0</v>
      </c>
      <c r="BO73" s="248">
        <v>0</v>
      </c>
      <c r="BP73" s="248">
        <v>0</v>
      </c>
      <c r="BQ73" s="248">
        <v>0</v>
      </c>
      <c r="BR73" s="248">
        <v>0</v>
      </c>
      <c r="BS73" s="248">
        <v>0</v>
      </c>
      <c r="BT73" s="248">
        <v>0</v>
      </c>
      <c r="BU73" s="248">
        <v>0</v>
      </c>
      <c r="BV73" s="248">
        <v>0</v>
      </c>
      <c r="BW73" s="248">
        <v>0</v>
      </c>
      <c r="BX73" s="248">
        <v>0</v>
      </c>
      <c r="BY73" s="248">
        <v>0</v>
      </c>
      <c r="BZ73" s="248">
        <v>0</v>
      </c>
      <c r="CA73" s="248">
        <v>0</v>
      </c>
      <c r="CB73" s="248">
        <v>0</v>
      </c>
      <c r="CC73" s="248">
        <v>0</v>
      </c>
      <c r="CD73" s="248">
        <v>0</v>
      </c>
      <c r="CE73" s="248">
        <v>0</v>
      </c>
      <c r="CF73" s="248">
        <v>0</v>
      </c>
      <c r="CG73" s="248">
        <v>0</v>
      </c>
      <c r="CH73" s="248">
        <v>0</v>
      </c>
      <c r="CI73" s="248">
        <v>0</v>
      </c>
      <c r="CJ73" s="248">
        <v>0</v>
      </c>
      <c r="CK73" s="248">
        <v>0</v>
      </c>
      <c r="CL73" s="248">
        <v>0</v>
      </c>
      <c r="CM73" s="248">
        <v>0</v>
      </c>
      <c r="CN73" s="248">
        <v>0</v>
      </c>
      <c r="CO73" s="248">
        <v>0</v>
      </c>
      <c r="CP73" s="248">
        <v>0</v>
      </c>
      <c r="CQ73" s="248">
        <v>0</v>
      </c>
      <c r="CR73" s="248">
        <v>0</v>
      </c>
      <c r="CS73" s="248">
        <v>0</v>
      </c>
      <c r="CT73" s="248">
        <v>0</v>
      </c>
      <c r="CU73" s="248">
        <v>0</v>
      </c>
      <c r="CV73" s="248">
        <v>0</v>
      </c>
      <c r="CW73" s="248">
        <v>0</v>
      </c>
      <c r="CX73" s="248">
        <v>0</v>
      </c>
      <c r="CY73" s="248">
        <v>0</v>
      </c>
      <c r="CZ73" s="248">
        <v>0</v>
      </c>
      <c r="DA73" s="248">
        <v>0</v>
      </c>
      <c r="DB73" s="248">
        <v>0</v>
      </c>
      <c r="DC73" s="248">
        <v>0</v>
      </c>
      <c r="DD73" s="248">
        <v>0</v>
      </c>
      <c r="DE73" s="248">
        <v>0</v>
      </c>
      <c r="DF73" s="248">
        <v>0</v>
      </c>
      <c r="DG73" s="248">
        <v>0</v>
      </c>
      <c r="DH73" s="248">
        <v>0</v>
      </c>
      <c r="DI73" s="248">
        <v>0</v>
      </c>
      <c r="DJ73" s="248">
        <v>0</v>
      </c>
      <c r="DK73" s="248">
        <v>0</v>
      </c>
      <c r="DL73" s="248">
        <v>0</v>
      </c>
      <c r="DM73" s="248">
        <v>0</v>
      </c>
      <c r="DN73" s="248">
        <v>0</v>
      </c>
      <c r="DO73" s="248">
        <v>0</v>
      </c>
      <c r="DP73" s="248">
        <v>0</v>
      </c>
      <c r="DQ73" s="248">
        <v>0</v>
      </c>
      <c r="DR73" s="248">
        <v>0</v>
      </c>
      <c r="DS73" s="248">
        <v>0</v>
      </c>
      <c r="DT73" s="248">
        <v>0</v>
      </c>
      <c r="DU73" s="248">
        <v>0</v>
      </c>
      <c r="DV73" s="248">
        <v>0</v>
      </c>
      <c r="DW73" s="248">
        <v>0</v>
      </c>
      <c r="DX73" s="248">
        <v>0</v>
      </c>
      <c r="DY73" s="248">
        <v>0</v>
      </c>
      <c r="DZ73" s="248">
        <v>0</v>
      </c>
      <c r="EA73" s="248">
        <v>0</v>
      </c>
      <c r="EB73" s="248">
        <v>0</v>
      </c>
    </row>
    <row r="74" spans="2:132" ht="14.5" x14ac:dyDescent="0.35">
      <c r="B74" s="198">
        <v>19</v>
      </c>
      <c r="C74" s="252">
        <v>0</v>
      </c>
      <c r="D74" s="248">
        <v>0</v>
      </c>
      <c r="E74" s="252">
        <v>0</v>
      </c>
      <c r="F74" s="252">
        <v>0</v>
      </c>
      <c r="G74" s="252">
        <v>0</v>
      </c>
      <c r="H74" s="252">
        <v>0</v>
      </c>
      <c r="I74" s="252">
        <v>0</v>
      </c>
      <c r="J74" s="252">
        <v>0</v>
      </c>
      <c r="K74" s="252">
        <v>0</v>
      </c>
      <c r="L74" s="248">
        <v>0</v>
      </c>
      <c r="M74" s="252">
        <v>0</v>
      </c>
      <c r="N74" s="248">
        <v>0</v>
      </c>
      <c r="O74" s="248">
        <v>0</v>
      </c>
      <c r="P74" s="252">
        <v>0</v>
      </c>
      <c r="Q74" s="252">
        <v>0</v>
      </c>
      <c r="R74" s="248">
        <v>0</v>
      </c>
      <c r="S74" s="248">
        <v>0</v>
      </c>
      <c r="T74" s="248">
        <v>0</v>
      </c>
      <c r="U74" s="252">
        <v>0</v>
      </c>
      <c r="V74" s="252">
        <v>0</v>
      </c>
      <c r="W74" s="248">
        <v>0</v>
      </c>
      <c r="X74" s="248">
        <v>0</v>
      </c>
      <c r="Y74" s="248">
        <v>0</v>
      </c>
      <c r="Z74" s="248">
        <v>0</v>
      </c>
      <c r="AA74" s="248">
        <v>0</v>
      </c>
      <c r="AB74" s="252">
        <v>0</v>
      </c>
      <c r="AC74" s="252">
        <v>0</v>
      </c>
      <c r="AD74" s="252">
        <v>0</v>
      </c>
      <c r="AE74" s="252">
        <v>0</v>
      </c>
      <c r="AF74" s="252">
        <v>0</v>
      </c>
      <c r="AG74" s="252">
        <v>0</v>
      </c>
      <c r="AH74" s="252">
        <v>0</v>
      </c>
      <c r="AI74" s="252">
        <v>0</v>
      </c>
      <c r="AJ74" s="248">
        <v>0</v>
      </c>
      <c r="AK74" s="252">
        <v>0</v>
      </c>
      <c r="AL74" s="252">
        <v>0</v>
      </c>
      <c r="AM74" s="252">
        <v>0</v>
      </c>
      <c r="AN74" s="252">
        <v>0</v>
      </c>
      <c r="AO74" s="252">
        <v>0</v>
      </c>
      <c r="AP74" s="252">
        <v>0</v>
      </c>
      <c r="AQ74" s="252">
        <v>0</v>
      </c>
      <c r="AR74" s="252">
        <v>0</v>
      </c>
      <c r="AS74" s="248">
        <v>0</v>
      </c>
      <c r="AT74" s="252">
        <v>0</v>
      </c>
      <c r="AU74" s="252">
        <v>0</v>
      </c>
      <c r="AV74" s="248">
        <v>0</v>
      </c>
      <c r="AW74" s="252">
        <v>0</v>
      </c>
      <c r="AX74" s="252">
        <v>0</v>
      </c>
      <c r="AY74" s="252">
        <v>0</v>
      </c>
      <c r="AZ74" s="252">
        <v>0</v>
      </c>
      <c r="BA74" s="249">
        <v>0</v>
      </c>
      <c r="BB74" s="249">
        <v>0</v>
      </c>
      <c r="BC74" s="249">
        <v>0</v>
      </c>
      <c r="BD74" s="249">
        <v>0</v>
      </c>
      <c r="BE74" s="249">
        <v>0</v>
      </c>
      <c r="BF74" s="248">
        <v>0</v>
      </c>
      <c r="BG74" s="248">
        <v>0</v>
      </c>
      <c r="BH74" s="249">
        <v>0</v>
      </c>
      <c r="BI74" s="248">
        <v>0</v>
      </c>
      <c r="BJ74" s="248">
        <v>0</v>
      </c>
      <c r="BK74" s="248">
        <v>0</v>
      </c>
      <c r="BL74" s="248">
        <v>0</v>
      </c>
      <c r="BM74" s="248">
        <v>0</v>
      </c>
      <c r="BN74" s="248">
        <v>0</v>
      </c>
      <c r="BO74" s="248">
        <v>0</v>
      </c>
      <c r="BP74" s="248">
        <v>0</v>
      </c>
      <c r="BQ74" s="248">
        <v>0</v>
      </c>
      <c r="BR74" s="248">
        <v>0</v>
      </c>
      <c r="BS74" s="248">
        <v>0</v>
      </c>
      <c r="BT74" s="248">
        <v>0</v>
      </c>
      <c r="BU74" s="248">
        <v>0</v>
      </c>
      <c r="BV74" s="248">
        <v>0</v>
      </c>
      <c r="BW74" s="248">
        <v>0</v>
      </c>
      <c r="BX74" s="248">
        <v>0</v>
      </c>
      <c r="BY74" s="248">
        <v>0</v>
      </c>
      <c r="BZ74" s="248">
        <v>0</v>
      </c>
      <c r="CA74" s="248">
        <v>0</v>
      </c>
      <c r="CB74" s="248">
        <v>0</v>
      </c>
      <c r="CC74" s="248">
        <v>0</v>
      </c>
      <c r="CD74" s="248">
        <v>0</v>
      </c>
      <c r="CE74" s="248">
        <v>0</v>
      </c>
      <c r="CF74" s="248">
        <v>0</v>
      </c>
      <c r="CG74" s="248">
        <v>0</v>
      </c>
      <c r="CH74" s="248">
        <v>0</v>
      </c>
      <c r="CI74" s="248">
        <v>0</v>
      </c>
      <c r="CJ74" s="248">
        <v>0</v>
      </c>
      <c r="CK74" s="248">
        <v>0</v>
      </c>
      <c r="CL74" s="248">
        <v>0</v>
      </c>
      <c r="CM74" s="248">
        <v>0</v>
      </c>
      <c r="CN74" s="248">
        <v>0</v>
      </c>
      <c r="CO74" s="248">
        <v>0</v>
      </c>
      <c r="CP74" s="248">
        <v>0</v>
      </c>
      <c r="CQ74" s="248">
        <v>0</v>
      </c>
      <c r="CR74" s="248">
        <v>0</v>
      </c>
      <c r="CS74" s="248">
        <v>0</v>
      </c>
      <c r="CT74" s="248">
        <v>0</v>
      </c>
      <c r="CU74" s="248">
        <v>0</v>
      </c>
      <c r="CV74" s="248">
        <v>0</v>
      </c>
      <c r="CW74" s="248">
        <v>0</v>
      </c>
      <c r="CX74" s="248">
        <v>0</v>
      </c>
      <c r="CY74" s="248">
        <v>0</v>
      </c>
      <c r="CZ74" s="248">
        <v>0</v>
      </c>
      <c r="DA74" s="248">
        <v>0</v>
      </c>
      <c r="DB74" s="248">
        <v>0</v>
      </c>
      <c r="DC74" s="248">
        <v>0</v>
      </c>
      <c r="DD74" s="248">
        <v>0</v>
      </c>
      <c r="DE74" s="248">
        <v>0</v>
      </c>
      <c r="DF74" s="248">
        <v>0</v>
      </c>
      <c r="DG74" s="248">
        <v>0</v>
      </c>
      <c r="DH74" s="248">
        <v>0</v>
      </c>
      <c r="DI74" s="248">
        <v>0</v>
      </c>
      <c r="DJ74" s="248">
        <v>0</v>
      </c>
      <c r="DK74" s="248">
        <v>0</v>
      </c>
      <c r="DL74" s="248">
        <v>0</v>
      </c>
      <c r="DM74" s="248">
        <v>0</v>
      </c>
      <c r="DN74" s="248">
        <v>0</v>
      </c>
      <c r="DO74" s="248">
        <v>0</v>
      </c>
      <c r="DP74" s="248">
        <v>0</v>
      </c>
      <c r="DQ74" s="248">
        <v>0</v>
      </c>
      <c r="DR74" s="248">
        <v>0</v>
      </c>
      <c r="DS74" s="248">
        <v>0</v>
      </c>
      <c r="DT74" s="248">
        <v>0</v>
      </c>
      <c r="DU74" s="248">
        <v>0</v>
      </c>
      <c r="DV74" s="248">
        <v>0</v>
      </c>
      <c r="DW74" s="248">
        <v>0</v>
      </c>
      <c r="DX74" s="248">
        <v>0</v>
      </c>
      <c r="DY74" s="248">
        <v>0</v>
      </c>
      <c r="DZ74" s="248">
        <v>0</v>
      </c>
      <c r="EA74" s="248">
        <v>0</v>
      </c>
      <c r="EB74" s="248">
        <v>0</v>
      </c>
    </row>
    <row r="75" spans="2:132" ht="14.5" x14ac:dyDescent="0.35">
      <c r="B75" s="198">
        <v>20</v>
      </c>
      <c r="C75" s="252">
        <v>0</v>
      </c>
      <c r="D75" s="248">
        <v>1.1318151258124798E-3</v>
      </c>
      <c r="E75" s="252">
        <v>0</v>
      </c>
      <c r="F75" s="252">
        <v>0</v>
      </c>
      <c r="G75" s="252">
        <v>0</v>
      </c>
      <c r="H75" s="252">
        <v>0</v>
      </c>
      <c r="I75" s="252">
        <v>0</v>
      </c>
      <c r="J75" s="252">
        <v>0</v>
      </c>
      <c r="K75" s="252">
        <v>0</v>
      </c>
      <c r="L75" s="248">
        <v>1.1318151258124798E-3</v>
      </c>
      <c r="M75" s="252">
        <v>3.7969147688698968E-4</v>
      </c>
      <c r="N75" s="248">
        <v>0</v>
      </c>
      <c r="O75" s="248">
        <v>0</v>
      </c>
      <c r="P75" s="252">
        <v>0</v>
      </c>
      <c r="Q75" s="252">
        <v>3.7969147688698968E-4</v>
      </c>
      <c r="R75" s="248">
        <v>1.1318151258124798E-3</v>
      </c>
      <c r="S75" s="248">
        <v>0</v>
      </c>
      <c r="T75" s="248">
        <v>0</v>
      </c>
      <c r="U75" s="252">
        <v>3.7969147688698968E-4</v>
      </c>
      <c r="V75" s="252">
        <v>3.7969147688698968E-4</v>
      </c>
      <c r="W75" s="248">
        <v>1.1318151258124798E-3</v>
      </c>
      <c r="X75" s="248">
        <v>0</v>
      </c>
      <c r="Y75" s="248">
        <v>0</v>
      </c>
      <c r="Z75" s="248">
        <v>0</v>
      </c>
      <c r="AA75" s="248">
        <v>0</v>
      </c>
      <c r="AB75" s="252">
        <v>0</v>
      </c>
      <c r="AC75" s="252">
        <v>0</v>
      </c>
      <c r="AD75" s="252">
        <v>0</v>
      </c>
      <c r="AE75" s="252">
        <v>3.7969147688698968E-4</v>
      </c>
      <c r="AF75" s="252">
        <v>0</v>
      </c>
      <c r="AG75" s="252">
        <v>0</v>
      </c>
      <c r="AH75" s="252">
        <v>0</v>
      </c>
      <c r="AI75" s="252">
        <v>0</v>
      </c>
      <c r="AJ75" s="248">
        <v>0</v>
      </c>
      <c r="AK75" s="252">
        <v>0</v>
      </c>
      <c r="AL75" s="252">
        <v>0</v>
      </c>
      <c r="AM75" s="252">
        <v>0</v>
      </c>
      <c r="AN75" s="252">
        <v>3.7969147688698968E-4</v>
      </c>
      <c r="AO75" s="252">
        <v>0</v>
      </c>
      <c r="AP75" s="252">
        <v>0</v>
      </c>
      <c r="AQ75" s="252">
        <v>0</v>
      </c>
      <c r="AR75" s="252">
        <v>0</v>
      </c>
      <c r="AS75" s="248">
        <v>0</v>
      </c>
      <c r="AT75" s="252">
        <v>0</v>
      </c>
      <c r="AU75" s="252">
        <v>3.7969147688698968E-4</v>
      </c>
      <c r="AV75" s="248">
        <v>0</v>
      </c>
      <c r="AW75" s="252">
        <v>0</v>
      </c>
      <c r="AX75" s="252">
        <v>0</v>
      </c>
      <c r="AY75" s="252">
        <v>0</v>
      </c>
      <c r="AZ75" s="252">
        <v>3.7969147688698968E-4</v>
      </c>
      <c r="BA75" s="249">
        <v>0</v>
      </c>
      <c r="BB75" s="249">
        <v>0</v>
      </c>
      <c r="BC75" s="249">
        <v>0</v>
      </c>
      <c r="BD75" s="249">
        <v>0</v>
      </c>
      <c r="BE75" s="249">
        <v>0</v>
      </c>
      <c r="BF75" s="248">
        <v>0</v>
      </c>
      <c r="BG75" s="248">
        <v>0</v>
      </c>
      <c r="BH75" s="249">
        <v>0</v>
      </c>
      <c r="BI75" s="248">
        <v>0</v>
      </c>
      <c r="BJ75" s="248">
        <v>0</v>
      </c>
      <c r="BK75" s="248">
        <v>0</v>
      </c>
      <c r="BL75" s="248">
        <v>0</v>
      </c>
      <c r="BM75" s="248">
        <v>0</v>
      </c>
      <c r="BN75" s="248">
        <v>1.1318151258124798E-3</v>
      </c>
      <c r="BO75" s="248">
        <v>1.1318151258124798E-3</v>
      </c>
      <c r="BP75" s="248">
        <v>1.1318151258124798E-3</v>
      </c>
      <c r="BQ75" s="248">
        <v>0</v>
      </c>
      <c r="BR75" s="248">
        <v>3.7969147688698968E-4</v>
      </c>
      <c r="BS75" s="248">
        <v>0</v>
      </c>
      <c r="BT75" s="248">
        <v>3.7969147688698968E-4</v>
      </c>
      <c r="BU75" s="248">
        <v>0</v>
      </c>
      <c r="BV75" s="248">
        <v>0</v>
      </c>
      <c r="BW75" s="248">
        <v>0</v>
      </c>
      <c r="BX75" s="248">
        <v>0</v>
      </c>
      <c r="BY75" s="248">
        <v>0</v>
      </c>
      <c r="BZ75" s="248">
        <v>0</v>
      </c>
      <c r="CA75" s="248">
        <v>0</v>
      </c>
      <c r="CB75" s="248">
        <v>0</v>
      </c>
      <c r="CC75" s="248">
        <v>0</v>
      </c>
      <c r="CD75" s="248">
        <v>0</v>
      </c>
      <c r="CE75" s="248">
        <v>0</v>
      </c>
      <c r="CF75" s="248">
        <v>0</v>
      </c>
      <c r="CG75" s="248">
        <v>0</v>
      </c>
      <c r="CH75" s="248">
        <v>1.1318151258124798E-3</v>
      </c>
      <c r="CI75" s="248">
        <v>1.1318151258124798E-3</v>
      </c>
      <c r="CJ75" s="248">
        <v>1.1318151258124798E-3</v>
      </c>
      <c r="CK75" s="248">
        <v>0</v>
      </c>
      <c r="CL75" s="248">
        <v>3.7969147688698968E-4</v>
      </c>
      <c r="CM75" s="248">
        <v>0</v>
      </c>
      <c r="CN75" s="248">
        <v>3.7969147688698968E-4</v>
      </c>
      <c r="CO75" s="248">
        <v>0</v>
      </c>
      <c r="CP75" s="248">
        <v>0</v>
      </c>
      <c r="CQ75" s="248">
        <v>0</v>
      </c>
      <c r="CR75" s="248">
        <v>0</v>
      </c>
      <c r="CS75" s="248">
        <v>0</v>
      </c>
      <c r="CT75" s="248">
        <v>0</v>
      </c>
      <c r="CU75" s="248">
        <v>0</v>
      </c>
      <c r="CV75" s="248">
        <v>0</v>
      </c>
      <c r="CW75" s="248">
        <v>0</v>
      </c>
      <c r="CX75" s="248">
        <v>1.1318151258124798E-3</v>
      </c>
      <c r="CY75" s="248">
        <v>1.1318151258124798E-3</v>
      </c>
      <c r="CZ75" s="248">
        <v>1.1318151258124798E-3</v>
      </c>
      <c r="DA75" s="248">
        <v>0</v>
      </c>
      <c r="DB75" s="248">
        <v>3.7969147688698968E-4</v>
      </c>
      <c r="DC75" s="248">
        <v>0</v>
      </c>
      <c r="DD75" s="248">
        <v>3.7969147688698968E-4</v>
      </c>
      <c r="DE75" s="248">
        <v>0</v>
      </c>
      <c r="DF75" s="248">
        <v>0</v>
      </c>
      <c r="DG75" s="248">
        <v>0</v>
      </c>
      <c r="DH75" s="248">
        <v>0</v>
      </c>
      <c r="DI75" s="248">
        <v>0</v>
      </c>
      <c r="DJ75" s="248">
        <v>0</v>
      </c>
      <c r="DK75" s="248">
        <v>0</v>
      </c>
      <c r="DL75" s="248">
        <v>0</v>
      </c>
      <c r="DM75" s="248">
        <v>0</v>
      </c>
      <c r="DN75" s="248">
        <v>0</v>
      </c>
      <c r="DO75" s="248">
        <v>0</v>
      </c>
      <c r="DP75" s="248">
        <v>0</v>
      </c>
      <c r="DQ75" s="248">
        <v>0</v>
      </c>
      <c r="DR75" s="248">
        <v>0</v>
      </c>
      <c r="DS75" s="248">
        <v>0</v>
      </c>
      <c r="DT75" s="248">
        <v>0</v>
      </c>
      <c r="DU75" s="248">
        <v>0</v>
      </c>
      <c r="DV75" s="248">
        <v>0</v>
      </c>
      <c r="DW75" s="248">
        <v>0</v>
      </c>
      <c r="DX75" s="248">
        <v>0</v>
      </c>
      <c r="DY75" s="248">
        <v>0</v>
      </c>
      <c r="DZ75" s="248">
        <v>0</v>
      </c>
      <c r="EA75" s="248">
        <v>0</v>
      </c>
      <c r="EB75" s="248">
        <v>0</v>
      </c>
    </row>
    <row r="76" spans="2:132" ht="14.5" x14ac:dyDescent="0.35">
      <c r="B76" s="198">
        <v>21</v>
      </c>
      <c r="C76" s="252">
        <f>C75</f>
        <v>0</v>
      </c>
      <c r="D76" s="248">
        <v>0</v>
      </c>
      <c r="E76" s="252">
        <f>E75</f>
        <v>0</v>
      </c>
      <c r="F76" s="252">
        <f>F75</f>
        <v>0</v>
      </c>
      <c r="G76" s="252">
        <f>G75</f>
        <v>0</v>
      </c>
      <c r="H76" s="252">
        <f>H75</f>
        <v>0</v>
      </c>
      <c r="I76" s="252">
        <f t="shared" ref="I76:K91" si="2">I75</f>
        <v>0</v>
      </c>
      <c r="J76" s="252">
        <f t="shared" si="2"/>
        <v>0</v>
      </c>
      <c r="K76" s="252">
        <f t="shared" si="2"/>
        <v>0</v>
      </c>
      <c r="L76" s="248">
        <v>0</v>
      </c>
      <c r="M76" s="252">
        <f t="shared" ref="M76" si="3">M75</f>
        <v>3.7969147688698968E-4</v>
      </c>
      <c r="N76" s="248">
        <v>0</v>
      </c>
      <c r="O76" s="248">
        <v>0</v>
      </c>
      <c r="P76" s="252">
        <f t="shared" ref="P76:Q96" si="4">P75</f>
        <v>0</v>
      </c>
      <c r="Q76" s="252">
        <f t="shared" si="4"/>
        <v>3.7969147688698968E-4</v>
      </c>
      <c r="R76" s="248">
        <v>0</v>
      </c>
      <c r="S76" s="248">
        <v>0</v>
      </c>
      <c r="T76" s="248">
        <v>0</v>
      </c>
      <c r="U76" s="252">
        <f t="shared" ref="U76:V76" si="5">U75</f>
        <v>3.7969147688698968E-4</v>
      </c>
      <c r="V76" s="252">
        <f t="shared" si="5"/>
        <v>3.7969147688698968E-4</v>
      </c>
      <c r="W76" s="248">
        <v>0</v>
      </c>
      <c r="X76" s="248">
        <v>0</v>
      </c>
      <c r="Y76" s="248">
        <v>0</v>
      </c>
      <c r="Z76" s="248">
        <v>0</v>
      </c>
      <c r="AA76" s="248">
        <v>0</v>
      </c>
      <c r="AB76" s="252">
        <f t="shared" ref="AB76:AD76" si="6">AB75</f>
        <v>0</v>
      </c>
      <c r="AC76" s="252">
        <f t="shared" si="6"/>
        <v>0</v>
      </c>
      <c r="AD76" s="252">
        <f t="shared" si="6"/>
        <v>0</v>
      </c>
      <c r="AE76" s="252">
        <f t="shared" ref="AE76:AI76" si="7">AE75</f>
        <v>3.7969147688698968E-4</v>
      </c>
      <c r="AF76" s="252">
        <f t="shared" si="7"/>
        <v>0</v>
      </c>
      <c r="AG76" s="252">
        <f t="shared" si="7"/>
        <v>0</v>
      </c>
      <c r="AH76" s="252">
        <f t="shared" si="7"/>
        <v>0</v>
      </c>
      <c r="AI76" s="252">
        <f t="shared" si="7"/>
        <v>0</v>
      </c>
      <c r="AJ76" s="248">
        <v>0</v>
      </c>
      <c r="AK76" s="252">
        <f t="shared" ref="AK76:AM76" si="8">AK75</f>
        <v>0</v>
      </c>
      <c r="AL76" s="252">
        <f t="shared" si="8"/>
        <v>0</v>
      </c>
      <c r="AM76" s="252">
        <f t="shared" si="8"/>
        <v>0</v>
      </c>
      <c r="AN76" s="252">
        <f t="shared" ref="AN76:AR76" si="9">AN75</f>
        <v>3.7969147688698968E-4</v>
      </c>
      <c r="AO76" s="252">
        <f t="shared" si="9"/>
        <v>0</v>
      </c>
      <c r="AP76" s="252">
        <f t="shared" si="9"/>
        <v>0</v>
      </c>
      <c r="AQ76" s="252">
        <f t="shared" si="9"/>
        <v>0</v>
      </c>
      <c r="AR76" s="252">
        <f t="shared" si="9"/>
        <v>0</v>
      </c>
      <c r="AS76" s="248">
        <v>0</v>
      </c>
      <c r="AT76" s="252">
        <f>AT75</f>
        <v>0</v>
      </c>
      <c r="AU76" s="252">
        <f t="shared" ref="AU76" si="10">AU75</f>
        <v>3.7969147688698968E-4</v>
      </c>
      <c r="AV76" s="248">
        <v>0</v>
      </c>
      <c r="AW76" s="252">
        <v>0</v>
      </c>
      <c r="AX76" s="252">
        <v>0</v>
      </c>
      <c r="AY76" s="252">
        <v>0</v>
      </c>
      <c r="AZ76" s="252">
        <f t="shared" ref="AZ76:AZ96" si="11">AZ75</f>
        <v>3.7969147688698968E-4</v>
      </c>
      <c r="BA76" s="249">
        <v>0</v>
      </c>
      <c r="BB76" s="249">
        <v>0</v>
      </c>
      <c r="BC76" s="249">
        <v>0</v>
      </c>
      <c r="BD76" s="249">
        <v>0</v>
      </c>
      <c r="BE76" s="249">
        <v>0</v>
      </c>
      <c r="BF76" s="248">
        <v>0</v>
      </c>
      <c r="BG76" s="248">
        <v>0</v>
      </c>
      <c r="BH76" s="249">
        <v>0</v>
      </c>
      <c r="BI76" s="248">
        <v>0</v>
      </c>
      <c r="BJ76" s="248">
        <v>0</v>
      </c>
      <c r="BK76" s="248">
        <v>0</v>
      </c>
      <c r="BL76" s="248">
        <v>0</v>
      </c>
      <c r="BM76" s="248">
        <v>0</v>
      </c>
      <c r="BN76" s="248">
        <v>0</v>
      </c>
      <c r="BO76" s="248">
        <v>0</v>
      </c>
      <c r="BP76" s="248">
        <v>0</v>
      </c>
      <c r="BQ76" s="248">
        <v>0</v>
      </c>
      <c r="BR76" s="248">
        <v>0</v>
      </c>
      <c r="BS76" s="248">
        <v>0</v>
      </c>
      <c r="BT76" s="248">
        <v>0</v>
      </c>
      <c r="BU76" s="248">
        <v>0</v>
      </c>
      <c r="BV76" s="248">
        <v>0</v>
      </c>
      <c r="BW76" s="248">
        <v>0</v>
      </c>
      <c r="BX76" s="248">
        <v>0</v>
      </c>
      <c r="BY76" s="248">
        <v>0</v>
      </c>
      <c r="BZ76" s="248">
        <v>0</v>
      </c>
      <c r="CA76" s="248">
        <v>0</v>
      </c>
      <c r="CB76" s="248">
        <v>0</v>
      </c>
      <c r="CC76" s="248">
        <v>0</v>
      </c>
      <c r="CD76" s="248">
        <v>0</v>
      </c>
      <c r="CE76" s="248">
        <v>0</v>
      </c>
      <c r="CF76" s="248">
        <v>0</v>
      </c>
      <c r="CG76" s="248">
        <v>0</v>
      </c>
      <c r="CH76" s="248">
        <v>0</v>
      </c>
      <c r="CI76" s="248">
        <v>0</v>
      </c>
      <c r="CJ76" s="248">
        <v>0</v>
      </c>
      <c r="CK76" s="248">
        <v>0</v>
      </c>
      <c r="CL76" s="248">
        <v>0</v>
      </c>
      <c r="CM76" s="248">
        <v>0</v>
      </c>
      <c r="CN76" s="248">
        <v>0</v>
      </c>
      <c r="CO76" s="248">
        <v>0</v>
      </c>
      <c r="CP76" s="248">
        <v>0</v>
      </c>
      <c r="CQ76" s="248">
        <v>0</v>
      </c>
      <c r="CR76" s="248">
        <v>0</v>
      </c>
      <c r="CS76" s="248">
        <v>0</v>
      </c>
      <c r="CT76" s="248">
        <v>0</v>
      </c>
      <c r="CU76" s="248">
        <v>0</v>
      </c>
      <c r="CV76" s="248">
        <v>0</v>
      </c>
      <c r="CW76" s="248">
        <v>0</v>
      </c>
      <c r="CX76" s="248">
        <v>0</v>
      </c>
      <c r="CY76" s="248">
        <v>0</v>
      </c>
      <c r="CZ76" s="248">
        <v>0</v>
      </c>
      <c r="DA76" s="248">
        <v>0</v>
      </c>
      <c r="DB76" s="248">
        <v>0</v>
      </c>
      <c r="DC76" s="248">
        <v>0</v>
      </c>
      <c r="DD76" s="248">
        <v>0</v>
      </c>
      <c r="DE76" s="248">
        <v>0</v>
      </c>
      <c r="DF76" s="248">
        <v>0</v>
      </c>
      <c r="DG76" s="248">
        <v>0</v>
      </c>
      <c r="DH76" s="248">
        <v>0</v>
      </c>
      <c r="DI76" s="248">
        <v>0</v>
      </c>
      <c r="DJ76" s="248">
        <v>0</v>
      </c>
      <c r="DK76" s="248">
        <v>0</v>
      </c>
      <c r="DL76" s="248">
        <v>0</v>
      </c>
      <c r="DM76" s="248">
        <v>0</v>
      </c>
      <c r="DN76" s="248">
        <v>0</v>
      </c>
      <c r="DO76" s="248">
        <v>0</v>
      </c>
      <c r="DP76" s="248">
        <v>0</v>
      </c>
      <c r="DQ76" s="248">
        <v>0</v>
      </c>
      <c r="DR76" s="248">
        <v>0</v>
      </c>
      <c r="DS76" s="248">
        <v>0</v>
      </c>
      <c r="DT76" s="248">
        <v>0</v>
      </c>
      <c r="DU76" s="248">
        <v>0</v>
      </c>
      <c r="DV76" s="248">
        <v>0</v>
      </c>
      <c r="DW76" s="248">
        <v>0</v>
      </c>
      <c r="DX76" s="248">
        <v>0</v>
      </c>
      <c r="DY76" s="248">
        <v>0</v>
      </c>
      <c r="DZ76" s="248">
        <v>0</v>
      </c>
      <c r="EA76" s="248">
        <v>0</v>
      </c>
      <c r="EB76" s="248">
        <v>0</v>
      </c>
    </row>
    <row r="77" spans="2:132" ht="14.5" x14ac:dyDescent="0.35">
      <c r="B77" s="198">
        <v>22</v>
      </c>
      <c r="C77" s="252">
        <f t="shared" ref="C77:C96" si="12">C76</f>
        <v>0</v>
      </c>
      <c r="D77" s="248">
        <v>0</v>
      </c>
      <c r="E77" s="252">
        <f t="shared" ref="E77:E96" si="13">E76</f>
        <v>0</v>
      </c>
      <c r="F77" s="252">
        <f t="shared" ref="F77:H95" si="14">F76</f>
        <v>0</v>
      </c>
      <c r="G77" s="252">
        <f t="shared" si="14"/>
        <v>0</v>
      </c>
      <c r="H77" s="252">
        <f t="shared" si="14"/>
        <v>0</v>
      </c>
      <c r="I77" s="252">
        <f t="shared" si="2"/>
        <v>0</v>
      </c>
      <c r="J77" s="252">
        <f t="shared" si="2"/>
        <v>0</v>
      </c>
      <c r="K77" s="252">
        <f t="shared" si="2"/>
        <v>0</v>
      </c>
      <c r="L77" s="248">
        <v>0</v>
      </c>
      <c r="M77" s="252">
        <f t="shared" ref="M77" si="15">M76</f>
        <v>3.7969147688698968E-4</v>
      </c>
      <c r="N77" s="248">
        <v>0</v>
      </c>
      <c r="O77" s="248">
        <v>0</v>
      </c>
      <c r="P77" s="252">
        <f t="shared" si="4"/>
        <v>0</v>
      </c>
      <c r="Q77" s="252">
        <f t="shared" si="4"/>
        <v>3.7969147688698968E-4</v>
      </c>
      <c r="R77" s="248">
        <v>0</v>
      </c>
      <c r="S77" s="248">
        <v>0</v>
      </c>
      <c r="T77" s="248">
        <v>0</v>
      </c>
      <c r="U77" s="252">
        <f t="shared" ref="U77:V77" si="16">U76</f>
        <v>3.7969147688698968E-4</v>
      </c>
      <c r="V77" s="252">
        <f t="shared" si="16"/>
        <v>3.7969147688698968E-4</v>
      </c>
      <c r="W77" s="248">
        <v>0</v>
      </c>
      <c r="X77" s="248">
        <v>0</v>
      </c>
      <c r="Y77" s="248">
        <v>0</v>
      </c>
      <c r="Z77" s="248">
        <v>0</v>
      </c>
      <c r="AA77" s="248">
        <v>0</v>
      </c>
      <c r="AB77" s="252">
        <f t="shared" ref="AB77:AD77" si="17">AB76</f>
        <v>0</v>
      </c>
      <c r="AC77" s="252">
        <f t="shared" si="17"/>
        <v>0</v>
      </c>
      <c r="AD77" s="252">
        <f t="shared" si="17"/>
        <v>0</v>
      </c>
      <c r="AE77" s="252">
        <f t="shared" ref="AE77:AI77" si="18">AE76</f>
        <v>3.7969147688698968E-4</v>
      </c>
      <c r="AF77" s="252">
        <f t="shared" si="18"/>
        <v>0</v>
      </c>
      <c r="AG77" s="252">
        <f t="shared" si="18"/>
        <v>0</v>
      </c>
      <c r="AH77" s="252">
        <f t="shared" si="18"/>
        <v>0</v>
      </c>
      <c r="AI77" s="252">
        <f t="shared" si="18"/>
        <v>0</v>
      </c>
      <c r="AJ77" s="248">
        <v>0</v>
      </c>
      <c r="AK77" s="252">
        <f t="shared" ref="AK77:AM77" si="19">AK76</f>
        <v>0</v>
      </c>
      <c r="AL77" s="252">
        <f t="shared" si="19"/>
        <v>0</v>
      </c>
      <c r="AM77" s="252">
        <f t="shared" si="19"/>
        <v>0</v>
      </c>
      <c r="AN77" s="252">
        <f t="shared" ref="AN77:AR77" si="20">AN76</f>
        <v>3.7969147688698968E-4</v>
      </c>
      <c r="AO77" s="252">
        <f t="shared" si="20"/>
        <v>0</v>
      </c>
      <c r="AP77" s="252">
        <f t="shared" si="20"/>
        <v>0</v>
      </c>
      <c r="AQ77" s="252">
        <f t="shared" si="20"/>
        <v>0</v>
      </c>
      <c r="AR77" s="252">
        <f t="shared" si="20"/>
        <v>0</v>
      </c>
      <c r="AS77" s="248">
        <v>0</v>
      </c>
      <c r="AT77" s="252">
        <f t="shared" ref="AT77:AU96" si="21">AT76</f>
        <v>0</v>
      </c>
      <c r="AU77" s="252">
        <f t="shared" si="21"/>
        <v>3.7969147688698968E-4</v>
      </c>
      <c r="AV77" s="248">
        <v>0</v>
      </c>
      <c r="AW77" s="252">
        <v>0</v>
      </c>
      <c r="AX77" s="252">
        <v>0</v>
      </c>
      <c r="AY77" s="252">
        <v>0</v>
      </c>
      <c r="AZ77" s="252">
        <f t="shared" si="11"/>
        <v>3.7969147688698968E-4</v>
      </c>
      <c r="BA77" s="249">
        <v>0</v>
      </c>
      <c r="BB77" s="249">
        <v>0</v>
      </c>
      <c r="BC77" s="249">
        <v>0</v>
      </c>
      <c r="BD77" s="249">
        <v>0</v>
      </c>
      <c r="BE77" s="249">
        <v>0</v>
      </c>
      <c r="BF77" s="248">
        <v>0</v>
      </c>
      <c r="BG77" s="248">
        <v>0</v>
      </c>
      <c r="BH77" s="249">
        <v>0</v>
      </c>
      <c r="BI77" s="248">
        <v>0</v>
      </c>
      <c r="BJ77" s="248">
        <v>0</v>
      </c>
      <c r="BK77" s="248">
        <v>0</v>
      </c>
      <c r="BL77" s="248">
        <v>0</v>
      </c>
      <c r="BM77" s="248">
        <v>0</v>
      </c>
      <c r="BN77" s="248">
        <v>0</v>
      </c>
      <c r="BO77" s="248">
        <v>0</v>
      </c>
      <c r="BP77" s="248">
        <v>0</v>
      </c>
      <c r="BQ77" s="248">
        <v>0</v>
      </c>
      <c r="BR77" s="248">
        <v>0</v>
      </c>
      <c r="BS77" s="248">
        <v>0</v>
      </c>
      <c r="BT77" s="248">
        <v>0</v>
      </c>
      <c r="BU77" s="248">
        <v>0</v>
      </c>
      <c r="BV77" s="248">
        <v>0</v>
      </c>
      <c r="BW77" s="248">
        <v>0</v>
      </c>
      <c r="BX77" s="248">
        <v>0</v>
      </c>
      <c r="BY77" s="248">
        <v>0</v>
      </c>
      <c r="BZ77" s="248">
        <v>0</v>
      </c>
      <c r="CA77" s="248">
        <v>0</v>
      </c>
      <c r="CB77" s="248">
        <v>0</v>
      </c>
      <c r="CC77" s="248">
        <v>0</v>
      </c>
      <c r="CD77" s="248">
        <v>0</v>
      </c>
      <c r="CE77" s="248">
        <v>0</v>
      </c>
      <c r="CF77" s="248">
        <v>0</v>
      </c>
      <c r="CG77" s="248">
        <v>0</v>
      </c>
      <c r="CH77" s="248">
        <v>0</v>
      </c>
      <c r="CI77" s="248">
        <v>0</v>
      </c>
      <c r="CJ77" s="248">
        <v>0</v>
      </c>
      <c r="CK77" s="248">
        <v>0</v>
      </c>
      <c r="CL77" s="248">
        <v>0</v>
      </c>
      <c r="CM77" s="248">
        <v>0</v>
      </c>
      <c r="CN77" s="248">
        <v>0</v>
      </c>
      <c r="CO77" s="248">
        <v>0</v>
      </c>
      <c r="CP77" s="248">
        <v>0</v>
      </c>
      <c r="CQ77" s="248">
        <v>0</v>
      </c>
      <c r="CR77" s="248">
        <v>0</v>
      </c>
      <c r="CS77" s="248">
        <v>0</v>
      </c>
      <c r="CT77" s="248">
        <v>0</v>
      </c>
      <c r="CU77" s="248">
        <v>0</v>
      </c>
      <c r="CV77" s="248">
        <v>0</v>
      </c>
      <c r="CW77" s="248">
        <v>0</v>
      </c>
      <c r="CX77" s="248">
        <v>0</v>
      </c>
      <c r="CY77" s="248">
        <v>0</v>
      </c>
      <c r="CZ77" s="248">
        <v>0</v>
      </c>
      <c r="DA77" s="248">
        <v>0</v>
      </c>
      <c r="DB77" s="248">
        <v>0</v>
      </c>
      <c r="DC77" s="248">
        <v>0</v>
      </c>
      <c r="DD77" s="248">
        <v>0</v>
      </c>
      <c r="DE77" s="248">
        <v>0</v>
      </c>
      <c r="DF77" s="248">
        <v>0</v>
      </c>
      <c r="DG77" s="248">
        <v>0</v>
      </c>
      <c r="DH77" s="248">
        <v>0</v>
      </c>
      <c r="DI77" s="248">
        <v>0</v>
      </c>
      <c r="DJ77" s="248">
        <v>0</v>
      </c>
      <c r="DK77" s="248">
        <v>0</v>
      </c>
      <c r="DL77" s="248">
        <v>0</v>
      </c>
      <c r="DM77" s="248">
        <v>0</v>
      </c>
      <c r="DN77" s="248">
        <v>0</v>
      </c>
      <c r="DO77" s="248">
        <v>0</v>
      </c>
      <c r="DP77" s="248">
        <v>0</v>
      </c>
      <c r="DQ77" s="248">
        <v>0</v>
      </c>
      <c r="DR77" s="248">
        <v>0</v>
      </c>
      <c r="DS77" s="248">
        <v>0</v>
      </c>
      <c r="DT77" s="248">
        <v>0</v>
      </c>
      <c r="DU77" s="248">
        <v>0</v>
      </c>
      <c r="DV77" s="248">
        <v>0</v>
      </c>
      <c r="DW77" s="248">
        <v>0</v>
      </c>
      <c r="DX77" s="248">
        <v>0</v>
      </c>
      <c r="DY77" s="248">
        <v>0</v>
      </c>
      <c r="DZ77" s="248">
        <v>0</v>
      </c>
      <c r="EA77" s="248">
        <v>0</v>
      </c>
      <c r="EB77" s="248">
        <v>0</v>
      </c>
    </row>
    <row r="78" spans="2:132" ht="14.5" x14ac:dyDescent="0.35">
      <c r="B78" s="198">
        <v>23</v>
      </c>
      <c r="C78" s="252">
        <f t="shared" si="12"/>
        <v>0</v>
      </c>
      <c r="D78" s="248">
        <v>0</v>
      </c>
      <c r="E78" s="252">
        <f t="shared" si="13"/>
        <v>0</v>
      </c>
      <c r="F78" s="252">
        <f t="shared" si="14"/>
        <v>0</v>
      </c>
      <c r="G78" s="252">
        <f t="shared" si="14"/>
        <v>0</v>
      </c>
      <c r="H78" s="252">
        <f t="shared" si="14"/>
        <v>0</v>
      </c>
      <c r="I78" s="252">
        <f t="shared" si="2"/>
        <v>0</v>
      </c>
      <c r="J78" s="252">
        <f t="shared" si="2"/>
        <v>0</v>
      </c>
      <c r="K78" s="252">
        <f t="shared" si="2"/>
        <v>0</v>
      </c>
      <c r="L78" s="248">
        <v>0</v>
      </c>
      <c r="M78" s="252">
        <f t="shared" ref="M78" si="22">M77</f>
        <v>3.7969147688698968E-4</v>
      </c>
      <c r="N78" s="248">
        <v>0</v>
      </c>
      <c r="O78" s="248">
        <v>0</v>
      </c>
      <c r="P78" s="252">
        <f t="shared" si="4"/>
        <v>0</v>
      </c>
      <c r="Q78" s="252">
        <f t="shared" si="4"/>
        <v>3.7969147688698968E-4</v>
      </c>
      <c r="R78" s="248">
        <v>0</v>
      </c>
      <c r="S78" s="248">
        <v>0</v>
      </c>
      <c r="T78" s="248">
        <v>0</v>
      </c>
      <c r="U78" s="252">
        <f t="shared" ref="U78:V78" si="23">U77</f>
        <v>3.7969147688698968E-4</v>
      </c>
      <c r="V78" s="252">
        <f t="shared" si="23"/>
        <v>3.7969147688698968E-4</v>
      </c>
      <c r="W78" s="248">
        <v>0</v>
      </c>
      <c r="X78" s="248">
        <v>0</v>
      </c>
      <c r="Y78" s="248">
        <v>0</v>
      </c>
      <c r="Z78" s="248">
        <v>0</v>
      </c>
      <c r="AA78" s="248">
        <v>0</v>
      </c>
      <c r="AB78" s="252">
        <f t="shared" ref="AB78:AD78" si="24">AB77</f>
        <v>0</v>
      </c>
      <c r="AC78" s="252">
        <f t="shared" si="24"/>
        <v>0</v>
      </c>
      <c r="AD78" s="252">
        <f t="shared" si="24"/>
        <v>0</v>
      </c>
      <c r="AE78" s="252">
        <f t="shared" ref="AE78:AI78" si="25">AE77</f>
        <v>3.7969147688698968E-4</v>
      </c>
      <c r="AF78" s="252">
        <f t="shared" si="25"/>
        <v>0</v>
      </c>
      <c r="AG78" s="252">
        <f t="shared" si="25"/>
        <v>0</v>
      </c>
      <c r="AH78" s="252">
        <f t="shared" si="25"/>
        <v>0</v>
      </c>
      <c r="AI78" s="252">
        <f t="shared" si="25"/>
        <v>0</v>
      </c>
      <c r="AJ78" s="248">
        <v>0</v>
      </c>
      <c r="AK78" s="252">
        <f t="shared" ref="AK78:AM78" si="26">AK77</f>
        <v>0</v>
      </c>
      <c r="AL78" s="252">
        <f t="shared" si="26"/>
        <v>0</v>
      </c>
      <c r="AM78" s="252">
        <f t="shared" si="26"/>
        <v>0</v>
      </c>
      <c r="AN78" s="252">
        <f t="shared" ref="AN78:AR78" si="27">AN77</f>
        <v>3.7969147688698968E-4</v>
      </c>
      <c r="AO78" s="252">
        <f t="shared" si="27"/>
        <v>0</v>
      </c>
      <c r="AP78" s="252">
        <f t="shared" si="27"/>
        <v>0</v>
      </c>
      <c r="AQ78" s="252">
        <f t="shared" si="27"/>
        <v>0</v>
      </c>
      <c r="AR78" s="252">
        <f t="shared" si="27"/>
        <v>0</v>
      </c>
      <c r="AS78" s="248">
        <v>0</v>
      </c>
      <c r="AT78" s="252">
        <f t="shared" si="21"/>
        <v>0</v>
      </c>
      <c r="AU78" s="252">
        <f t="shared" si="21"/>
        <v>3.7969147688698968E-4</v>
      </c>
      <c r="AV78" s="248">
        <v>0</v>
      </c>
      <c r="AW78" s="252">
        <v>0</v>
      </c>
      <c r="AX78" s="252">
        <v>0</v>
      </c>
      <c r="AY78" s="252">
        <v>0</v>
      </c>
      <c r="AZ78" s="252">
        <f t="shared" si="11"/>
        <v>3.7969147688698968E-4</v>
      </c>
      <c r="BA78" s="249">
        <v>0</v>
      </c>
      <c r="BB78" s="249">
        <v>0</v>
      </c>
      <c r="BC78" s="249">
        <v>0</v>
      </c>
      <c r="BD78" s="249">
        <v>0</v>
      </c>
      <c r="BE78" s="249">
        <v>0</v>
      </c>
      <c r="BF78" s="248">
        <v>0</v>
      </c>
      <c r="BG78" s="248">
        <v>0</v>
      </c>
      <c r="BH78" s="249">
        <v>0</v>
      </c>
      <c r="BI78" s="248">
        <v>0</v>
      </c>
      <c r="BJ78" s="248">
        <v>0</v>
      </c>
      <c r="BK78" s="248">
        <v>0</v>
      </c>
      <c r="BL78" s="248">
        <v>0</v>
      </c>
      <c r="BM78" s="248">
        <v>0</v>
      </c>
      <c r="BN78" s="248">
        <v>0</v>
      </c>
      <c r="BO78" s="248">
        <v>0</v>
      </c>
      <c r="BP78" s="248">
        <v>0</v>
      </c>
      <c r="BQ78" s="248">
        <v>0</v>
      </c>
      <c r="BR78" s="248">
        <v>0</v>
      </c>
      <c r="BS78" s="248">
        <v>0</v>
      </c>
      <c r="BT78" s="248">
        <v>0</v>
      </c>
      <c r="BU78" s="248">
        <v>0</v>
      </c>
      <c r="BV78" s="248">
        <v>0</v>
      </c>
      <c r="BW78" s="248">
        <v>0</v>
      </c>
      <c r="BX78" s="248">
        <v>0</v>
      </c>
      <c r="BY78" s="248">
        <v>0</v>
      </c>
      <c r="BZ78" s="248">
        <v>0</v>
      </c>
      <c r="CA78" s="248">
        <v>0</v>
      </c>
      <c r="CB78" s="248">
        <v>0</v>
      </c>
      <c r="CC78" s="248">
        <v>0</v>
      </c>
      <c r="CD78" s="248">
        <v>0</v>
      </c>
      <c r="CE78" s="248">
        <v>0</v>
      </c>
      <c r="CF78" s="248">
        <v>0</v>
      </c>
      <c r="CG78" s="248">
        <v>0</v>
      </c>
      <c r="CH78" s="248">
        <v>0</v>
      </c>
      <c r="CI78" s="248">
        <v>0</v>
      </c>
      <c r="CJ78" s="248">
        <v>0</v>
      </c>
      <c r="CK78" s="248">
        <v>0</v>
      </c>
      <c r="CL78" s="248">
        <v>0</v>
      </c>
      <c r="CM78" s="248">
        <v>0</v>
      </c>
      <c r="CN78" s="248">
        <v>0</v>
      </c>
      <c r="CO78" s="248">
        <v>0</v>
      </c>
      <c r="CP78" s="248">
        <v>0</v>
      </c>
      <c r="CQ78" s="248">
        <v>0</v>
      </c>
      <c r="CR78" s="248">
        <v>0</v>
      </c>
      <c r="CS78" s="248">
        <v>0</v>
      </c>
      <c r="CT78" s="248">
        <v>0</v>
      </c>
      <c r="CU78" s="248">
        <v>0</v>
      </c>
      <c r="CV78" s="248">
        <v>0</v>
      </c>
      <c r="CW78" s="248">
        <v>0</v>
      </c>
      <c r="CX78" s="248">
        <v>0</v>
      </c>
      <c r="CY78" s="248">
        <v>0</v>
      </c>
      <c r="CZ78" s="248">
        <v>0</v>
      </c>
      <c r="DA78" s="248">
        <v>0</v>
      </c>
      <c r="DB78" s="248">
        <v>0</v>
      </c>
      <c r="DC78" s="248">
        <v>0</v>
      </c>
      <c r="DD78" s="248">
        <v>0</v>
      </c>
      <c r="DE78" s="248">
        <v>0</v>
      </c>
      <c r="DF78" s="248">
        <v>0</v>
      </c>
      <c r="DG78" s="248">
        <v>0</v>
      </c>
      <c r="DH78" s="248">
        <v>0</v>
      </c>
      <c r="DI78" s="248">
        <v>0</v>
      </c>
      <c r="DJ78" s="248">
        <v>0</v>
      </c>
      <c r="DK78" s="248">
        <v>0</v>
      </c>
      <c r="DL78" s="248">
        <v>0</v>
      </c>
      <c r="DM78" s="248">
        <v>0</v>
      </c>
      <c r="DN78" s="248">
        <v>0</v>
      </c>
      <c r="DO78" s="248">
        <v>0</v>
      </c>
      <c r="DP78" s="248">
        <v>0</v>
      </c>
      <c r="DQ78" s="248">
        <v>0</v>
      </c>
      <c r="DR78" s="248">
        <v>0</v>
      </c>
      <c r="DS78" s="248">
        <v>0</v>
      </c>
      <c r="DT78" s="248">
        <v>0</v>
      </c>
      <c r="DU78" s="248">
        <v>0</v>
      </c>
      <c r="DV78" s="248">
        <v>0</v>
      </c>
      <c r="DW78" s="248">
        <v>0</v>
      </c>
      <c r="DX78" s="248">
        <v>0</v>
      </c>
      <c r="DY78" s="248">
        <v>0</v>
      </c>
      <c r="DZ78" s="248">
        <v>0</v>
      </c>
      <c r="EA78" s="248">
        <v>0</v>
      </c>
      <c r="EB78" s="248">
        <v>0</v>
      </c>
    </row>
    <row r="79" spans="2:132" ht="17.5" customHeight="1" x14ac:dyDescent="0.35">
      <c r="B79" s="198">
        <v>24</v>
      </c>
      <c r="C79" s="252">
        <f t="shared" si="12"/>
        <v>0</v>
      </c>
      <c r="D79" s="248">
        <v>0</v>
      </c>
      <c r="E79" s="252">
        <f t="shared" si="13"/>
        <v>0</v>
      </c>
      <c r="F79" s="252">
        <f t="shared" si="14"/>
        <v>0</v>
      </c>
      <c r="G79" s="252">
        <f t="shared" si="14"/>
        <v>0</v>
      </c>
      <c r="H79" s="252">
        <f t="shared" si="14"/>
        <v>0</v>
      </c>
      <c r="I79" s="252">
        <f t="shared" si="2"/>
        <v>0</v>
      </c>
      <c r="J79" s="252">
        <f t="shared" si="2"/>
        <v>0</v>
      </c>
      <c r="K79" s="252">
        <f t="shared" si="2"/>
        <v>0</v>
      </c>
      <c r="L79" s="248">
        <v>0</v>
      </c>
      <c r="M79" s="252">
        <f t="shared" ref="M79" si="28">M78</f>
        <v>3.7969147688698968E-4</v>
      </c>
      <c r="N79" s="248">
        <v>0</v>
      </c>
      <c r="O79" s="248">
        <v>0</v>
      </c>
      <c r="P79" s="252">
        <f t="shared" si="4"/>
        <v>0</v>
      </c>
      <c r="Q79" s="252">
        <f t="shared" si="4"/>
        <v>3.7969147688698968E-4</v>
      </c>
      <c r="R79" s="248">
        <v>0</v>
      </c>
      <c r="S79" s="248">
        <v>0</v>
      </c>
      <c r="T79" s="248">
        <v>0</v>
      </c>
      <c r="U79" s="252">
        <f t="shared" ref="U79:V79" si="29">U78</f>
        <v>3.7969147688698968E-4</v>
      </c>
      <c r="V79" s="252">
        <f t="shared" si="29"/>
        <v>3.7969147688698968E-4</v>
      </c>
      <c r="W79" s="248">
        <v>0</v>
      </c>
      <c r="X79" s="248">
        <v>0</v>
      </c>
      <c r="Y79" s="248">
        <v>0</v>
      </c>
      <c r="Z79" s="248">
        <v>0</v>
      </c>
      <c r="AA79" s="248">
        <v>0</v>
      </c>
      <c r="AB79" s="252">
        <f t="shared" ref="AB79:AD79" si="30">AB78</f>
        <v>0</v>
      </c>
      <c r="AC79" s="252">
        <f t="shared" si="30"/>
        <v>0</v>
      </c>
      <c r="AD79" s="252">
        <f t="shared" si="30"/>
        <v>0</v>
      </c>
      <c r="AE79" s="252">
        <f t="shared" ref="AE79:AI79" si="31">AE78</f>
        <v>3.7969147688698968E-4</v>
      </c>
      <c r="AF79" s="252">
        <f t="shared" si="31"/>
        <v>0</v>
      </c>
      <c r="AG79" s="252">
        <f t="shared" si="31"/>
        <v>0</v>
      </c>
      <c r="AH79" s="252">
        <f t="shared" si="31"/>
        <v>0</v>
      </c>
      <c r="AI79" s="252">
        <f t="shared" si="31"/>
        <v>0</v>
      </c>
      <c r="AJ79" s="248">
        <v>0</v>
      </c>
      <c r="AK79" s="252">
        <f t="shared" ref="AK79:AM79" si="32">AK78</f>
        <v>0</v>
      </c>
      <c r="AL79" s="252">
        <f t="shared" si="32"/>
        <v>0</v>
      </c>
      <c r="AM79" s="252">
        <f t="shared" si="32"/>
        <v>0</v>
      </c>
      <c r="AN79" s="252">
        <f t="shared" ref="AN79:AR79" si="33">AN78</f>
        <v>3.7969147688698968E-4</v>
      </c>
      <c r="AO79" s="252">
        <f t="shared" si="33"/>
        <v>0</v>
      </c>
      <c r="AP79" s="252">
        <f t="shared" si="33"/>
        <v>0</v>
      </c>
      <c r="AQ79" s="252">
        <f t="shared" si="33"/>
        <v>0</v>
      </c>
      <c r="AR79" s="252">
        <f t="shared" si="33"/>
        <v>0</v>
      </c>
      <c r="AS79" s="248">
        <v>0</v>
      </c>
      <c r="AT79" s="252">
        <f t="shared" si="21"/>
        <v>0</v>
      </c>
      <c r="AU79" s="252">
        <f t="shared" si="21"/>
        <v>3.7969147688698968E-4</v>
      </c>
      <c r="AV79" s="248">
        <v>0</v>
      </c>
      <c r="AW79" s="252">
        <v>0</v>
      </c>
      <c r="AX79" s="252">
        <v>0</v>
      </c>
      <c r="AY79" s="252">
        <v>0</v>
      </c>
      <c r="AZ79" s="252">
        <f t="shared" si="11"/>
        <v>3.7969147688698968E-4</v>
      </c>
      <c r="BA79" s="249">
        <v>1E-4</v>
      </c>
      <c r="BB79" s="249">
        <v>1E-4</v>
      </c>
      <c r="BC79" s="249">
        <v>1E-4</v>
      </c>
      <c r="BD79" s="249">
        <v>0</v>
      </c>
      <c r="BE79" s="249">
        <v>1E-4</v>
      </c>
      <c r="BF79" s="248">
        <v>0</v>
      </c>
      <c r="BG79" s="248">
        <v>0</v>
      </c>
      <c r="BH79" s="249">
        <v>1E-4</v>
      </c>
      <c r="BI79" s="248">
        <v>0</v>
      </c>
      <c r="BJ79" s="248">
        <v>0</v>
      </c>
      <c r="BK79" s="248">
        <v>0</v>
      </c>
      <c r="BL79" s="248">
        <v>0</v>
      </c>
      <c r="BM79" s="248">
        <v>0</v>
      </c>
      <c r="BN79" s="248">
        <v>0</v>
      </c>
      <c r="BO79" s="248">
        <v>0</v>
      </c>
      <c r="BP79" s="248">
        <v>0</v>
      </c>
      <c r="BQ79" s="248">
        <v>0</v>
      </c>
      <c r="BR79" s="248">
        <v>0</v>
      </c>
      <c r="BS79" s="248">
        <v>0</v>
      </c>
      <c r="BT79" s="248">
        <v>0</v>
      </c>
      <c r="BU79" s="248">
        <v>0</v>
      </c>
      <c r="BV79" s="248">
        <v>0</v>
      </c>
      <c r="BW79" s="248">
        <v>0</v>
      </c>
      <c r="BX79" s="248">
        <v>0</v>
      </c>
      <c r="BY79" s="248">
        <v>0</v>
      </c>
      <c r="BZ79" s="248">
        <v>0</v>
      </c>
      <c r="CA79" s="248">
        <v>0</v>
      </c>
      <c r="CB79" s="248">
        <v>0</v>
      </c>
      <c r="CC79" s="248">
        <v>0</v>
      </c>
      <c r="CD79" s="248">
        <v>0</v>
      </c>
      <c r="CE79" s="248">
        <v>0</v>
      </c>
      <c r="CF79" s="248">
        <v>0</v>
      </c>
      <c r="CG79" s="248">
        <v>0</v>
      </c>
      <c r="CH79" s="248">
        <v>0</v>
      </c>
      <c r="CI79" s="248">
        <v>0</v>
      </c>
      <c r="CJ79" s="248">
        <v>0</v>
      </c>
      <c r="CK79" s="248">
        <v>0</v>
      </c>
      <c r="CL79" s="248">
        <v>0</v>
      </c>
      <c r="CM79" s="248">
        <v>0</v>
      </c>
      <c r="CN79" s="248">
        <v>0</v>
      </c>
      <c r="CO79" s="248">
        <v>0</v>
      </c>
      <c r="CP79" s="248">
        <v>0</v>
      </c>
      <c r="CQ79" s="248">
        <v>0</v>
      </c>
      <c r="CR79" s="248">
        <v>0</v>
      </c>
      <c r="CS79" s="248">
        <v>0</v>
      </c>
      <c r="CT79" s="248">
        <v>0</v>
      </c>
      <c r="CU79" s="248">
        <v>0</v>
      </c>
      <c r="CV79" s="248">
        <v>0</v>
      </c>
      <c r="CW79" s="248">
        <v>0</v>
      </c>
      <c r="CX79" s="248">
        <v>0</v>
      </c>
      <c r="CY79" s="248">
        <v>0</v>
      </c>
      <c r="CZ79" s="248">
        <v>0</v>
      </c>
      <c r="DA79" s="248">
        <v>0</v>
      </c>
      <c r="DB79" s="248">
        <v>0</v>
      </c>
      <c r="DC79" s="248">
        <v>0</v>
      </c>
      <c r="DD79" s="248">
        <v>0</v>
      </c>
      <c r="DE79" s="248">
        <v>0</v>
      </c>
      <c r="DF79" s="248">
        <v>0</v>
      </c>
      <c r="DG79" s="248">
        <v>0</v>
      </c>
      <c r="DH79" s="248">
        <v>0</v>
      </c>
      <c r="DI79" s="248">
        <v>0</v>
      </c>
      <c r="DJ79" s="248">
        <v>0</v>
      </c>
      <c r="DK79" s="248">
        <v>0</v>
      </c>
      <c r="DL79" s="248">
        <v>0</v>
      </c>
      <c r="DM79" s="248">
        <v>0</v>
      </c>
      <c r="DN79" s="248">
        <v>0</v>
      </c>
      <c r="DO79" s="248">
        <v>0</v>
      </c>
      <c r="DP79" s="248">
        <v>0</v>
      </c>
      <c r="DQ79" s="248">
        <v>0</v>
      </c>
      <c r="DR79" s="248">
        <v>0</v>
      </c>
      <c r="DS79" s="248">
        <v>0</v>
      </c>
      <c r="DT79" s="248">
        <v>0</v>
      </c>
      <c r="DU79" s="248">
        <v>0</v>
      </c>
      <c r="DV79" s="248">
        <v>0</v>
      </c>
      <c r="DW79" s="248">
        <v>0</v>
      </c>
      <c r="DX79" s="248">
        <v>0</v>
      </c>
      <c r="DY79" s="248">
        <v>0</v>
      </c>
      <c r="DZ79" s="248">
        <v>0</v>
      </c>
      <c r="EA79" s="248">
        <v>0</v>
      </c>
      <c r="EB79" s="248">
        <v>0</v>
      </c>
    </row>
    <row r="80" spans="2:132" ht="14.5" x14ac:dyDescent="0.35">
      <c r="B80" s="198">
        <v>25</v>
      </c>
      <c r="C80" s="252">
        <f t="shared" si="12"/>
        <v>0</v>
      </c>
      <c r="D80" s="248">
        <v>0</v>
      </c>
      <c r="E80" s="252">
        <f t="shared" si="13"/>
        <v>0</v>
      </c>
      <c r="F80" s="252">
        <f t="shared" si="14"/>
        <v>0</v>
      </c>
      <c r="G80" s="252">
        <f t="shared" si="14"/>
        <v>0</v>
      </c>
      <c r="H80" s="252">
        <f t="shared" si="14"/>
        <v>0</v>
      </c>
      <c r="I80" s="252">
        <f t="shared" si="2"/>
        <v>0</v>
      </c>
      <c r="J80" s="252">
        <f t="shared" si="2"/>
        <v>0</v>
      </c>
      <c r="K80" s="252">
        <f t="shared" si="2"/>
        <v>0</v>
      </c>
      <c r="L80" s="248">
        <v>0</v>
      </c>
      <c r="M80" s="252">
        <f t="shared" ref="M80" si="34">M79</f>
        <v>3.7969147688698968E-4</v>
      </c>
      <c r="N80" s="248">
        <v>0</v>
      </c>
      <c r="O80" s="248">
        <v>0</v>
      </c>
      <c r="P80" s="252">
        <f t="shared" si="4"/>
        <v>0</v>
      </c>
      <c r="Q80" s="252">
        <f t="shared" si="4"/>
        <v>3.7969147688698968E-4</v>
      </c>
      <c r="R80" s="248">
        <v>0</v>
      </c>
      <c r="S80" s="248">
        <v>0</v>
      </c>
      <c r="T80" s="248">
        <v>0</v>
      </c>
      <c r="U80" s="252">
        <f t="shared" ref="U80:V80" si="35">U79</f>
        <v>3.7969147688698968E-4</v>
      </c>
      <c r="V80" s="252">
        <f t="shared" si="35"/>
        <v>3.7969147688698968E-4</v>
      </c>
      <c r="W80" s="248">
        <v>0</v>
      </c>
      <c r="X80" s="248">
        <v>0</v>
      </c>
      <c r="Y80" s="248">
        <v>0</v>
      </c>
      <c r="Z80" s="248">
        <v>0</v>
      </c>
      <c r="AA80" s="248">
        <v>0</v>
      </c>
      <c r="AB80" s="252">
        <f t="shared" ref="AB80:AD80" si="36">AB79</f>
        <v>0</v>
      </c>
      <c r="AC80" s="252">
        <f t="shared" si="36"/>
        <v>0</v>
      </c>
      <c r="AD80" s="252">
        <f t="shared" si="36"/>
        <v>0</v>
      </c>
      <c r="AE80" s="252">
        <f t="shared" ref="AE80:AI80" si="37">AE79</f>
        <v>3.7969147688698968E-4</v>
      </c>
      <c r="AF80" s="252">
        <f t="shared" si="37"/>
        <v>0</v>
      </c>
      <c r="AG80" s="252">
        <f t="shared" si="37"/>
        <v>0</v>
      </c>
      <c r="AH80" s="252">
        <f t="shared" si="37"/>
        <v>0</v>
      </c>
      <c r="AI80" s="252">
        <f t="shared" si="37"/>
        <v>0</v>
      </c>
      <c r="AJ80" s="248">
        <v>0</v>
      </c>
      <c r="AK80" s="252">
        <f t="shared" ref="AK80:AM80" si="38">AK79</f>
        <v>0</v>
      </c>
      <c r="AL80" s="252">
        <f t="shared" si="38"/>
        <v>0</v>
      </c>
      <c r="AM80" s="252">
        <f t="shared" si="38"/>
        <v>0</v>
      </c>
      <c r="AN80" s="252">
        <f t="shared" ref="AN80:AR80" si="39">AN79</f>
        <v>3.7969147688698968E-4</v>
      </c>
      <c r="AO80" s="252">
        <f t="shared" si="39"/>
        <v>0</v>
      </c>
      <c r="AP80" s="252">
        <f t="shared" si="39"/>
        <v>0</v>
      </c>
      <c r="AQ80" s="252">
        <f t="shared" si="39"/>
        <v>0</v>
      </c>
      <c r="AR80" s="252">
        <f t="shared" si="39"/>
        <v>0</v>
      </c>
      <c r="AS80" s="248">
        <v>0</v>
      </c>
      <c r="AT80" s="252">
        <f t="shared" si="21"/>
        <v>0</v>
      </c>
      <c r="AU80" s="252">
        <f t="shared" si="21"/>
        <v>3.7969147688698968E-4</v>
      </c>
      <c r="AV80" s="248">
        <v>0</v>
      </c>
      <c r="AW80" s="252">
        <v>0</v>
      </c>
      <c r="AX80" s="252">
        <v>0</v>
      </c>
      <c r="AY80" s="252">
        <v>0</v>
      </c>
      <c r="AZ80" s="252">
        <f t="shared" si="11"/>
        <v>3.7969147688698968E-4</v>
      </c>
      <c r="BA80" s="249">
        <v>0</v>
      </c>
      <c r="BB80" s="249">
        <v>0</v>
      </c>
      <c r="BC80" s="249">
        <v>0</v>
      </c>
      <c r="BD80" s="249">
        <v>0</v>
      </c>
      <c r="BE80" s="249">
        <v>0</v>
      </c>
      <c r="BF80" s="248">
        <v>0</v>
      </c>
      <c r="BG80" s="248">
        <v>0</v>
      </c>
      <c r="BH80" s="249">
        <v>0</v>
      </c>
      <c r="BI80" s="248">
        <v>0</v>
      </c>
      <c r="BJ80" s="248">
        <v>0</v>
      </c>
      <c r="BK80" s="248">
        <v>0</v>
      </c>
      <c r="BL80" s="248">
        <v>0</v>
      </c>
      <c r="BM80" s="248">
        <v>0</v>
      </c>
      <c r="BN80" s="248">
        <v>0</v>
      </c>
      <c r="BO80" s="248">
        <v>0</v>
      </c>
      <c r="BP80" s="248">
        <v>0</v>
      </c>
      <c r="BQ80" s="248">
        <v>0</v>
      </c>
      <c r="BR80" s="248">
        <v>0</v>
      </c>
      <c r="BS80" s="248">
        <v>0</v>
      </c>
      <c r="BT80" s="248">
        <v>0</v>
      </c>
      <c r="BU80" s="248">
        <v>0</v>
      </c>
      <c r="BV80" s="248">
        <v>0</v>
      </c>
      <c r="BW80" s="248">
        <v>0</v>
      </c>
      <c r="BX80" s="248">
        <v>0</v>
      </c>
      <c r="BY80" s="248">
        <v>0</v>
      </c>
      <c r="BZ80" s="248">
        <v>0</v>
      </c>
      <c r="CA80" s="248">
        <v>0</v>
      </c>
      <c r="CB80" s="248">
        <v>0</v>
      </c>
      <c r="CC80" s="248">
        <v>0</v>
      </c>
      <c r="CD80" s="248">
        <v>0</v>
      </c>
      <c r="CE80" s="248">
        <v>0</v>
      </c>
      <c r="CF80" s="248">
        <v>0</v>
      </c>
      <c r="CG80" s="248">
        <v>0</v>
      </c>
      <c r="CH80" s="248">
        <v>0</v>
      </c>
      <c r="CI80" s="248">
        <v>0</v>
      </c>
      <c r="CJ80" s="248">
        <v>0</v>
      </c>
      <c r="CK80" s="248">
        <v>0</v>
      </c>
      <c r="CL80" s="248">
        <v>0</v>
      </c>
      <c r="CM80" s="248">
        <v>0</v>
      </c>
      <c r="CN80" s="248">
        <v>0</v>
      </c>
      <c r="CO80" s="248">
        <v>0</v>
      </c>
      <c r="CP80" s="248">
        <v>0</v>
      </c>
      <c r="CQ80" s="248">
        <v>0</v>
      </c>
      <c r="CR80" s="248">
        <v>0</v>
      </c>
      <c r="CS80" s="248">
        <v>0</v>
      </c>
      <c r="CT80" s="248">
        <v>0</v>
      </c>
      <c r="CU80" s="248">
        <v>0</v>
      </c>
      <c r="CV80" s="248">
        <v>0</v>
      </c>
      <c r="CW80" s="248">
        <v>0</v>
      </c>
      <c r="CX80" s="248">
        <v>0</v>
      </c>
      <c r="CY80" s="248">
        <v>0</v>
      </c>
      <c r="CZ80" s="248">
        <v>0</v>
      </c>
      <c r="DA80" s="248">
        <v>0</v>
      </c>
      <c r="DB80" s="248">
        <v>0</v>
      </c>
      <c r="DC80" s="248">
        <v>0</v>
      </c>
      <c r="DD80" s="248">
        <v>0</v>
      </c>
      <c r="DE80" s="248">
        <v>0</v>
      </c>
      <c r="DF80" s="248">
        <v>0</v>
      </c>
      <c r="DG80" s="248">
        <v>0</v>
      </c>
      <c r="DH80" s="248">
        <v>0</v>
      </c>
      <c r="DI80" s="248">
        <v>0</v>
      </c>
      <c r="DJ80" s="248">
        <v>0</v>
      </c>
      <c r="DK80" s="248">
        <v>0</v>
      </c>
      <c r="DL80" s="248">
        <v>0</v>
      </c>
      <c r="DM80" s="248">
        <v>0</v>
      </c>
      <c r="DN80" s="248">
        <v>0</v>
      </c>
      <c r="DO80" s="248">
        <v>0</v>
      </c>
      <c r="DP80" s="248">
        <v>0</v>
      </c>
      <c r="DQ80" s="248">
        <v>0</v>
      </c>
      <c r="DR80" s="248">
        <v>0</v>
      </c>
      <c r="DS80" s="248">
        <v>0</v>
      </c>
      <c r="DT80" s="248">
        <v>0</v>
      </c>
      <c r="DU80" s="248">
        <v>0</v>
      </c>
      <c r="DV80" s="248">
        <v>0</v>
      </c>
      <c r="DW80" s="248">
        <v>0</v>
      </c>
      <c r="DX80" s="248">
        <v>0</v>
      </c>
      <c r="DY80" s="248">
        <v>0</v>
      </c>
      <c r="DZ80" s="248">
        <v>0</v>
      </c>
      <c r="EA80" s="248">
        <v>0</v>
      </c>
      <c r="EB80" s="248">
        <v>0</v>
      </c>
    </row>
    <row r="81" spans="2:132" ht="14.5" x14ac:dyDescent="0.35">
      <c r="B81" s="198">
        <v>26</v>
      </c>
      <c r="C81" s="252">
        <f t="shared" si="12"/>
        <v>0</v>
      </c>
      <c r="D81" s="248">
        <v>0</v>
      </c>
      <c r="E81" s="252">
        <f t="shared" si="13"/>
        <v>0</v>
      </c>
      <c r="F81" s="252">
        <f t="shared" si="14"/>
        <v>0</v>
      </c>
      <c r="G81" s="252">
        <f t="shared" si="14"/>
        <v>0</v>
      </c>
      <c r="H81" s="252">
        <f t="shared" si="14"/>
        <v>0</v>
      </c>
      <c r="I81" s="252">
        <f t="shared" si="2"/>
        <v>0</v>
      </c>
      <c r="J81" s="252">
        <f t="shared" si="2"/>
        <v>0</v>
      </c>
      <c r="K81" s="252">
        <f t="shared" si="2"/>
        <v>0</v>
      </c>
      <c r="L81" s="248">
        <v>0</v>
      </c>
      <c r="M81" s="252">
        <f t="shared" ref="M81" si="40">M80</f>
        <v>3.7969147688698968E-4</v>
      </c>
      <c r="N81" s="248">
        <v>0</v>
      </c>
      <c r="O81" s="248">
        <v>0</v>
      </c>
      <c r="P81" s="252">
        <f t="shared" si="4"/>
        <v>0</v>
      </c>
      <c r="Q81" s="252">
        <f t="shared" si="4"/>
        <v>3.7969147688698968E-4</v>
      </c>
      <c r="R81" s="248">
        <v>0</v>
      </c>
      <c r="S81" s="248">
        <v>0</v>
      </c>
      <c r="T81" s="248">
        <v>0</v>
      </c>
      <c r="U81" s="252">
        <f t="shared" ref="U81:V81" si="41">U80</f>
        <v>3.7969147688698968E-4</v>
      </c>
      <c r="V81" s="252">
        <f t="shared" si="41"/>
        <v>3.7969147688698968E-4</v>
      </c>
      <c r="W81" s="248">
        <v>0</v>
      </c>
      <c r="X81" s="248">
        <v>0</v>
      </c>
      <c r="Y81" s="248">
        <v>0</v>
      </c>
      <c r="Z81" s="248">
        <v>0</v>
      </c>
      <c r="AA81" s="248">
        <v>0</v>
      </c>
      <c r="AB81" s="252">
        <f t="shared" ref="AB81:AD81" si="42">AB80</f>
        <v>0</v>
      </c>
      <c r="AC81" s="252">
        <f t="shared" si="42"/>
        <v>0</v>
      </c>
      <c r="AD81" s="252">
        <f t="shared" si="42"/>
        <v>0</v>
      </c>
      <c r="AE81" s="252">
        <f t="shared" ref="AE81:AI81" si="43">AE80</f>
        <v>3.7969147688698968E-4</v>
      </c>
      <c r="AF81" s="252">
        <f t="shared" si="43"/>
        <v>0</v>
      </c>
      <c r="AG81" s="252">
        <f t="shared" si="43"/>
        <v>0</v>
      </c>
      <c r="AH81" s="252">
        <f t="shared" si="43"/>
        <v>0</v>
      </c>
      <c r="AI81" s="252">
        <f t="shared" si="43"/>
        <v>0</v>
      </c>
      <c r="AJ81" s="248">
        <v>0</v>
      </c>
      <c r="AK81" s="252">
        <f t="shared" ref="AK81:AM81" si="44">AK80</f>
        <v>0</v>
      </c>
      <c r="AL81" s="252">
        <f t="shared" si="44"/>
        <v>0</v>
      </c>
      <c r="AM81" s="252">
        <f t="shared" si="44"/>
        <v>0</v>
      </c>
      <c r="AN81" s="252">
        <f t="shared" ref="AN81:AR81" si="45">AN80</f>
        <v>3.7969147688698968E-4</v>
      </c>
      <c r="AO81" s="252">
        <f t="shared" si="45"/>
        <v>0</v>
      </c>
      <c r="AP81" s="252">
        <f t="shared" si="45"/>
        <v>0</v>
      </c>
      <c r="AQ81" s="252">
        <f t="shared" si="45"/>
        <v>0</v>
      </c>
      <c r="AR81" s="252">
        <f t="shared" si="45"/>
        <v>0</v>
      </c>
      <c r="AS81" s="248">
        <v>0</v>
      </c>
      <c r="AT81" s="252">
        <f t="shared" si="21"/>
        <v>0</v>
      </c>
      <c r="AU81" s="252">
        <f t="shared" si="21"/>
        <v>3.7969147688698968E-4</v>
      </c>
      <c r="AV81" s="248">
        <v>0</v>
      </c>
      <c r="AW81" s="252">
        <v>0</v>
      </c>
      <c r="AX81" s="252">
        <v>0</v>
      </c>
      <c r="AY81" s="252">
        <v>0</v>
      </c>
      <c r="AZ81" s="252">
        <f t="shared" si="11"/>
        <v>3.7969147688698968E-4</v>
      </c>
      <c r="BA81" s="249">
        <v>0</v>
      </c>
      <c r="BB81" s="249">
        <v>0</v>
      </c>
      <c r="BC81" s="249">
        <v>0</v>
      </c>
      <c r="BD81" s="249">
        <v>0</v>
      </c>
      <c r="BE81" s="249">
        <v>0</v>
      </c>
      <c r="BF81" s="248">
        <v>0</v>
      </c>
      <c r="BG81" s="248">
        <v>0</v>
      </c>
      <c r="BH81" s="249">
        <v>0</v>
      </c>
      <c r="BI81" s="248">
        <v>0</v>
      </c>
      <c r="BJ81" s="248">
        <v>0</v>
      </c>
      <c r="BK81" s="248">
        <v>0</v>
      </c>
      <c r="BL81" s="248">
        <v>0</v>
      </c>
      <c r="BM81" s="248">
        <v>0</v>
      </c>
      <c r="BN81" s="248">
        <v>0</v>
      </c>
      <c r="BO81" s="248">
        <v>0</v>
      </c>
      <c r="BP81" s="248">
        <v>0</v>
      </c>
      <c r="BQ81" s="248">
        <v>0</v>
      </c>
      <c r="BR81" s="248">
        <v>0</v>
      </c>
      <c r="BS81" s="248">
        <v>0</v>
      </c>
      <c r="BT81" s="248">
        <v>0</v>
      </c>
      <c r="BU81" s="248">
        <v>0</v>
      </c>
      <c r="BV81" s="248">
        <v>0</v>
      </c>
      <c r="BW81" s="248">
        <v>0</v>
      </c>
      <c r="BX81" s="248">
        <v>0</v>
      </c>
      <c r="BY81" s="248">
        <v>0</v>
      </c>
      <c r="BZ81" s="248">
        <v>0</v>
      </c>
      <c r="CA81" s="248">
        <v>0</v>
      </c>
      <c r="CB81" s="248">
        <v>0</v>
      </c>
      <c r="CC81" s="248">
        <v>0</v>
      </c>
      <c r="CD81" s="248">
        <v>0</v>
      </c>
      <c r="CE81" s="248">
        <v>0</v>
      </c>
      <c r="CF81" s="248">
        <v>0</v>
      </c>
      <c r="CG81" s="248">
        <v>0</v>
      </c>
      <c r="CH81" s="248">
        <v>0</v>
      </c>
      <c r="CI81" s="248">
        <v>0</v>
      </c>
      <c r="CJ81" s="248">
        <v>0</v>
      </c>
      <c r="CK81" s="248">
        <v>0</v>
      </c>
      <c r="CL81" s="248">
        <v>0</v>
      </c>
      <c r="CM81" s="248">
        <v>0</v>
      </c>
      <c r="CN81" s="248">
        <v>0</v>
      </c>
      <c r="CO81" s="248">
        <v>0</v>
      </c>
      <c r="CP81" s="248">
        <v>0</v>
      </c>
      <c r="CQ81" s="248">
        <v>0</v>
      </c>
      <c r="CR81" s="248">
        <v>0</v>
      </c>
      <c r="CS81" s="248">
        <v>0</v>
      </c>
      <c r="CT81" s="248">
        <v>0</v>
      </c>
      <c r="CU81" s="248">
        <v>0</v>
      </c>
      <c r="CV81" s="248">
        <v>0</v>
      </c>
      <c r="CW81" s="248">
        <v>0</v>
      </c>
      <c r="CX81" s="248">
        <v>0</v>
      </c>
      <c r="CY81" s="248">
        <v>0</v>
      </c>
      <c r="CZ81" s="248">
        <v>0</v>
      </c>
      <c r="DA81" s="248">
        <v>0</v>
      </c>
      <c r="DB81" s="248">
        <v>0</v>
      </c>
      <c r="DC81" s="248">
        <v>0</v>
      </c>
      <c r="DD81" s="248">
        <v>0</v>
      </c>
      <c r="DE81" s="248">
        <v>0</v>
      </c>
      <c r="DF81" s="248">
        <v>0</v>
      </c>
      <c r="DG81" s="248">
        <v>0</v>
      </c>
      <c r="DH81" s="248">
        <v>0</v>
      </c>
      <c r="DI81" s="248">
        <v>0</v>
      </c>
      <c r="DJ81" s="248">
        <v>0</v>
      </c>
      <c r="DK81" s="248">
        <v>0</v>
      </c>
      <c r="DL81" s="248">
        <v>0</v>
      </c>
      <c r="DM81" s="248">
        <v>0</v>
      </c>
      <c r="DN81" s="248">
        <v>0</v>
      </c>
      <c r="DO81" s="248">
        <v>0</v>
      </c>
      <c r="DP81" s="248">
        <v>0</v>
      </c>
      <c r="DQ81" s="248">
        <v>0</v>
      </c>
      <c r="DR81" s="248">
        <v>0</v>
      </c>
      <c r="DS81" s="248">
        <v>0</v>
      </c>
      <c r="DT81" s="248">
        <v>0</v>
      </c>
      <c r="DU81" s="248">
        <v>0</v>
      </c>
      <c r="DV81" s="248">
        <v>0</v>
      </c>
      <c r="DW81" s="248">
        <v>0</v>
      </c>
      <c r="DX81" s="248">
        <v>0</v>
      </c>
      <c r="DY81" s="248">
        <v>0</v>
      </c>
      <c r="DZ81" s="248">
        <v>0</v>
      </c>
      <c r="EA81" s="248">
        <v>0</v>
      </c>
      <c r="EB81" s="248">
        <v>0</v>
      </c>
    </row>
    <row r="82" spans="2:132" ht="14.5" x14ac:dyDescent="0.35">
      <c r="B82" s="198">
        <v>27</v>
      </c>
      <c r="C82" s="252">
        <f t="shared" si="12"/>
        <v>0</v>
      </c>
      <c r="D82" s="248">
        <v>0</v>
      </c>
      <c r="E82" s="252">
        <f t="shared" si="13"/>
        <v>0</v>
      </c>
      <c r="F82" s="252">
        <f t="shared" si="14"/>
        <v>0</v>
      </c>
      <c r="G82" s="252">
        <f t="shared" si="14"/>
        <v>0</v>
      </c>
      <c r="H82" s="252">
        <f t="shared" si="14"/>
        <v>0</v>
      </c>
      <c r="I82" s="252">
        <f t="shared" si="2"/>
        <v>0</v>
      </c>
      <c r="J82" s="252">
        <f t="shared" si="2"/>
        <v>0</v>
      </c>
      <c r="K82" s="252">
        <f t="shared" si="2"/>
        <v>0</v>
      </c>
      <c r="L82" s="248">
        <v>0</v>
      </c>
      <c r="M82" s="252">
        <f t="shared" ref="M82" si="46">M81</f>
        <v>3.7969147688698968E-4</v>
      </c>
      <c r="N82" s="248">
        <v>0</v>
      </c>
      <c r="O82" s="248">
        <v>0</v>
      </c>
      <c r="P82" s="252">
        <f t="shared" si="4"/>
        <v>0</v>
      </c>
      <c r="Q82" s="252">
        <f t="shared" si="4"/>
        <v>3.7969147688698968E-4</v>
      </c>
      <c r="R82" s="248">
        <v>0</v>
      </c>
      <c r="S82" s="248">
        <v>0</v>
      </c>
      <c r="T82" s="248">
        <v>0</v>
      </c>
      <c r="U82" s="252">
        <f t="shared" ref="U82:V82" si="47">U81</f>
        <v>3.7969147688698968E-4</v>
      </c>
      <c r="V82" s="252">
        <f t="shared" si="47"/>
        <v>3.7969147688698968E-4</v>
      </c>
      <c r="W82" s="248">
        <v>0</v>
      </c>
      <c r="X82" s="248">
        <v>0</v>
      </c>
      <c r="Y82" s="248">
        <v>0</v>
      </c>
      <c r="Z82" s="248">
        <v>0</v>
      </c>
      <c r="AA82" s="248">
        <v>0</v>
      </c>
      <c r="AB82" s="252">
        <f t="shared" ref="AB82:AD82" si="48">AB81</f>
        <v>0</v>
      </c>
      <c r="AC82" s="252">
        <f t="shared" si="48"/>
        <v>0</v>
      </c>
      <c r="AD82" s="252">
        <f t="shared" si="48"/>
        <v>0</v>
      </c>
      <c r="AE82" s="252">
        <f t="shared" ref="AE82:AI82" si="49">AE81</f>
        <v>3.7969147688698968E-4</v>
      </c>
      <c r="AF82" s="252">
        <f t="shared" si="49"/>
        <v>0</v>
      </c>
      <c r="AG82" s="252">
        <f t="shared" si="49"/>
        <v>0</v>
      </c>
      <c r="AH82" s="252">
        <f t="shared" si="49"/>
        <v>0</v>
      </c>
      <c r="AI82" s="252">
        <f t="shared" si="49"/>
        <v>0</v>
      </c>
      <c r="AJ82" s="248">
        <v>0</v>
      </c>
      <c r="AK82" s="252">
        <f t="shared" ref="AK82:AM82" si="50">AK81</f>
        <v>0</v>
      </c>
      <c r="AL82" s="252">
        <f t="shared" si="50"/>
        <v>0</v>
      </c>
      <c r="AM82" s="252">
        <f t="shared" si="50"/>
        <v>0</v>
      </c>
      <c r="AN82" s="252">
        <f t="shared" ref="AN82:AR82" si="51">AN81</f>
        <v>3.7969147688698968E-4</v>
      </c>
      <c r="AO82" s="252">
        <f t="shared" si="51"/>
        <v>0</v>
      </c>
      <c r="AP82" s="252">
        <f t="shared" si="51"/>
        <v>0</v>
      </c>
      <c r="AQ82" s="252">
        <f t="shared" si="51"/>
        <v>0</v>
      </c>
      <c r="AR82" s="252">
        <f t="shared" si="51"/>
        <v>0</v>
      </c>
      <c r="AS82" s="248">
        <v>0</v>
      </c>
      <c r="AT82" s="252">
        <f t="shared" si="21"/>
        <v>0</v>
      </c>
      <c r="AU82" s="252">
        <f t="shared" si="21"/>
        <v>3.7969147688698968E-4</v>
      </c>
      <c r="AV82" s="248">
        <v>0</v>
      </c>
      <c r="AW82" s="252">
        <v>0</v>
      </c>
      <c r="AX82" s="252">
        <v>0</v>
      </c>
      <c r="AY82" s="252">
        <v>0</v>
      </c>
      <c r="AZ82" s="252">
        <f t="shared" si="11"/>
        <v>3.7969147688698968E-4</v>
      </c>
      <c r="BA82" s="249">
        <v>0</v>
      </c>
      <c r="BB82" s="249">
        <v>0</v>
      </c>
      <c r="BC82" s="249">
        <v>0</v>
      </c>
      <c r="BD82" s="249">
        <v>0</v>
      </c>
      <c r="BE82" s="249">
        <v>0</v>
      </c>
      <c r="BF82" s="248">
        <v>0</v>
      </c>
      <c r="BG82" s="248">
        <v>0</v>
      </c>
      <c r="BH82" s="249">
        <v>0</v>
      </c>
      <c r="BI82" s="248">
        <v>0</v>
      </c>
      <c r="BJ82" s="248">
        <v>0</v>
      </c>
      <c r="BK82" s="248">
        <v>0</v>
      </c>
      <c r="BL82" s="248">
        <v>0</v>
      </c>
      <c r="BM82" s="248">
        <v>0</v>
      </c>
      <c r="BN82" s="248">
        <v>0</v>
      </c>
      <c r="BO82" s="248">
        <v>0</v>
      </c>
      <c r="BP82" s="248">
        <v>0</v>
      </c>
      <c r="BQ82" s="248">
        <v>0</v>
      </c>
      <c r="BR82" s="248">
        <v>0</v>
      </c>
      <c r="BS82" s="248">
        <v>0</v>
      </c>
      <c r="BT82" s="248">
        <v>0</v>
      </c>
      <c r="BU82" s="248">
        <v>0</v>
      </c>
      <c r="BV82" s="248">
        <v>0</v>
      </c>
      <c r="BW82" s="248">
        <v>0</v>
      </c>
      <c r="BX82" s="248">
        <v>0</v>
      </c>
      <c r="BY82" s="248">
        <v>0</v>
      </c>
      <c r="BZ82" s="248">
        <v>0</v>
      </c>
      <c r="CA82" s="248">
        <v>0</v>
      </c>
      <c r="CB82" s="248">
        <v>0</v>
      </c>
      <c r="CC82" s="248">
        <v>0</v>
      </c>
      <c r="CD82" s="248">
        <v>0</v>
      </c>
      <c r="CE82" s="248">
        <v>0</v>
      </c>
      <c r="CF82" s="248">
        <v>0</v>
      </c>
      <c r="CG82" s="248">
        <v>0</v>
      </c>
      <c r="CH82" s="248">
        <v>0</v>
      </c>
      <c r="CI82" s="248">
        <v>0</v>
      </c>
      <c r="CJ82" s="248">
        <v>0</v>
      </c>
      <c r="CK82" s="248">
        <v>0</v>
      </c>
      <c r="CL82" s="248">
        <v>0</v>
      </c>
      <c r="CM82" s="248">
        <v>0</v>
      </c>
      <c r="CN82" s="248">
        <v>0</v>
      </c>
      <c r="CO82" s="248">
        <v>0</v>
      </c>
      <c r="CP82" s="248">
        <v>0</v>
      </c>
      <c r="CQ82" s="248">
        <v>0</v>
      </c>
      <c r="CR82" s="248">
        <v>0</v>
      </c>
      <c r="CS82" s="248">
        <v>0</v>
      </c>
      <c r="CT82" s="248">
        <v>0</v>
      </c>
      <c r="CU82" s="248">
        <v>0</v>
      </c>
      <c r="CV82" s="248">
        <v>0</v>
      </c>
      <c r="CW82" s="248">
        <v>0</v>
      </c>
      <c r="CX82" s="248">
        <v>0</v>
      </c>
      <c r="CY82" s="248">
        <v>0</v>
      </c>
      <c r="CZ82" s="248">
        <v>0</v>
      </c>
      <c r="DA82" s="248">
        <v>0</v>
      </c>
      <c r="DB82" s="248">
        <v>0</v>
      </c>
      <c r="DC82" s="248">
        <v>0</v>
      </c>
      <c r="DD82" s="248">
        <v>0</v>
      </c>
      <c r="DE82" s="248">
        <v>0</v>
      </c>
      <c r="DF82" s="248">
        <v>0</v>
      </c>
      <c r="DG82" s="248">
        <v>0</v>
      </c>
      <c r="DH82" s="248">
        <v>0</v>
      </c>
      <c r="DI82" s="248">
        <v>0</v>
      </c>
      <c r="DJ82" s="248">
        <v>0</v>
      </c>
      <c r="DK82" s="248">
        <v>0</v>
      </c>
      <c r="DL82" s="248">
        <v>0</v>
      </c>
      <c r="DM82" s="248">
        <v>0</v>
      </c>
      <c r="DN82" s="248">
        <v>0</v>
      </c>
      <c r="DO82" s="248">
        <v>0</v>
      </c>
      <c r="DP82" s="248">
        <v>0</v>
      </c>
      <c r="DQ82" s="248">
        <v>0</v>
      </c>
      <c r="DR82" s="248">
        <v>0</v>
      </c>
      <c r="DS82" s="248">
        <v>0</v>
      </c>
      <c r="DT82" s="248">
        <v>0</v>
      </c>
      <c r="DU82" s="248">
        <v>0</v>
      </c>
      <c r="DV82" s="248">
        <v>0</v>
      </c>
      <c r="DW82" s="248">
        <v>0</v>
      </c>
      <c r="DX82" s="248">
        <v>0</v>
      </c>
      <c r="DY82" s="248">
        <v>0</v>
      </c>
      <c r="DZ82" s="248">
        <v>0</v>
      </c>
      <c r="EA82" s="248">
        <v>0</v>
      </c>
      <c r="EB82" s="248">
        <v>0</v>
      </c>
    </row>
    <row r="83" spans="2:132" ht="14.5" x14ac:dyDescent="0.35">
      <c r="B83" s="198">
        <v>28</v>
      </c>
      <c r="C83" s="252">
        <f t="shared" si="12"/>
        <v>0</v>
      </c>
      <c r="D83" s="248">
        <v>0</v>
      </c>
      <c r="E83" s="252">
        <f t="shared" si="13"/>
        <v>0</v>
      </c>
      <c r="F83" s="252">
        <f t="shared" si="14"/>
        <v>0</v>
      </c>
      <c r="G83" s="252">
        <f t="shared" si="14"/>
        <v>0</v>
      </c>
      <c r="H83" s="252">
        <f t="shared" si="14"/>
        <v>0</v>
      </c>
      <c r="I83" s="252">
        <f t="shared" si="2"/>
        <v>0</v>
      </c>
      <c r="J83" s="252">
        <f t="shared" si="2"/>
        <v>0</v>
      </c>
      <c r="K83" s="252">
        <f t="shared" si="2"/>
        <v>0</v>
      </c>
      <c r="L83" s="248">
        <v>0</v>
      </c>
      <c r="M83" s="252">
        <f t="shared" ref="M83" si="52">M82</f>
        <v>3.7969147688698968E-4</v>
      </c>
      <c r="N83" s="248">
        <v>0</v>
      </c>
      <c r="O83" s="248">
        <v>0</v>
      </c>
      <c r="P83" s="252">
        <f t="shared" si="4"/>
        <v>0</v>
      </c>
      <c r="Q83" s="252">
        <f t="shared" si="4"/>
        <v>3.7969147688698968E-4</v>
      </c>
      <c r="R83" s="248">
        <v>0</v>
      </c>
      <c r="S83" s="248">
        <v>0</v>
      </c>
      <c r="T83" s="248">
        <v>0</v>
      </c>
      <c r="U83" s="252">
        <f t="shared" ref="U83:V83" si="53">U82</f>
        <v>3.7969147688698968E-4</v>
      </c>
      <c r="V83" s="252">
        <f t="shared" si="53"/>
        <v>3.7969147688698968E-4</v>
      </c>
      <c r="W83" s="248">
        <v>0</v>
      </c>
      <c r="X83" s="248">
        <v>0</v>
      </c>
      <c r="Y83" s="248">
        <v>0</v>
      </c>
      <c r="Z83" s="248">
        <v>0</v>
      </c>
      <c r="AA83" s="248">
        <v>0</v>
      </c>
      <c r="AB83" s="252">
        <f t="shared" ref="AB83:AD83" si="54">AB82</f>
        <v>0</v>
      </c>
      <c r="AC83" s="252">
        <f t="shared" si="54"/>
        <v>0</v>
      </c>
      <c r="AD83" s="252">
        <f t="shared" si="54"/>
        <v>0</v>
      </c>
      <c r="AE83" s="252">
        <f t="shared" ref="AE83:AI83" si="55">AE82</f>
        <v>3.7969147688698968E-4</v>
      </c>
      <c r="AF83" s="252">
        <f t="shared" si="55"/>
        <v>0</v>
      </c>
      <c r="AG83" s="252">
        <f t="shared" si="55"/>
        <v>0</v>
      </c>
      <c r="AH83" s="252">
        <f t="shared" si="55"/>
        <v>0</v>
      </c>
      <c r="AI83" s="252">
        <f t="shared" si="55"/>
        <v>0</v>
      </c>
      <c r="AJ83" s="248">
        <v>0</v>
      </c>
      <c r="AK83" s="252">
        <f t="shared" ref="AK83:AM83" si="56">AK82</f>
        <v>0</v>
      </c>
      <c r="AL83" s="252">
        <f t="shared" si="56"/>
        <v>0</v>
      </c>
      <c r="AM83" s="252">
        <f t="shared" si="56"/>
        <v>0</v>
      </c>
      <c r="AN83" s="252">
        <f t="shared" ref="AN83:AR83" si="57">AN82</f>
        <v>3.7969147688698968E-4</v>
      </c>
      <c r="AO83" s="252">
        <f t="shared" si="57"/>
        <v>0</v>
      </c>
      <c r="AP83" s="252">
        <f t="shared" si="57"/>
        <v>0</v>
      </c>
      <c r="AQ83" s="252">
        <f t="shared" si="57"/>
        <v>0</v>
      </c>
      <c r="AR83" s="252">
        <f t="shared" si="57"/>
        <v>0</v>
      </c>
      <c r="AS83" s="248">
        <v>0</v>
      </c>
      <c r="AT83" s="252">
        <f t="shared" si="21"/>
        <v>0</v>
      </c>
      <c r="AU83" s="252">
        <f t="shared" si="21"/>
        <v>3.7969147688698968E-4</v>
      </c>
      <c r="AV83" s="248">
        <v>0</v>
      </c>
      <c r="AW83" s="252">
        <v>0</v>
      </c>
      <c r="AX83" s="252">
        <v>0</v>
      </c>
      <c r="AY83" s="252">
        <v>0</v>
      </c>
      <c r="AZ83" s="252">
        <f t="shared" si="11"/>
        <v>3.7969147688698968E-4</v>
      </c>
      <c r="BA83" s="249">
        <v>0</v>
      </c>
      <c r="BB83" s="249">
        <v>0</v>
      </c>
      <c r="BC83" s="249">
        <v>0</v>
      </c>
      <c r="BD83" s="249">
        <v>0</v>
      </c>
      <c r="BE83" s="249">
        <v>0</v>
      </c>
      <c r="BF83" s="248">
        <v>0</v>
      </c>
      <c r="BG83" s="248">
        <v>0</v>
      </c>
      <c r="BH83" s="249">
        <v>0</v>
      </c>
      <c r="BI83" s="248">
        <v>0</v>
      </c>
      <c r="BJ83" s="248">
        <v>0</v>
      </c>
      <c r="BK83" s="248">
        <v>0</v>
      </c>
      <c r="BL83" s="248">
        <v>0</v>
      </c>
      <c r="BM83" s="248">
        <v>0</v>
      </c>
      <c r="BN83" s="248">
        <v>0</v>
      </c>
      <c r="BO83" s="248">
        <v>0</v>
      </c>
      <c r="BP83" s="248">
        <v>0</v>
      </c>
      <c r="BQ83" s="248">
        <v>0</v>
      </c>
      <c r="BR83" s="248">
        <v>0</v>
      </c>
      <c r="BS83" s="248">
        <v>0</v>
      </c>
      <c r="BT83" s="248">
        <v>0</v>
      </c>
      <c r="BU83" s="248">
        <v>0</v>
      </c>
      <c r="BV83" s="248">
        <v>0</v>
      </c>
      <c r="BW83" s="248">
        <v>0</v>
      </c>
      <c r="BX83" s="248">
        <v>0</v>
      </c>
      <c r="BY83" s="248">
        <v>0</v>
      </c>
      <c r="BZ83" s="248">
        <v>0</v>
      </c>
      <c r="CA83" s="248">
        <v>0</v>
      </c>
      <c r="CB83" s="248">
        <v>0</v>
      </c>
      <c r="CC83" s="248">
        <v>0</v>
      </c>
      <c r="CD83" s="248">
        <v>0</v>
      </c>
      <c r="CE83" s="248">
        <v>0</v>
      </c>
      <c r="CF83" s="248">
        <v>0</v>
      </c>
      <c r="CG83" s="248">
        <v>0</v>
      </c>
      <c r="CH83" s="248">
        <v>0</v>
      </c>
      <c r="CI83" s="248">
        <v>0</v>
      </c>
      <c r="CJ83" s="248">
        <v>0</v>
      </c>
      <c r="CK83" s="248">
        <v>0</v>
      </c>
      <c r="CL83" s="248">
        <v>0</v>
      </c>
      <c r="CM83" s="248">
        <v>0</v>
      </c>
      <c r="CN83" s="248">
        <v>0</v>
      </c>
      <c r="CO83" s="248">
        <v>0</v>
      </c>
      <c r="CP83" s="248">
        <v>0</v>
      </c>
      <c r="CQ83" s="248">
        <v>0</v>
      </c>
      <c r="CR83" s="248">
        <v>0</v>
      </c>
      <c r="CS83" s="248">
        <v>0</v>
      </c>
      <c r="CT83" s="248">
        <v>0</v>
      </c>
      <c r="CU83" s="248">
        <v>0</v>
      </c>
      <c r="CV83" s="248">
        <v>0</v>
      </c>
      <c r="CW83" s="248">
        <v>0</v>
      </c>
      <c r="CX83" s="248">
        <v>0</v>
      </c>
      <c r="CY83" s="248">
        <v>0</v>
      </c>
      <c r="CZ83" s="248">
        <v>0</v>
      </c>
      <c r="DA83" s="248">
        <v>0</v>
      </c>
      <c r="DB83" s="248">
        <v>0</v>
      </c>
      <c r="DC83" s="248">
        <v>0</v>
      </c>
      <c r="DD83" s="248">
        <v>0</v>
      </c>
      <c r="DE83" s="248">
        <v>0</v>
      </c>
      <c r="DF83" s="248">
        <v>0</v>
      </c>
      <c r="DG83" s="248">
        <v>0</v>
      </c>
      <c r="DH83" s="248">
        <v>0</v>
      </c>
      <c r="DI83" s="248">
        <v>0</v>
      </c>
      <c r="DJ83" s="248">
        <v>0</v>
      </c>
      <c r="DK83" s="248">
        <v>0</v>
      </c>
      <c r="DL83" s="248">
        <v>0</v>
      </c>
      <c r="DM83" s="248">
        <v>0</v>
      </c>
      <c r="DN83" s="248">
        <v>0</v>
      </c>
      <c r="DO83" s="248">
        <v>0</v>
      </c>
      <c r="DP83" s="248">
        <v>0</v>
      </c>
      <c r="DQ83" s="248">
        <v>0</v>
      </c>
      <c r="DR83" s="248">
        <v>0</v>
      </c>
      <c r="DS83" s="248">
        <v>0</v>
      </c>
      <c r="DT83" s="248">
        <v>0</v>
      </c>
      <c r="DU83" s="248">
        <v>0</v>
      </c>
      <c r="DV83" s="248">
        <v>0</v>
      </c>
      <c r="DW83" s="248">
        <v>0</v>
      </c>
      <c r="DX83" s="248">
        <v>0</v>
      </c>
      <c r="DY83" s="248">
        <v>0</v>
      </c>
      <c r="DZ83" s="248">
        <v>0</v>
      </c>
      <c r="EA83" s="248">
        <v>0</v>
      </c>
      <c r="EB83" s="248">
        <v>0</v>
      </c>
    </row>
    <row r="84" spans="2:132" ht="14.5" x14ac:dyDescent="0.35">
      <c r="B84" s="198">
        <v>29</v>
      </c>
      <c r="C84" s="252">
        <f t="shared" si="12"/>
        <v>0</v>
      </c>
      <c r="D84" s="248">
        <v>0</v>
      </c>
      <c r="E84" s="252">
        <f t="shared" si="13"/>
        <v>0</v>
      </c>
      <c r="F84" s="252">
        <f t="shared" si="14"/>
        <v>0</v>
      </c>
      <c r="G84" s="252">
        <f t="shared" si="14"/>
        <v>0</v>
      </c>
      <c r="H84" s="252">
        <f t="shared" si="14"/>
        <v>0</v>
      </c>
      <c r="I84" s="252">
        <f t="shared" si="2"/>
        <v>0</v>
      </c>
      <c r="J84" s="252">
        <f t="shared" si="2"/>
        <v>0</v>
      </c>
      <c r="K84" s="252">
        <f t="shared" si="2"/>
        <v>0</v>
      </c>
      <c r="L84" s="248">
        <v>0</v>
      </c>
      <c r="M84" s="252">
        <f t="shared" ref="M84" si="58">M83</f>
        <v>3.7969147688698968E-4</v>
      </c>
      <c r="N84" s="248">
        <v>0</v>
      </c>
      <c r="O84" s="248">
        <v>0</v>
      </c>
      <c r="P84" s="252">
        <f t="shared" si="4"/>
        <v>0</v>
      </c>
      <c r="Q84" s="252">
        <f t="shared" si="4"/>
        <v>3.7969147688698968E-4</v>
      </c>
      <c r="R84" s="248">
        <v>0</v>
      </c>
      <c r="S84" s="248">
        <v>0</v>
      </c>
      <c r="T84" s="248">
        <v>0</v>
      </c>
      <c r="U84" s="252">
        <f t="shared" ref="U84:V84" si="59">U83</f>
        <v>3.7969147688698968E-4</v>
      </c>
      <c r="V84" s="252">
        <f t="shared" si="59"/>
        <v>3.7969147688698968E-4</v>
      </c>
      <c r="W84" s="248">
        <v>0</v>
      </c>
      <c r="X84" s="248">
        <v>0</v>
      </c>
      <c r="Y84" s="248">
        <v>0</v>
      </c>
      <c r="Z84" s="248">
        <v>0</v>
      </c>
      <c r="AA84" s="248">
        <v>0</v>
      </c>
      <c r="AB84" s="252">
        <f t="shared" ref="AB84:AD84" si="60">AB83</f>
        <v>0</v>
      </c>
      <c r="AC84" s="252">
        <f t="shared" si="60"/>
        <v>0</v>
      </c>
      <c r="AD84" s="252">
        <f t="shared" si="60"/>
        <v>0</v>
      </c>
      <c r="AE84" s="252">
        <f t="shared" ref="AE84:AI84" si="61">AE83</f>
        <v>3.7969147688698968E-4</v>
      </c>
      <c r="AF84" s="252">
        <f t="shared" si="61"/>
        <v>0</v>
      </c>
      <c r="AG84" s="252">
        <f t="shared" si="61"/>
        <v>0</v>
      </c>
      <c r="AH84" s="252">
        <f t="shared" si="61"/>
        <v>0</v>
      </c>
      <c r="AI84" s="252">
        <f t="shared" si="61"/>
        <v>0</v>
      </c>
      <c r="AJ84" s="248">
        <v>0</v>
      </c>
      <c r="AK84" s="252">
        <f t="shared" ref="AK84:AM84" si="62">AK83</f>
        <v>0</v>
      </c>
      <c r="AL84" s="252">
        <f t="shared" si="62"/>
        <v>0</v>
      </c>
      <c r="AM84" s="252">
        <f t="shared" si="62"/>
        <v>0</v>
      </c>
      <c r="AN84" s="252">
        <f t="shared" ref="AN84:AR84" si="63">AN83</f>
        <v>3.7969147688698968E-4</v>
      </c>
      <c r="AO84" s="252">
        <f t="shared" si="63"/>
        <v>0</v>
      </c>
      <c r="AP84" s="252">
        <f t="shared" si="63"/>
        <v>0</v>
      </c>
      <c r="AQ84" s="252">
        <f t="shared" si="63"/>
        <v>0</v>
      </c>
      <c r="AR84" s="252">
        <f t="shared" si="63"/>
        <v>0</v>
      </c>
      <c r="AS84" s="248">
        <v>0</v>
      </c>
      <c r="AT84" s="252">
        <f t="shared" si="21"/>
        <v>0</v>
      </c>
      <c r="AU84" s="252">
        <f t="shared" si="21"/>
        <v>3.7969147688698968E-4</v>
      </c>
      <c r="AV84" s="248">
        <v>0</v>
      </c>
      <c r="AW84" s="252">
        <v>0</v>
      </c>
      <c r="AX84" s="252">
        <v>0</v>
      </c>
      <c r="AY84" s="252">
        <v>0</v>
      </c>
      <c r="AZ84" s="252">
        <f t="shared" si="11"/>
        <v>3.7969147688698968E-4</v>
      </c>
      <c r="BA84" s="249">
        <v>0</v>
      </c>
      <c r="BB84" s="249">
        <v>0</v>
      </c>
      <c r="BC84" s="249">
        <v>0</v>
      </c>
      <c r="BD84" s="249">
        <v>0</v>
      </c>
      <c r="BE84" s="249">
        <v>0</v>
      </c>
      <c r="BF84" s="248">
        <v>0</v>
      </c>
      <c r="BG84" s="248">
        <v>0</v>
      </c>
      <c r="BH84" s="249">
        <v>0</v>
      </c>
      <c r="BI84" s="248">
        <v>0</v>
      </c>
      <c r="BJ84" s="248">
        <v>0</v>
      </c>
      <c r="BK84" s="248">
        <v>0</v>
      </c>
      <c r="BL84" s="248">
        <v>0</v>
      </c>
      <c r="BM84" s="248">
        <v>0</v>
      </c>
      <c r="BN84" s="248">
        <v>0</v>
      </c>
      <c r="BO84" s="248">
        <v>0</v>
      </c>
      <c r="BP84" s="248">
        <v>0</v>
      </c>
      <c r="BQ84" s="248">
        <v>0</v>
      </c>
      <c r="BR84" s="248">
        <v>0</v>
      </c>
      <c r="BS84" s="248">
        <v>0</v>
      </c>
      <c r="BT84" s="248">
        <v>0</v>
      </c>
      <c r="BU84" s="248">
        <v>0</v>
      </c>
      <c r="BV84" s="248">
        <v>0</v>
      </c>
      <c r="BW84" s="248">
        <v>0</v>
      </c>
      <c r="BX84" s="248">
        <v>0</v>
      </c>
      <c r="BY84" s="248">
        <v>0</v>
      </c>
      <c r="BZ84" s="248">
        <v>0</v>
      </c>
      <c r="CA84" s="248">
        <v>0</v>
      </c>
      <c r="CB84" s="248">
        <v>0</v>
      </c>
      <c r="CC84" s="248">
        <v>0</v>
      </c>
      <c r="CD84" s="248">
        <v>0</v>
      </c>
      <c r="CE84" s="248">
        <v>0</v>
      </c>
      <c r="CF84" s="248">
        <v>0</v>
      </c>
      <c r="CG84" s="248">
        <v>0</v>
      </c>
      <c r="CH84" s="248">
        <v>0</v>
      </c>
      <c r="CI84" s="248">
        <v>0</v>
      </c>
      <c r="CJ84" s="248">
        <v>0</v>
      </c>
      <c r="CK84" s="248">
        <v>0</v>
      </c>
      <c r="CL84" s="248">
        <v>0</v>
      </c>
      <c r="CM84" s="248">
        <v>0</v>
      </c>
      <c r="CN84" s="248">
        <v>0</v>
      </c>
      <c r="CO84" s="248">
        <v>0</v>
      </c>
      <c r="CP84" s="248">
        <v>0</v>
      </c>
      <c r="CQ84" s="248">
        <v>0</v>
      </c>
      <c r="CR84" s="248">
        <v>0</v>
      </c>
      <c r="CS84" s="248">
        <v>0</v>
      </c>
      <c r="CT84" s="248">
        <v>0</v>
      </c>
      <c r="CU84" s="248">
        <v>0</v>
      </c>
      <c r="CV84" s="248">
        <v>0</v>
      </c>
      <c r="CW84" s="248">
        <v>0</v>
      </c>
      <c r="CX84" s="248">
        <v>0</v>
      </c>
      <c r="CY84" s="248">
        <v>0</v>
      </c>
      <c r="CZ84" s="248">
        <v>0</v>
      </c>
      <c r="DA84" s="248">
        <v>0</v>
      </c>
      <c r="DB84" s="248">
        <v>0</v>
      </c>
      <c r="DC84" s="248">
        <v>0</v>
      </c>
      <c r="DD84" s="248">
        <v>0</v>
      </c>
      <c r="DE84" s="248">
        <v>0</v>
      </c>
      <c r="DF84" s="248">
        <v>0</v>
      </c>
      <c r="DG84" s="248">
        <v>0</v>
      </c>
      <c r="DH84" s="248">
        <v>0</v>
      </c>
      <c r="DI84" s="248">
        <v>0</v>
      </c>
      <c r="DJ84" s="248">
        <v>0</v>
      </c>
      <c r="DK84" s="248">
        <v>0</v>
      </c>
      <c r="DL84" s="248">
        <v>0</v>
      </c>
      <c r="DM84" s="248">
        <v>0</v>
      </c>
      <c r="DN84" s="248">
        <v>0</v>
      </c>
      <c r="DO84" s="248">
        <v>0</v>
      </c>
      <c r="DP84" s="248">
        <v>0</v>
      </c>
      <c r="DQ84" s="248">
        <v>0</v>
      </c>
      <c r="DR84" s="248">
        <v>0</v>
      </c>
      <c r="DS84" s="248">
        <v>0</v>
      </c>
      <c r="DT84" s="248">
        <v>0</v>
      </c>
      <c r="DU84" s="248">
        <v>0</v>
      </c>
      <c r="DV84" s="248">
        <v>0</v>
      </c>
      <c r="DW84" s="248">
        <v>0</v>
      </c>
      <c r="DX84" s="248">
        <v>0</v>
      </c>
      <c r="DY84" s="248">
        <v>0</v>
      </c>
      <c r="DZ84" s="248">
        <v>0</v>
      </c>
      <c r="EA84" s="248">
        <v>0</v>
      </c>
      <c r="EB84" s="248">
        <v>0</v>
      </c>
    </row>
    <row r="85" spans="2:132" ht="14.5" x14ac:dyDescent="0.35">
      <c r="B85" s="198">
        <v>30</v>
      </c>
      <c r="C85" s="252">
        <f t="shared" si="12"/>
        <v>0</v>
      </c>
      <c r="D85" s="248">
        <v>0</v>
      </c>
      <c r="E85" s="252">
        <f t="shared" si="13"/>
        <v>0</v>
      </c>
      <c r="F85" s="252">
        <f t="shared" si="14"/>
        <v>0</v>
      </c>
      <c r="G85" s="252">
        <f t="shared" si="14"/>
        <v>0</v>
      </c>
      <c r="H85" s="252">
        <f t="shared" si="14"/>
        <v>0</v>
      </c>
      <c r="I85" s="252">
        <f t="shared" si="2"/>
        <v>0</v>
      </c>
      <c r="J85" s="252">
        <f t="shared" si="2"/>
        <v>0</v>
      </c>
      <c r="K85" s="252">
        <f t="shared" si="2"/>
        <v>0</v>
      </c>
      <c r="L85" s="248">
        <v>0</v>
      </c>
      <c r="M85" s="252">
        <f t="shared" ref="M85" si="64">M84</f>
        <v>3.7969147688698968E-4</v>
      </c>
      <c r="N85" s="248">
        <v>0</v>
      </c>
      <c r="O85" s="248">
        <v>0</v>
      </c>
      <c r="P85" s="252">
        <f t="shared" si="4"/>
        <v>0</v>
      </c>
      <c r="Q85" s="252">
        <f t="shared" si="4"/>
        <v>3.7969147688698968E-4</v>
      </c>
      <c r="R85" s="248">
        <v>0</v>
      </c>
      <c r="S85" s="248">
        <v>0</v>
      </c>
      <c r="T85" s="248">
        <v>0</v>
      </c>
      <c r="U85" s="252">
        <f t="shared" ref="U85:V85" si="65">U84</f>
        <v>3.7969147688698968E-4</v>
      </c>
      <c r="V85" s="252">
        <f t="shared" si="65"/>
        <v>3.7969147688698968E-4</v>
      </c>
      <c r="W85" s="248">
        <v>0</v>
      </c>
      <c r="X85" s="248">
        <v>0</v>
      </c>
      <c r="Y85" s="248">
        <v>0</v>
      </c>
      <c r="Z85" s="248">
        <v>0</v>
      </c>
      <c r="AA85" s="248">
        <v>0</v>
      </c>
      <c r="AB85" s="252">
        <f t="shared" ref="AB85:AD85" si="66">AB84</f>
        <v>0</v>
      </c>
      <c r="AC85" s="252">
        <f t="shared" si="66"/>
        <v>0</v>
      </c>
      <c r="AD85" s="252">
        <f t="shared" si="66"/>
        <v>0</v>
      </c>
      <c r="AE85" s="252">
        <f t="shared" ref="AE85:AI85" si="67">AE84</f>
        <v>3.7969147688698968E-4</v>
      </c>
      <c r="AF85" s="252">
        <f t="shared" si="67"/>
        <v>0</v>
      </c>
      <c r="AG85" s="252">
        <f t="shared" si="67"/>
        <v>0</v>
      </c>
      <c r="AH85" s="252">
        <f t="shared" si="67"/>
        <v>0</v>
      </c>
      <c r="AI85" s="252">
        <f t="shared" si="67"/>
        <v>0</v>
      </c>
      <c r="AJ85" s="248">
        <v>0</v>
      </c>
      <c r="AK85" s="252">
        <f t="shared" ref="AK85:AM85" si="68">AK84</f>
        <v>0</v>
      </c>
      <c r="AL85" s="252">
        <f t="shared" si="68"/>
        <v>0</v>
      </c>
      <c r="AM85" s="252">
        <f t="shared" si="68"/>
        <v>0</v>
      </c>
      <c r="AN85" s="252">
        <f t="shared" ref="AN85:AR85" si="69">AN84</f>
        <v>3.7969147688698968E-4</v>
      </c>
      <c r="AO85" s="252">
        <f t="shared" si="69"/>
        <v>0</v>
      </c>
      <c r="AP85" s="252">
        <f t="shared" si="69"/>
        <v>0</v>
      </c>
      <c r="AQ85" s="252">
        <f t="shared" si="69"/>
        <v>0</v>
      </c>
      <c r="AR85" s="252">
        <f t="shared" si="69"/>
        <v>0</v>
      </c>
      <c r="AS85" s="248">
        <v>0</v>
      </c>
      <c r="AT85" s="252">
        <f t="shared" si="21"/>
        <v>0</v>
      </c>
      <c r="AU85" s="252">
        <f t="shared" si="21"/>
        <v>3.7969147688698968E-4</v>
      </c>
      <c r="AV85" s="248">
        <v>0</v>
      </c>
      <c r="AW85" s="252">
        <v>0</v>
      </c>
      <c r="AX85" s="252">
        <v>0</v>
      </c>
      <c r="AY85" s="252">
        <v>0</v>
      </c>
      <c r="AZ85" s="252">
        <f t="shared" si="11"/>
        <v>3.7969147688698968E-4</v>
      </c>
      <c r="BA85" s="249">
        <v>0</v>
      </c>
      <c r="BB85" s="249">
        <v>0</v>
      </c>
      <c r="BC85" s="249">
        <v>0</v>
      </c>
      <c r="BD85" s="249">
        <v>0</v>
      </c>
      <c r="BE85" s="249">
        <v>0</v>
      </c>
      <c r="BF85" s="248">
        <v>0</v>
      </c>
      <c r="BG85" s="248">
        <v>0</v>
      </c>
      <c r="BH85" s="249">
        <v>0</v>
      </c>
      <c r="BI85" s="248">
        <v>0</v>
      </c>
      <c r="BJ85" s="248">
        <v>0</v>
      </c>
      <c r="BK85" s="248">
        <v>0</v>
      </c>
      <c r="BL85" s="248">
        <v>0</v>
      </c>
      <c r="BM85" s="248">
        <v>0</v>
      </c>
      <c r="BN85" s="248">
        <v>0</v>
      </c>
      <c r="BO85" s="248">
        <v>0</v>
      </c>
      <c r="BP85" s="248">
        <v>0</v>
      </c>
      <c r="BQ85" s="248">
        <v>0</v>
      </c>
      <c r="BR85" s="248">
        <v>0</v>
      </c>
      <c r="BS85" s="248">
        <v>0</v>
      </c>
      <c r="BT85" s="248">
        <v>0</v>
      </c>
      <c r="BU85" s="248">
        <v>0</v>
      </c>
      <c r="BV85" s="248">
        <v>0</v>
      </c>
      <c r="BW85" s="248">
        <v>0</v>
      </c>
      <c r="BX85" s="248">
        <v>0</v>
      </c>
      <c r="BY85" s="248">
        <v>0</v>
      </c>
      <c r="BZ85" s="248">
        <v>0</v>
      </c>
      <c r="CA85" s="248">
        <v>0</v>
      </c>
      <c r="CB85" s="248">
        <v>0</v>
      </c>
      <c r="CC85" s="248">
        <v>0</v>
      </c>
      <c r="CD85" s="248">
        <v>0</v>
      </c>
      <c r="CE85" s="248">
        <v>0</v>
      </c>
      <c r="CF85" s="248">
        <v>0</v>
      </c>
      <c r="CG85" s="248">
        <v>0</v>
      </c>
      <c r="CH85" s="248">
        <v>0</v>
      </c>
      <c r="CI85" s="248">
        <v>0</v>
      </c>
      <c r="CJ85" s="248">
        <v>0</v>
      </c>
      <c r="CK85" s="248">
        <v>0</v>
      </c>
      <c r="CL85" s="248">
        <v>0</v>
      </c>
      <c r="CM85" s="248">
        <v>0</v>
      </c>
      <c r="CN85" s="248">
        <v>0</v>
      </c>
      <c r="CO85" s="248">
        <v>0</v>
      </c>
      <c r="CP85" s="248">
        <v>0</v>
      </c>
      <c r="CQ85" s="248">
        <v>0</v>
      </c>
      <c r="CR85" s="248">
        <v>0</v>
      </c>
      <c r="CS85" s="248">
        <v>0</v>
      </c>
      <c r="CT85" s="248">
        <v>0</v>
      </c>
      <c r="CU85" s="248">
        <v>0</v>
      </c>
      <c r="CV85" s="248">
        <v>0</v>
      </c>
      <c r="CW85" s="248">
        <v>0</v>
      </c>
      <c r="CX85" s="248">
        <v>0</v>
      </c>
      <c r="CY85" s="248">
        <v>0</v>
      </c>
      <c r="CZ85" s="248">
        <v>0</v>
      </c>
      <c r="DA85" s="248">
        <v>0</v>
      </c>
      <c r="DB85" s="248">
        <v>0</v>
      </c>
      <c r="DC85" s="248">
        <v>0</v>
      </c>
      <c r="DD85" s="248">
        <v>0</v>
      </c>
      <c r="DE85" s="248">
        <v>0</v>
      </c>
      <c r="DF85" s="248">
        <v>0</v>
      </c>
      <c r="DG85" s="248">
        <v>0</v>
      </c>
      <c r="DH85" s="248">
        <v>0</v>
      </c>
      <c r="DI85" s="248">
        <v>0</v>
      </c>
      <c r="DJ85" s="248">
        <v>0</v>
      </c>
      <c r="DK85" s="248">
        <v>0</v>
      </c>
      <c r="DL85" s="248">
        <v>0</v>
      </c>
      <c r="DM85" s="248">
        <v>0</v>
      </c>
      <c r="DN85" s="248">
        <v>0</v>
      </c>
      <c r="DO85" s="248">
        <v>0</v>
      </c>
      <c r="DP85" s="248">
        <v>0</v>
      </c>
      <c r="DQ85" s="248">
        <v>0</v>
      </c>
      <c r="DR85" s="248">
        <v>0</v>
      </c>
      <c r="DS85" s="248">
        <v>0</v>
      </c>
      <c r="DT85" s="248">
        <v>0</v>
      </c>
      <c r="DU85" s="248">
        <v>0</v>
      </c>
      <c r="DV85" s="248">
        <v>0</v>
      </c>
      <c r="DW85" s="248">
        <v>0</v>
      </c>
      <c r="DX85" s="248">
        <v>0</v>
      </c>
      <c r="DY85" s="248">
        <v>0</v>
      </c>
      <c r="DZ85" s="248">
        <v>0</v>
      </c>
      <c r="EA85" s="248">
        <v>0</v>
      </c>
      <c r="EB85" s="248">
        <v>0</v>
      </c>
    </row>
    <row r="86" spans="2:132" ht="14.5" x14ac:dyDescent="0.35">
      <c r="B86" s="198">
        <v>31</v>
      </c>
      <c r="C86" s="252">
        <f t="shared" si="12"/>
        <v>0</v>
      </c>
      <c r="D86" s="248">
        <v>0</v>
      </c>
      <c r="E86" s="252">
        <f t="shared" si="13"/>
        <v>0</v>
      </c>
      <c r="F86" s="252">
        <f t="shared" si="14"/>
        <v>0</v>
      </c>
      <c r="G86" s="252">
        <f t="shared" si="14"/>
        <v>0</v>
      </c>
      <c r="H86" s="252">
        <f t="shared" si="14"/>
        <v>0</v>
      </c>
      <c r="I86" s="252">
        <f t="shared" si="2"/>
        <v>0</v>
      </c>
      <c r="J86" s="252">
        <f t="shared" si="2"/>
        <v>0</v>
      </c>
      <c r="K86" s="252">
        <f t="shared" si="2"/>
        <v>0</v>
      </c>
      <c r="L86" s="248">
        <v>0</v>
      </c>
      <c r="M86" s="252">
        <f t="shared" ref="M86" si="70">M85</f>
        <v>3.7969147688698968E-4</v>
      </c>
      <c r="N86" s="248">
        <v>0</v>
      </c>
      <c r="O86" s="248">
        <v>0</v>
      </c>
      <c r="P86" s="252">
        <f t="shared" si="4"/>
        <v>0</v>
      </c>
      <c r="Q86" s="252">
        <f t="shared" si="4"/>
        <v>3.7969147688698968E-4</v>
      </c>
      <c r="R86" s="248">
        <v>0</v>
      </c>
      <c r="S86" s="248">
        <v>0</v>
      </c>
      <c r="T86" s="248">
        <v>0</v>
      </c>
      <c r="U86" s="252">
        <f t="shared" ref="U86:V86" si="71">U85</f>
        <v>3.7969147688698968E-4</v>
      </c>
      <c r="V86" s="252">
        <f t="shared" si="71"/>
        <v>3.7969147688698968E-4</v>
      </c>
      <c r="W86" s="248">
        <v>0</v>
      </c>
      <c r="X86" s="248">
        <v>0</v>
      </c>
      <c r="Y86" s="248">
        <v>0</v>
      </c>
      <c r="Z86" s="248">
        <v>0</v>
      </c>
      <c r="AA86" s="248">
        <v>0</v>
      </c>
      <c r="AB86" s="252">
        <f t="shared" ref="AB86:AD86" si="72">AB85</f>
        <v>0</v>
      </c>
      <c r="AC86" s="252">
        <f t="shared" si="72"/>
        <v>0</v>
      </c>
      <c r="AD86" s="252">
        <f t="shared" si="72"/>
        <v>0</v>
      </c>
      <c r="AE86" s="252">
        <f t="shared" ref="AE86:AI86" si="73">AE85</f>
        <v>3.7969147688698968E-4</v>
      </c>
      <c r="AF86" s="252">
        <f t="shared" si="73"/>
        <v>0</v>
      </c>
      <c r="AG86" s="252">
        <f t="shared" si="73"/>
        <v>0</v>
      </c>
      <c r="AH86" s="252">
        <f t="shared" si="73"/>
        <v>0</v>
      </c>
      <c r="AI86" s="252">
        <f t="shared" si="73"/>
        <v>0</v>
      </c>
      <c r="AJ86" s="248">
        <v>0</v>
      </c>
      <c r="AK86" s="252">
        <f t="shared" ref="AK86:AM86" si="74">AK85</f>
        <v>0</v>
      </c>
      <c r="AL86" s="252">
        <f t="shared" si="74"/>
        <v>0</v>
      </c>
      <c r="AM86" s="252">
        <f t="shared" si="74"/>
        <v>0</v>
      </c>
      <c r="AN86" s="252">
        <f t="shared" ref="AN86:AR86" si="75">AN85</f>
        <v>3.7969147688698968E-4</v>
      </c>
      <c r="AO86" s="252">
        <f t="shared" si="75"/>
        <v>0</v>
      </c>
      <c r="AP86" s="252">
        <f t="shared" si="75"/>
        <v>0</v>
      </c>
      <c r="AQ86" s="252">
        <f t="shared" si="75"/>
        <v>0</v>
      </c>
      <c r="AR86" s="252">
        <f t="shared" si="75"/>
        <v>0</v>
      </c>
      <c r="AS86" s="248">
        <v>0</v>
      </c>
      <c r="AT86" s="252">
        <f t="shared" si="21"/>
        <v>0</v>
      </c>
      <c r="AU86" s="252">
        <f t="shared" si="21"/>
        <v>3.7969147688698968E-4</v>
      </c>
      <c r="AV86" s="248">
        <v>0</v>
      </c>
      <c r="AW86" s="252">
        <v>0</v>
      </c>
      <c r="AX86" s="252">
        <v>0</v>
      </c>
      <c r="AY86" s="252">
        <v>0</v>
      </c>
      <c r="AZ86" s="252">
        <f t="shared" si="11"/>
        <v>3.7969147688698968E-4</v>
      </c>
      <c r="BA86" s="249">
        <v>1</v>
      </c>
      <c r="BB86" s="249">
        <v>1</v>
      </c>
      <c r="BC86" s="249">
        <v>1</v>
      </c>
      <c r="BD86" s="249">
        <v>1</v>
      </c>
      <c r="BE86" s="249">
        <v>1</v>
      </c>
      <c r="BF86" s="248">
        <v>0</v>
      </c>
      <c r="BG86" s="248">
        <v>0</v>
      </c>
      <c r="BH86" s="249">
        <v>1</v>
      </c>
      <c r="BI86" s="248">
        <v>0</v>
      </c>
      <c r="BJ86" s="248">
        <v>0</v>
      </c>
      <c r="BK86" s="248">
        <v>0</v>
      </c>
      <c r="BL86" s="248">
        <v>0</v>
      </c>
      <c r="BM86" s="248">
        <v>0</v>
      </c>
      <c r="BN86" s="248">
        <v>0</v>
      </c>
      <c r="BO86" s="248">
        <v>0</v>
      </c>
      <c r="BP86" s="248">
        <v>0</v>
      </c>
      <c r="BQ86" s="248">
        <v>0</v>
      </c>
      <c r="BR86" s="248">
        <v>0</v>
      </c>
      <c r="BS86" s="248">
        <v>0</v>
      </c>
      <c r="BT86" s="248">
        <v>0</v>
      </c>
      <c r="BU86" s="248">
        <v>0</v>
      </c>
      <c r="BV86" s="248">
        <v>0</v>
      </c>
      <c r="BW86" s="248">
        <v>0</v>
      </c>
      <c r="BX86" s="248">
        <v>0</v>
      </c>
      <c r="BY86" s="248">
        <v>0</v>
      </c>
      <c r="BZ86" s="248">
        <v>0</v>
      </c>
      <c r="CA86" s="248">
        <v>0</v>
      </c>
      <c r="CB86" s="248">
        <v>0</v>
      </c>
      <c r="CC86" s="248">
        <v>0</v>
      </c>
      <c r="CD86" s="248">
        <v>0</v>
      </c>
      <c r="CE86" s="248">
        <v>0</v>
      </c>
      <c r="CF86" s="248">
        <v>0</v>
      </c>
      <c r="CG86" s="248">
        <v>0</v>
      </c>
      <c r="CH86" s="248">
        <v>0</v>
      </c>
      <c r="CI86" s="248">
        <v>0</v>
      </c>
      <c r="CJ86" s="248">
        <v>0</v>
      </c>
      <c r="CK86" s="248">
        <v>0</v>
      </c>
      <c r="CL86" s="248">
        <v>0</v>
      </c>
      <c r="CM86" s="248">
        <v>0</v>
      </c>
      <c r="CN86" s="248">
        <v>0</v>
      </c>
      <c r="CO86" s="248">
        <v>0</v>
      </c>
      <c r="CP86" s="248">
        <v>0</v>
      </c>
      <c r="CQ86" s="248">
        <v>0</v>
      </c>
      <c r="CR86" s="248">
        <v>0</v>
      </c>
      <c r="CS86" s="248">
        <v>0</v>
      </c>
      <c r="CT86" s="248">
        <v>0</v>
      </c>
      <c r="CU86" s="248">
        <v>0</v>
      </c>
      <c r="CV86" s="248">
        <v>0</v>
      </c>
      <c r="CW86" s="248">
        <v>0</v>
      </c>
      <c r="CX86" s="248">
        <v>0</v>
      </c>
      <c r="CY86" s="248">
        <v>0</v>
      </c>
      <c r="CZ86" s="248">
        <v>0</v>
      </c>
      <c r="DA86" s="248">
        <v>0</v>
      </c>
      <c r="DB86" s="248">
        <v>0</v>
      </c>
      <c r="DC86" s="248">
        <v>0</v>
      </c>
      <c r="DD86" s="248">
        <v>0</v>
      </c>
      <c r="DE86" s="248">
        <v>0</v>
      </c>
      <c r="DF86" s="248">
        <v>0</v>
      </c>
      <c r="DG86" s="248">
        <v>0</v>
      </c>
      <c r="DH86" s="248">
        <v>0</v>
      </c>
      <c r="DI86" s="248">
        <v>0</v>
      </c>
      <c r="DJ86" s="248">
        <v>0</v>
      </c>
      <c r="DK86" s="248">
        <v>0</v>
      </c>
      <c r="DL86" s="248">
        <v>0</v>
      </c>
      <c r="DM86" s="248">
        <v>0</v>
      </c>
      <c r="DN86" s="248">
        <v>0</v>
      </c>
      <c r="DO86" s="248">
        <v>0</v>
      </c>
      <c r="DP86" s="248">
        <v>0</v>
      </c>
      <c r="DQ86" s="248">
        <v>0</v>
      </c>
      <c r="DR86" s="248">
        <v>0</v>
      </c>
      <c r="DS86" s="248">
        <v>0</v>
      </c>
      <c r="DT86" s="248">
        <v>0</v>
      </c>
      <c r="DU86" s="248">
        <v>0</v>
      </c>
      <c r="DV86" s="248">
        <v>0</v>
      </c>
      <c r="DW86" s="248">
        <v>0</v>
      </c>
      <c r="DX86" s="248">
        <v>0</v>
      </c>
      <c r="DY86" s="248">
        <v>0</v>
      </c>
      <c r="DZ86" s="248">
        <v>0</v>
      </c>
      <c r="EA86" s="248">
        <v>0</v>
      </c>
      <c r="EB86" s="248">
        <v>0</v>
      </c>
    </row>
    <row r="87" spans="2:132" ht="14.5" x14ac:dyDescent="0.35">
      <c r="B87" s="198">
        <v>32</v>
      </c>
      <c r="C87" s="252">
        <f t="shared" si="12"/>
        <v>0</v>
      </c>
      <c r="D87" s="248">
        <v>0</v>
      </c>
      <c r="E87" s="252">
        <f t="shared" si="13"/>
        <v>0</v>
      </c>
      <c r="F87" s="252">
        <f t="shared" si="14"/>
        <v>0</v>
      </c>
      <c r="G87" s="252">
        <f t="shared" si="14"/>
        <v>0</v>
      </c>
      <c r="H87" s="252">
        <f t="shared" si="14"/>
        <v>0</v>
      </c>
      <c r="I87" s="252">
        <f t="shared" si="2"/>
        <v>0</v>
      </c>
      <c r="J87" s="252">
        <f t="shared" si="2"/>
        <v>0</v>
      </c>
      <c r="K87" s="252">
        <f t="shared" si="2"/>
        <v>0</v>
      </c>
      <c r="L87" s="248">
        <v>0</v>
      </c>
      <c r="M87" s="252">
        <f t="shared" ref="M87" si="76">M86</f>
        <v>3.7969147688698968E-4</v>
      </c>
      <c r="N87" s="248">
        <v>0</v>
      </c>
      <c r="O87" s="248">
        <v>0</v>
      </c>
      <c r="P87" s="252">
        <f t="shared" si="4"/>
        <v>0</v>
      </c>
      <c r="Q87" s="252">
        <f t="shared" si="4"/>
        <v>3.7969147688698968E-4</v>
      </c>
      <c r="R87" s="248">
        <v>0</v>
      </c>
      <c r="S87" s="248">
        <v>0</v>
      </c>
      <c r="T87" s="248">
        <v>0</v>
      </c>
      <c r="U87" s="252">
        <f t="shared" ref="U87:V87" si="77">U86</f>
        <v>3.7969147688698968E-4</v>
      </c>
      <c r="V87" s="252">
        <f t="shared" si="77"/>
        <v>3.7969147688698968E-4</v>
      </c>
      <c r="W87" s="248">
        <v>0</v>
      </c>
      <c r="X87" s="248">
        <v>0</v>
      </c>
      <c r="Y87" s="248">
        <v>0</v>
      </c>
      <c r="Z87" s="248">
        <v>0</v>
      </c>
      <c r="AA87" s="248">
        <v>0</v>
      </c>
      <c r="AB87" s="252">
        <f t="shared" ref="AB87:AD87" si="78">AB86</f>
        <v>0</v>
      </c>
      <c r="AC87" s="252">
        <f t="shared" si="78"/>
        <v>0</v>
      </c>
      <c r="AD87" s="252">
        <f t="shared" si="78"/>
        <v>0</v>
      </c>
      <c r="AE87" s="252">
        <f t="shared" ref="AE87:AI87" si="79">AE86</f>
        <v>3.7969147688698968E-4</v>
      </c>
      <c r="AF87" s="252">
        <f t="shared" si="79"/>
        <v>0</v>
      </c>
      <c r="AG87" s="252">
        <f t="shared" si="79"/>
        <v>0</v>
      </c>
      <c r="AH87" s="252">
        <f t="shared" si="79"/>
        <v>0</v>
      </c>
      <c r="AI87" s="252">
        <f t="shared" si="79"/>
        <v>0</v>
      </c>
      <c r="AJ87" s="248">
        <v>0</v>
      </c>
      <c r="AK87" s="252">
        <f t="shared" ref="AK87:AM87" si="80">AK86</f>
        <v>0</v>
      </c>
      <c r="AL87" s="252">
        <f t="shared" si="80"/>
        <v>0</v>
      </c>
      <c r="AM87" s="252">
        <f t="shared" si="80"/>
        <v>0</v>
      </c>
      <c r="AN87" s="252">
        <f t="shared" ref="AN87:AR87" si="81">AN86</f>
        <v>3.7969147688698968E-4</v>
      </c>
      <c r="AO87" s="252">
        <f t="shared" si="81"/>
        <v>0</v>
      </c>
      <c r="AP87" s="252">
        <f t="shared" si="81"/>
        <v>0</v>
      </c>
      <c r="AQ87" s="252">
        <f t="shared" si="81"/>
        <v>0</v>
      </c>
      <c r="AR87" s="252">
        <f t="shared" si="81"/>
        <v>0</v>
      </c>
      <c r="AS87" s="248">
        <v>0</v>
      </c>
      <c r="AT87" s="252">
        <f t="shared" si="21"/>
        <v>0</v>
      </c>
      <c r="AU87" s="252">
        <f t="shared" si="21"/>
        <v>3.7969147688698968E-4</v>
      </c>
      <c r="AV87" s="248">
        <v>0</v>
      </c>
      <c r="AW87" s="252">
        <v>0</v>
      </c>
      <c r="AX87" s="252">
        <v>0</v>
      </c>
      <c r="AY87" s="252">
        <v>0</v>
      </c>
      <c r="AZ87" s="252">
        <f t="shared" si="11"/>
        <v>3.7969147688698968E-4</v>
      </c>
      <c r="BA87" s="249">
        <v>0</v>
      </c>
      <c r="BB87" s="249">
        <v>0</v>
      </c>
      <c r="BC87" s="249">
        <v>0</v>
      </c>
      <c r="BD87" s="249">
        <v>0</v>
      </c>
      <c r="BE87" s="249">
        <v>0</v>
      </c>
      <c r="BF87" s="248">
        <v>0</v>
      </c>
      <c r="BG87" s="248">
        <v>0</v>
      </c>
      <c r="BH87" s="249">
        <v>0</v>
      </c>
      <c r="BI87" s="248">
        <v>0</v>
      </c>
      <c r="BJ87" s="248">
        <v>0</v>
      </c>
      <c r="BK87" s="248">
        <v>0</v>
      </c>
      <c r="BL87" s="248">
        <v>0</v>
      </c>
      <c r="BM87" s="248">
        <v>0</v>
      </c>
      <c r="BN87" s="248">
        <v>0</v>
      </c>
      <c r="BO87" s="248">
        <v>0</v>
      </c>
      <c r="BP87" s="248">
        <v>0</v>
      </c>
      <c r="BQ87" s="248">
        <v>0</v>
      </c>
      <c r="BR87" s="248">
        <v>0</v>
      </c>
      <c r="BS87" s="248">
        <v>0</v>
      </c>
      <c r="BT87" s="248">
        <v>0</v>
      </c>
      <c r="BU87" s="248">
        <v>0</v>
      </c>
      <c r="BV87" s="248">
        <v>0</v>
      </c>
      <c r="BW87" s="248">
        <v>0</v>
      </c>
      <c r="BX87" s="248">
        <v>0</v>
      </c>
      <c r="BY87" s="248">
        <v>0</v>
      </c>
      <c r="BZ87" s="248">
        <v>0</v>
      </c>
      <c r="CA87" s="248">
        <v>0</v>
      </c>
      <c r="CB87" s="248">
        <v>0</v>
      </c>
      <c r="CC87" s="248">
        <v>0</v>
      </c>
      <c r="CD87" s="248">
        <v>0</v>
      </c>
      <c r="CE87" s="248">
        <v>0</v>
      </c>
      <c r="CF87" s="248">
        <v>0</v>
      </c>
      <c r="CG87" s="248">
        <v>0</v>
      </c>
      <c r="CH87" s="248">
        <v>0</v>
      </c>
      <c r="CI87" s="248">
        <v>0</v>
      </c>
      <c r="CJ87" s="248">
        <v>0</v>
      </c>
      <c r="CK87" s="248">
        <v>0</v>
      </c>
      <c r="CL87" s="248">
        <v>0</v>
      </c>
      <c r="CM87" s="248">
        <v>0</v>
      </c>
      <c r="CN87" s="248">
        <v>0</v>
      </c>
      <c r="CO87" s="248">
        <v>0</v>
      </c>
      <c r="CP87" s="248">
        <v>0</v>
      </c>
      <c r="CQ87" s="248">
        <v>0</v>
      </c>
      <c r="CR87" s="248">
        <v>0</v>
      </c>
      <c r="CS87" s="248">
        <v>0</v>
      </c>
      <c r="CT87" s="248">
        <v>0</v>
      </c>
      <c r="CU87" s="248">
        <v>0</v>
      </c>
      <c r="CV87" s="248">
        <v>0</v>
      </c>
      <c r="CW87" s="248">
        <v>0</v>
      </c>
      <c r="CX87" s="248">
        <v>0</v>
      </c>
      <c r="CY87" s="248">
        <v>0</v>
      </c>
      <c r="CZ87" s="248">
        <v>0</v>
      </c>
      <c r="DA87" s="248">
        <v>0</v>
      </c>
      <c r="DB87" s="248">
        <v>0</v>
      </c>
      <c r="DC87" s="248">
        <v>0</v>
      </c>
      <c r="DD87" s="248">
        <v>0</v>
      </c>
      <c r="DE87" s="248">
        <v>0</v>
      </c>
      <c r="DF87" s="248">
        <v>0</v>
      </c>
      <c r="DG87" s="248">
        <v>0</v>
      </c>
      <c r="DH87" s="248">
        <v>0</v>
      </c>
      <c r="DI87" s="248">
        <v>0</v>
      </c>
      <c r="DJ87" s="248">
        <v>0</v>
      </c>
      <c r="DK87" s="248">
        <v>0</v>
      </c>
      <c r="DL87" s="248">
        <v>0</v>
      </c>
      <c r="DM87" s="248">
        <v>0</v>
      </c>
      <c r="DN87" s="248">
        <v>0</v>
      </c>
      <c r="DO87" s="248">
        <v>0</v>
      </c>
      <c r="DP87" s="248">
        <v>0</v>
      </c>
      <c r="DQ87" s="248">
        <v>0</v>
      </c>
      <c r="DR87" s="248">
        <v>0</v>
      </c>
      <c r="DS87" s="248">
        <v>0</v>
      </c>
      <c r="DT87" s="248">
        <v>0</v>
      </c>
      <c r="DU87" s="248">
        <v>0</v>
      </c>
      <c r="DV87" s="248">
        <v>0</v>
      </c>
      <c r="DW87" s="248">
        <v>0</v>
      </c>
      <c r="DX87" s="248">
        <v>0</v>
      </c>
      <c r="DY87" s="248">
        <v>0</v>
      </c>
      <c r="DZ87" s="248">
        <v>0</v>
      </c>
      <c r="EA87" s="248">
        <v>0</v>
      </c>
      <c r="EB87" s="248">
        <v>0</v>
      </c>
    </row>
    <row r="88" spans="2:132" ht="14.5" x14ac:dyDescent="0.35">
      <c r="B88" s="198">
        <v>33</v>
      </c>
      <c r="C88" s="252">
        <f t="shared" si="12"/>
        <v>0</v>
      </c>
      <c r="D88" s="248">
        <v>0</v>
      </c>
      <c r="E88" s="252">
        <f t="shared" si="13"/>
        <v>0</v>
      </c>
      <c r="F88" s="252">
        <f t="shared" si="14"/>
        <v>0</v>
      </c>
      <c r="G88" s="252">
        <f t="shared" si="14"/>
        <v>0</v>
      </c>
      <c r="H88" s="252">
        <f t="shared" si="14"/>
        <v>0</v>
      </c>
      <c r="I88" s="252">
        <f t="shared" si="2"/>
        <v>0</v>
      </c>
      <c r="J88" s="252">
        <f t="shared" si="2"/>
        <v>0</v>
      </c>
      <c r="K88" s="252">
        <f t="shared" si="2"/>
        <v>0</v>
      </c>
      <c r="L88" s="248">
        <v>0</v>
      </c>
      <c r="M88" s="252">
        <f t="shared" ref="M88" si="82">M87</f>
        <v>3.7969147688698968E-4</v>
      </c>
      <c r="N88" s="248">
        <v>0</v>
      </c>
      <c r="O88" s="248">
        <v>0</v>
      </c>
      <c r="P88" s="252">
        <f t="shared" si="4"/>
        <v>0</v>
      </c>
      <c r="Q88" s="252">
        <f t="shared" si="4"/>
        <v>3.7969147688698968E-4</v>
      </c>
      <c r="R88" s="248">
        <v>0</v>
      </c>
      <c r="S88" s="248">
        <v>0</v>
      </c>
      <c r="T88" s="248">
        <v>0</v>
      </c>
      <c r="U88" s="252">
        <f t="shared" ref="U88:V88" si="83">U87</f>
        <v>3.7969147688698968E-4</v>
      </c>
      <c r="V88" s="252">
        <f t="shared" si="83"/>
        <v>3.7969147688698968E-4</v>
      </c>
      <c r="W88" s="248">
        <v>0</v>
      </c>
      <c r="X88" s="248">
        <v>0</v>
      </c>
      <c r="Y88" s="248">
        <v>0</v>
      </c>
      <c r="Z88" s="248">
        <v>0</v>
      </c>
      <c r="AA88" s="248">
        <v>0</v>
      </c>
      <c r="AB88" s="252">
        <f t="shared" ref="AB88:AD88" si="84">AB87</f>
        <v>0</v>
      </c>
      <c r="AC88" s="252">
        <f t="shared" si="84"/>
        <v>0</v>
      </c>
      <c r="AD88" s="252">
        <f t="shared" si="84"/>
        <v>0</v>
      </c>
      <c r="AE88" s="252">
        <f t="shared" ref="AE88:AI88" si="85">AE87</f>
        <v>3.7969147688698968E-4</v>
      </c>
      <c r="AF88" s="252">
        <f t="shared" si="85"/>
        <v>0</v>
      </c>
      <c r="AG88" s="252">
        <f t="shared" si="85"/>
        <v>0</v>
      </c>
      <c r="AH88" s="252">
        <f t="shared" si="85"/>
        <v>0</v>
      </c>
      <c r="AI88" s="252">
        <f t="shared" si="85"/>
        <v>0</v>
      </c>
      <c r="AJ88" s="248">
        <v>0</v>
      </c>
      <c r="AK88" s="252">
        <f t="shared" ref="AK88:AM88" si="86">AK87</f>
        <v>0</v>
      </c>
      <c r="AL88" s="252">
        <f t="shared" si="86"/>
        <v>0</v>
      </c>
      <c r="AM88" s="252">
        <f t="shared" si="86"/>
        <v>0</v>
      </c>
      <c r="AN88" s="252">
        <f t="shared" ref="AN88:AR88" si="87">AN87</f>
        <v>3.7969147688698968E-4</v>
      </c>
      <c r="AO88" s="252">
        <f t="shared" si="87"/>
        <v>0</v>
      </c>
      <c r="AP88" s="252">
        <f t="shared" si="87"/>
        <v>0</v>
      </c>
      <c r="AQ88" s="252">
        <f t="shared" si="87"/>
        <v>0</v>
      </c>
      <c r="AR88" s="252">
        <f t="shared" si="87"/>
        <v>0</v>
      </c>
      <c r="AS88" s="248">
        <v>0</v>
      </c>
      <c r="AT88" s="252">
        <f t="shared" si="21"/>
        <v>0</v>
      </c>
      <c r="AU88" s="252">
        <f t="shared" si="21"/>
        <v>3.7969147688698968E-4</v>
      </c>
      <c r="AV88" s="248">
        <v>0</v>
      </c>
      <c r="AW88" s="252">
        <v>0</v>
      </c>
      <c r="AX88" s="252">
        <v>0</v>
      </c>
      <c r="AY88" s="252">
        <v>0</v>
      </c>
      <c r="AZ88" s="252">
        <f t="shared" si="11"/>
        <v>3.7969147688698968E-4</v>
      </c>
      <c r="BA88" s="249">
        <v>0</v>
      </c>
      <c r="BB88" s="249">
        <v>0</v>
      </c>
      <c r="BC88" s="249">
        <v>0</v>
      </c>
      <c r="BD88" s="249">
        <v>0</v>
      </c>
      <c r="BE88" s="249">
        <v>0</v>
      </c>
      <c r="BF88" s="248">
        <v>0</v>
      </c>
      <c r="BG88" s="248">
        <v>0</v>
      </c>
      <c r="BH88" s="249">
        <v>0</v>
      </c>
      <c r="BI88" s="248">
        <v>0</v>
      </c>
      <c r="BJ88" s="248">
        <v>0</v>
      </c>
      <c r="BK88" s="248">
        <v>0</v>
      </c>
      <c r="BL88" s="248">
        <v>0</v>
      </c>
      <c r="BM88" s="248">
        <v>0</v>
      </c>
      <c r="BN88" s="248">
        <v>0</v>
      </c>
      <c r="BO88" s="248">
        <v>0</v>
      </c>
      <c r="BP88" s="248">
        <v>0</v>
      </c>
      <c r="BQ88" s="248">
        <v>0</v>
      </c>
      <c r="BR88" s="248">
        <v>0</v>
      </c>
      <c r="BS88" s="248">
        <v>0</v>
      </c>
      <c r="BT88" s="248">
        <v>0</v>
      </c>
      <c r="BU88" s="248">
        <v>0</v>
      </c>
      <c r="BV88" s="248">
        <v>0</v>
      </c>
      <c r="BW88" s="248">
        <v>0</v>
      </c>
      <c r="BX88" s="248">
        <v>0</v>
      </c>
      <c r="BY88" s="248">
        <v>0</v>
      </c>
      <c r="BZ88" s="248">
        <v>0</v>
      </c>
      <c r="CA88" s="248">
        <v>0</v>
      </c>
      <c r="CB88" s="248">
        <v>0</v>
      </c>
      <c r="CC88" s="248">
        <v>0</v>
      </c>
      <c r="CD88" s="248">
        <v>0</v>
      </c>
      <c r="CE88" s="248">
        <v>0</v>
      </c>
      <c r="CF88" s="248">
        <v>0</v>
      </c>
      <c r="CG88" s="248">
        <v>0</v>
      </c>
      <c r="CH88" s="248">
        <v>0</v>
      </c>
      <c r="CI88" s="248">
        <v>0</v>
      </c>
      <c r="CJ88" s="248">
        <v>0</v>
      </c>
      <c r="CK88" s="248">
        <v>0</v>
      </c>
      <c r="CL88" s="248">
        <v>0</v>
      </c>
      <c r="CM88" s="248">
        <v>0</v>
      </c>
      <c r="CN88" s="248">
        <v>0</v>
      </c>
      <c r="CO88" s="248">
        <v>0</v>
      </c>
      <c r="CP88" s="248">
        <v>0</v>
      </c>
      <c r="CQ88" s="248">
        <v>0</v>
      </c>
      <c r="CR88" s="248">
        <v>0</v>
      </c>
      <c r="CS88" s="248">
        <v>0</v>
      </c>
      <c r="CT88" s="248">
        <v>0</v>
      </c>
      <c r="CU88" s="248">
        <v>0</v>
      </c>
      <c r="CV88" s="248">
        <v>0</v>
      </c>
      <c r="CW88" s="248">
        <v>0</v>
      </c>
      <c r="CX88" s="248">
        <v>0</v>
      </c>
      <c r="CY88" s="248">
        <v>0</v>
      </c>
      <c r="CZ88" s="248">
        <v>0</v>
      </c>
      <c r="DA88" s="248">
        <v>0</v>
      </c>
      <c r="DB88" s="248">
        <v>0</v>
      </c>
      <c r="DC88" s="248">
        <v>0</v>
      </c>
      <c r="DD88" s="248">
        <v>0</v>
      </c>
      <c r="DE88" s="248">
        <v>0</v>
      </c>
      <c r="DF88" s="248">
        <v>0</v>
      </c>
      <c r="DG88" s="248">
        <v>0</v>
      </c>
      <c r="DH88" s="248">
        <v>0</v>
      </c>
      <c r="DI88" s="248">
        <v>0</v>
      </c>
      <c r="DJ88" s="248">
        <v>0</v>
      </c>
      <c r="DK88" s="248">
        <v>0</v>
      </c>
      <c r="DL88" s="248">
        <v>0</v>
      </c>
      <c r="DM88" s="248">
        <v>0</v>
      </c>
      <c r="DN88" s="248">
        <v>0</v>
      </c>
      <c r="DO88" s="248">
        <v>0</v>
      </c>
      <c r="DP88" s="248">
        <v>0</v>
      </c>
      <c r="DQ88" s="248">
        <v>0</v>
      </c>
      <c r="DR88" s="248">
        <v>0</v>
      </c>
      <c r="DS88" s="248">
        <v>0</v>
      </c>
      <c r="DT88" s="248">
        <v>0</v>
      </c>
      <c r="DU88" s="248">
        <v>0</v>
      </c>
      <c r="DV88" s="248">
        <v>0</v>
      </c>
      <c r="DW88" s="248">
        <v>0</v>
      </c>
      <c r="DX88" s="248">
        <v>0</v>
      </c>
      <c r="DY88" s="248">
        <v>0</v>
      </c>
      <c r="DZ88" s="248">
        <v>0</v>
      </c>
      <c r="EA88" s="248">
        <v>0</v>
      </c>
      <c r="EB88" s="248">
        <v>0</v>
      </c>
    </row>
    <row r="89" spans="2:132" ht="14.5" x14ac:dyDescent="0.35">
      <c r="B89" s="198">
        <v>34</v>
      </c>
      <c r="C89" s="252">
        <f t="shared" si="12"/>
        <v>0</v>
      </c>
      <c r="D89" s="248">
        <v>0</v>
      </c>
      <c r="E89" s="252">
        <f t="shared" si="13"/>
        <v>0</v>
      </c>
      <c r="F89" s="252">
        <f t="shared" si="14"/>
        <v>0</v>
      </c>
      <c r="G89" s="252">
        <f t="shared" si="14"/>
        <v>0</v>
      </c>
      <c r="H89" s="252">
        <f t="shared" si="14"/>
        <v>0</v>
      </c>
      <c r="I89" s="252">
        <f t="shared" si="2"/>
        <v>0</v>
      </c>
      <c r="J89" s="252">
        <f t="shared" si="2"/>
        <v>0</v>
      </c>
      <c r="K89" s="252">
        <f t="shared" si="2"/>
        <v>0</v>
      </c>
      <c r="L89" s="248">
        <v>0</v>
      </c>
      <c r="M89" s="252">
        <f t="shared" ref="M89" si="88">M88</f>
        <v>3.7969147688698968E-4</v>
      </c>
      <c r="N89" s="248">
        <v>0</v>
      </c>
      <c r="O89" s="248">
        <v>0</v>
      </c>
      <c r="P89" s="252">
        <f t="shared" si="4"/>
        <v>0</v>
      </c>
      <c r="Q89" s="252">
        <f t="shared" si="4"/>
        <v>3.7969147688698968E-4</v>
      </c>
      <c r="R89" s="248">
        <v>0</v>
      </c>
      <c r="S89" s="248">
        <v>0</v>
      </c>
      <c r="T89" s="248">
        <v>0</v>
      </c>
      <c r="U89" s="252">
        <f t="shared" ref="U89:V89" si="89">U88</f>
        <v>3.7969147688698968E-4</v>
      </c>
      <c r="V89" s="252">
        <f t="shared" si="89"/>
        <v>3.7969147688698968E-4</v>
      </c>
      <c r="W89" s="248">
        <v>0</v>
      </c>
      <c r="X89" s="248">
        <v>0</v>
      </c>
      <c r="Y89" s="248">
        <v>0</v>
      </c>
      <c r="Z89" s="248">
        <v>0</v>
      </c>
      <c r="AA89" s="248">
        <v>0</v>
      </c>
      <c r="AB89" s="252">
        <f t="shared" ref="AB89:AD89" si="90">AB88</f>
        <v>0</v>
      </c>
      <c r="AC89" s="252">
        <f t="shared" si="90"/>
        <v>0</v>
      </c>
      <c r="AD89" s="252">
        <f t="shared" si="90"/>
        <v>0</v>
      </c>
      <c r="AE89" s="252">
        <f t="shared" ref="AE89:AI89" si="91">AE88</f>
        <v>3.7969147688698968E-4</v>
      </c>
      <c r="AF89" s="252">
        <f t="shared" si="91"/>
        <v>0</v>
      </c>
      <c r="AG89" s="252">
        <f t="shared" si="91"/>
        <v>0</v>
      </c>
      <c r="AH89" s="252">
        <f t="shared" si="91"/>
        <v>0</v>
      </c>
      <c r="AI89" s="252">
        <f t="shared" si="91"/>
        <v>0</v>
      </c>
      <c r="AJ89" s="248">
        <v>0</v>
      </c>
      <c r="AK89" s="252">
        <f t="shared" ref="AK89:AM89" si="92">AK88</f>
        <v>0</v>
      </c>
      <c r="AL89" s="252">
        <f t="shared" si="92"/>
        <v>0</v>
      </c>
      <c r="AM89" s="252">
        <f t="shared" si="92"/>
        <v>0</v>
      </c>
      <c r="AN89" s="252">
        <f t="shared" ref="AN89:AR89" si="93">AN88</f>
        <v>3.7969147688698968E-4</v>
      </c>
      <c r="AO89" s="252">
        <f t="shared" si="93"/>
        <v>0</v>
      </c>
      <c r="AP89" s="252">
        <f t="shared" si="93"/>
        <v>0</v>
      </c>
      <c r="AQ89" s="252">
        <f t="shared" si="93"/>
        <v>0</v>
      </c>
      <c r="AR89" s="252">
        <f t="shared" si="93"/>
        <v>0</v>
      </c>
      <c r="AS89" s="248">
        <v>0</v>
      </c>
      <c r="AT89" s="252">
        <f t="shared" si="21"/>
        <v>0</v>
      </c>
      <c r="AU89" s="252">
        <f t="shared" si="21"/>
        <v>3.7969147688698968E-4</v>
      </c>
      <c r="AV89" s="248">
        <v>0</v>
      </c>
      <c r="AW89" s="252">
        <v>0</v>
      </c>
      <c r="AX89" s="252">
        <v>0</v>
      </c>
      <c r="AY89" s="252">
        <v>0</v>
      </c>
      <c r="AZ89" s="252">
        <f t="shared" si="11"/>
        <v>3.7969147688698968E-4</v>
      </c>
      <c r="BA89" s="249">
        <v>0</v>
      </c>
      <c r="BB89" s="249">
        <v>0</v>
      </c>
      <c r="BC89" s="249">
        <v>0</v>
      </c>
      <c r="BD89" s="249">
        <v>0</v>
      </c>
      <c r="BE89" s="249">
        <v>0</v>
      </c>
      <c r="BF89" s="248">
        <v>0</v>
      </c>
      <c r="BG89" s="248">
        <v>0</v>
      </c>
      <c r="BH89" s="249">
        <v>0</v>
      </c>
      <c r="BI89" s="248">
        <v>0</v>
      </c>
      <c r="BJ89" s="248">
        <v>0</v>
      </c>
      <c r="BK89" s="248">
        <v>0</v>
      </c>
      <c r="BL89" s="248">
        <v>0</v>
      </c>
      <c r="BM89" s="248">
        <v>0</v>
      </c>
      <c r="BN89" s="248">
        <v>0</v>
      </c>
      <c r="BO89" s="248">
        <v>0</v>
      </c>
      <c r="BP89" s="248">
        <v>0</v>
      </c>
      <c r="BQ89" s="248">
        <v>0</v>
      </c>
      <c r="BR89" s="248">
        <v>0</v>
      </c>
      <c r="BS89" s="248">
        <v>0</v>
      </c>
      <c r="BT89" s="248">
        <v>0</v>
      </c>
      <c r="BU89" s="248">
        <v>0</v>
      </c>
      <c r="BV89" s="248">
        <v>0</v>
      </c>
      <c r="BW89" s="248">
        <v>0</v>
      </c>
      <c r="BX89" s="248">
        <v>0</v>
      </c>
      <c r="BY89" s="248">
        <v>0</v>
      </c>
      <c r="BZ89" s="248">
        <v>0</v>
      </c>
      <c r="CA89" s="248">
        <v>0</v>
      </c>
      <c r="CB89" s="248">
        <v>0</v>
      </c>
      <c r="CC89" s="248">
        <v>0</v>
      </c>
      <c r="CD89" s="248">
        <v>0</v>
      </c>
      <c r="CE89" s="248">
        <v>0</v>
      </c>
      <c r="CF89" s="248">
        <v>0</v>
      </c>
      <c r="CG89" s="248">
        <v>0</v>
      </c>
      <c r="CH89" s="248">
        <v>0</v>
      </c>
      <c r="CI89" s="248">
        <v>0</v>
      </c>
      <c r="CJ89" s="248">
        <v>0</v>
      </c>
      <c r="CK89" s="248">
        <v>0</v>
      </c>
      <c r="CL89" s="248">
        <v>0</v>
      </c>
      <c r="CM89" s="248">
        <v>0</v>
      </c>
      <c r="CN89" s="248">
        <v>0</v>
      </c>
      <c r="CO89" s="248">
        <v>0</v>
      </c>
      <c r="CP89" s="248">
        <v>0</v>
      </c>
      <c r="CQ89" s="248">
        <v>0</v>
      </c>
      <c r="CR89" s="248">
        <v>0</v>
      </c>
      <c r="CS89" s="248">
        <v>0</v>
      </c>
      <c r="CT89" s="248">
        <v>0</v>
      </c>
      <c r="CU89" s="248">
        <v>0</v>
      </c>
      <c r="CV89" s="248">
        <v>0</v>
      </c>
      <c r="CW89" s="248">
        <v>0</v>
      </c>
      <c r="CX89" s="248">
        <v>0</v>
      </c>
      <c r="CY89" s="248">
        <v>0</v>
      </c>
      <c r="CZ89" s="248">
        <v>0</v>
      </c>
      <c r="DA89" s="248">
        <v>0</v>
      </c>
      <c r="DB89" s="248">
        <v>0</v>
      </c>
      <c r="DC89" s="248">
        <v>0</v>
      </c>
      <c r="DD89" s="248">
        <v>0</v>
      </c>
      <c r="DE89" s="248">
        <v>0</v>
      </c>
      <c r="DF89" s="248">
        <v>0</v>
      </c>
      <c r="DG89" s="248">
        <v>0</v>
      </c>
      <c r="DH89" s="248">
        <v>0</v>
      </c>
      <c r="DI89" s="248">
        <v>0</v>
      </c>
      <c r="DJ89" s="248">
        <v>0</v>
      </c>
      <c r="DK89" s="248">
        <v>0</v>
      </c>
      <c r="DL89" s="248">
        <v>0</v>
      </c>
      <c r="DM89" s="248">
        <v>0</v>
      </c>
      <c r="DN89" s="248">
        <v>0</v>
      </c>
      <c r="DO89" s="248">
        <v>0</v>
      </c>
      <c r="DP89" s="248">
        <v>0</v>
      </c>
      <c r="DQ89" s="248">
        <v>0</v>
      </c>
      <c r="DR89" s="248">
        <v>0</v>
      </c>
      <c r="DS89" s="248">
        <v>0</v>
      </c>
      <c r="DT89" s="248">
        <v>0</v>
      </c>
      <c r="DU89" s="248">
        <v>0</v>
      </c>
      <c r="DV89" s="248">
        <v>0</v>
      </c>
      <c r="DW89" s="248">
        <v>0</v>
      </c>
      <c r="DX89" s="248">
        <v>0</v>
      </c>
      <c r="DY89" s="248">
        <v>0</v>
      </c>
      <c r="DZ89" s="248">
        <v>0</v>
      </c>
      <c r="EA89" s="248">
        <v>0</v>
      </c>
      <c r="EB89" s="248">
        <v>0</v>
      </c>
    </row>
    <row r="90" spans="2:132" ht="14.5" x14ac:dyDescent="0.35">
      <c r="B90" s="198">
        <v>35</v>
      </c>
      <c r="C90" s="252">
        <f t="shared" si="12"/>
        <v>0</v>
      </c>
      <c r="D90" s="248">
        <v>0</v>
      </c>
      <c r="E90" s="252">
        <f t="shared" si="13"/>
        <v>0</v>
      </c>
      <c r="F90" s="252">
        <f t="shared" si="14"/>
        <v>0</v>
      </c>
      <c r="G90" s="252">
        <f t="shared" si="14"/>
        <v>0</v>
      </c>
      <c r="H90" s="252">
        <f t="shared" si="14"/>
        <v>0</v>
      </c>
      <c r="I90" s="252">
        <f t="shared" si="2"/>
        <v>0</v>
      </c>
      <c r="J90" s="252">
        <f t="shared" si="2"/>
        <v>0</v>
      </c>
      <c r="K90" s="252">
        <f t="shared" si="2"/>
        <v>0</v>
      </c>
      <c r="L90" s="248">
        <v>0</v>
      </c>
      <c r="M90" s="252">
        <f t="shared" ref="M90" si="94">M89</f>
        <v>3.7969147688698968E-4</v>
      </c>
      <c r="N90" s="248">
        <v>0</v>
      </c>
      <c r="O90" s="248">
        <v>0</v>
      </c>
      <c r="P90" s="252">
        <f t="shared" si="4"/>
        <v>0</v>
      </c>
      <c r="Q90" s="252">
        <f t="shared" si="4"/>
        <v>3.7969147688698968E-4</v>
      </c>
      <c r="R90" s="248">
        <v>0</v>
      </c>
      <c r="S90" s="248">
        <v>0</v>
      </c>
      <c r="T90" s="248">
        <v>0</v>
      </c>
      <c r="U90" s="252">
        <f t="shared" ref="U90:V90" si="95">U89</f>
        <v>3.7969147688698968E-4</v>
      </c>
      <c r="V90" s="252">
        <f t="shared" si="95"/>
        <v>3.7969147688698968E-4</v>
      </c>
      <c r="W90" s="248">
        <v>0</v>
      </c>
      <c r="X90" s="248">
        <v>0</v>
      </c>
      <c r="Y90" s="248">
        <v>0</v>
      </c>
      <c r="Z90" s="248">
        <v>0</v>
      </c>
      <c r="AA90" s="248">
        <v>0</v>
      </c>
      <c r="AB90" s="252">
        <f t="shared" ref="AB90:AD90" si="96">AB89</f>
        <v>0</v>
      </c>
      <c r="AC90" s="252">
        <f t="shared" si="96"/>
        <v>0</v>
      </c>
      <c r="AD90" s="252">
        <f t="shared" si="96"/>
        <v>0</v>
      </c>
      <c r="AE90" s="252">
        <f t="shared" ref="AE90:AI90" si="97">AE89</f>
        <v>3.7969147688698968E-4</v>
      </c>
      <c r="AF90" s="252">
        <f t="shared" si="97"/>
        <v>0</v>
      </c>
      <c r="AG90" s="252">
        <f t="shared" si="97"/>
        <v>0</v>
      </c>
      <c r="AH90" s="252">
        <f t="shared" si="97"/>
        <v>0</v>
      </c>
      <c r="AI90" s="252">
        <f t="shared" si="97"/>
        <v>0</v>
      </c>
      <c r="AJ90" s="248">
        <v>0</v>
      </c>
      <c r="AK90" s="252">
        <f t="shared" ref="AK90:AM90" si="98">AK89</f>
        <v>0</v>
      </c>
      <c r="AL90" s="252">
        <f t="shared" si="98"/>
        <v>0</v>
      </c>
      <c r="AM90" s="252">
        <f t="shared" si="98"/>
        <v>0</v>
      </c>
      <c r="AN90" s="252">
        <f t="shared" ref="AN90:AR90" si="99">AN89</f>
        <v>3.7969147688698968E-4</v>
      </c>
      <c r="AO90" s="252">
        <f t="shared" si="99"/>
        <v>0</v>
      </c>
      <c r="AP90" s="252">
        <f t="shared" si="99"/>
        <v>0</v>
      </c>
      <c r="AQ90" s="252">
        <f t="shared" si="99"/>
        <v>0</v>
      </c>
      <c r="AR90" s="252">
        <f t="shared" si="99"/>
        <v>0</v>
      </c>
      <c r="AS90" s="248">
        <v>0</v>
      </c>
      <c r="AT90" s="252">
        <f t="shared" si="21"/>
        <v>0</v>
      </c>
      <c r="AU90" s="252">
        <f t="shared" si="21"/>
        <v>3.7969147688698968E-4</v>
      </c>
      <c r="AV90" s="248">
        <v>0</v>
      </c>
      <c r="AW90" s="252">
        <v>0</v>
      </c>
      <c r="AX90" s="252">
        <v>0</v>
      </c>
      <c r="AY90" s="252">
        <v>0</v>
      </c>
      <c r="AZ90" s="252">
        <f t="shared" si="11"/>
        <v>3.7969147688698968E-4</v>
      </c>
      <c r="BA90" s="249">
        <v>0</v>
      </c>
      <c r="BB90" s="249">
        <v>0</v>
      </c>
      <c r="BC90" s="249">
        <v>0</v>
      </c>
      <c r="BD90" s="249">
        <v>0</v>
      </c>
      <c r="BE90" s="249">
        <v>0</v>
      </c>
      <c r="BF90" s="248">
        <v>0</v>
      </c>
      <c r="BG90" s="248">
        <v>0</v>
      </c>
      <c r="BH90" s="249">
        <v>0</v>
      </c>
      <c r="BI90" s="248">
        <v>0</v>
      </c>
      <c r="BJ90" s="248">
        <v>0</v>
      </c>
      <c r="BK90" s="248">
        <v>0</v>
      </c>
      <c r="BL90" s="248">
        <v>0</v>
      </c>
      <c r="BM90" s="248">
        <v>0</v>
      </c>
      <c r="BN90" s="248">
        <v>0</v>
      </c>
      <c r="BO90" s="248">
        <v>0</v>
      </c>
      <c r="BP90" s="248">
        <v>0</v>
      </c>
      <c r="BQ90" s="248">
        <v>0</v>
      </c>
      <c r="BR90" s="248">
        <v>0</v>
      </c>
      <c r="BS90" s="248">
        <v>0</v>
      </c>
      <c r="BT90" s="248">
        <v>0</v>
      </c>
      <c r="BU90" s="248">
        <v>0</v>
      </c>
      <c r="BV90" s="248">
        <v>0</v>
      </c>
      <c r="BW90" s="248">
        <v>0</v>
      </c>
      <c r="BX90" s="248">
        <v>0</v>
      </c>
      <c r="BY90" s="248">
        <v>0</v>
      </c>
      <c r="BZ90" s="248">
        <v>0</v>
      </c>
      <c r="CA90" s="248">
        <v>0</v>
      </c>
      <c r="CB90" s="248">
        <v>0</v>
      </c>
      <c r="CC90" s="248">
        <v>0</v>
      </c>
      <c r="CD90" s="248">
        <v>0</v>
      </c>
      <c r="CE90" s="248">
        <v>0</v>
      </c>
      <c r="CF90" s="248">
        <v>0</v>
      </c>
      <c r="CG90" s="248">
        <v>0</v>
      </c>
      <c r="CH90" s="248">
        <v>0</v>
      </c>
      <c r="CI90" s="248">
        <v>0</v>
      </c>
      <c r="CJ90" s="248">
        <v>0</v>
      </c>
      <c r="CK90" s="248">
        <v>0</v>
      </c>
      <c r="CL90" s="248">
        <v>0</v>
      </c>
      <c r="CM90" s="248">
        <v>0</v>
      </c>
      <c r="CN90" s="248">
        <v>0</v>
      </c>
      <c r="CO90" s="248">
        <v>0</v>
      </c>
      <c r="CP90" s="248">
        <v>0</v>
      </c>
      <c r="CQ90" s="248">
        <v>0</v>
      </c>
      <c r="CR90" s="248">
        <v>0</v>
      </c>
      <c r="CS90" s="248">
        <v>0</v>
      </c>
      <c r="CT90" s="248">
        <v>0</v>
      </c>
      <c r="CU90" s="248">
        <v>0</v>
      </c>
      <c r="CV90" s="248">
        <v>0</v>
      </c>
      <c r="CW90" s="248">
        <v>0</v>
      </c>
      <c r="CX90" s="248">
        <v>0</v>
      </c>
      <c r="CY90" s="248">
        <v>0</v>
      </c>
      <c r="CZ90" s="248">
        <v>0</v>
      </c>
      <c r="DA90" s="248">
        <v>0</v>
      </c>
      <c r="DB90" s="248">
        <v>0</v>
      </c>
      <c r="DC90" s="248">
        <v>0</v>
      </c>
      <c r="DD90" s="248">
        <v>0</v>
      </c>
      <c r="DE90" s="248">
        <v>0</v>
      </c>
      <c r="DF90" s="248">
        <v>0</v>
      </c>
      <c r="DG90" s="248">
        <v>0</v>
      </c>
      <c r="DH90" s="248">
        <v>0</v>
      </c>
      <c r="DI90" s="248">
        <v>0</v>
      </c>
      <c r="DJ90" s="248">
        <v>0</v>
      </c>
      <c r="DK90" s="248">
        <v>0</v>
      </c>
      <c r="DL90" s="248">
        <v>0</v>
      </c>
      <c r="DM90" s="248">
        <v>0</v>
      </c>
      <c r="DN90" s="248">
        <v>0</v>
      </c>
      <c r="DO90" s="248">
        <v>0</v>
      </c>
      <c r="DP90" s="248">
        <v>0</v>
      </c>
      <c r="DQ90" s="248">
        <v>0</v>
      </c>
      <c r="DR90" s="248">
        <v>0</v>
      </c>
      <c r="DS90" s="248">
        <v>0</v>
      </c>
      <c r="DT90" s="248">
        <v>0</v>
      </c>
      <c r="DU90" s="248">
        <v>0</v>
      </c>
      <c r="DV90" s="248">
        <v>0</v>
      </c>
      <c r="DW90" s="248">
        <v>0</v>
      </c>
      <c r="DX90" s="248">
        <v>0</v>
      </c>
      <c r="DY90" s="248">
        <v>0</v>
      </c>
      <c r="DZ90" s="248">
        <v>0</v>
      </c>
      <c r="EA90" s="248">
        <v>0</v>
      </c>
      <c r="EB90" s="248">
        <v>0</v>
      </c>
    </row>
    <row r="91" spans="2:132" ht="14.5" x14ac:dyDescent="0.35">
      <c r="B91" s="198">
        <v>36</v>
      </c>
      <c r="C91" s="252">
        <f t="shared" si="12"/>
        <v>0</v>
      </c>
      <c r="D91" s="248">
        <v>0</v>
      </c>
      <c r="E91" s="252">
        <f t="shared" si="13"/>
        <v>0</v>
      </c>
      <c r="F91" s="252">
        <f t="shared" si="14"/>
        <v>0</v>
      </c>
      <c r="G91" s="252">
        <f t="shared" si="14"/>
        <v>0</v>
      </c>
      <c r="H91" s="252">
        <f t="shared" si="14"/>
        <v>0</v>
      </c>
      <c r="I91" s="252">
        <f t="shared" si="2"/>
        <v>0</v>
      </c>
      <c r="J91" s="252">
        <f t="shared" si="2"/>
        <v>0</v>
      </c>
      <c r="K91" s="252">
        <f t="shared" si="2"/>
        <v>0</v>
      </c>
      <c r="L91" s="248">
        <v>0</v>
      </c>
      <c r="M91" s="252">
        <f t="shared" ref="M91" si="100">M90</f>
        <v>3.7969147688698968E-4</v>
      </c>
      <c r="N91" s="248">
        <v>0</v>
      </c>
      <c r="O91" s="248">
        <v>0</v>
      </c>
      <c r="P91" s="252">
        <f t="shared" si="4"/>
        <v>0</v>
      </c>
      <c r="Q91" s="252">
        <f t="shared" si="4"/>
        <v>3.7969147688698968E-4</v>
      </c>
      <c r="R91" s="248">
        <v>0</v>
      </c>
      <c r="S91" s="248">
        <v>0</v>
      </c>
      <c r="T91" s="248">
        <v>0</v>
      </c>
      <c r="U91" s="252">
        <f t="shared" ref="U91:V91" si="101">U90</f>
        <v>3.7969147688698968E-4</v>
      </c>
      <c r="V91" s="252">
        <f t="shared" si="101"/>
        <v>3.7969147688698968E-4</v>
      </c>
      <c r="W91" s="248">
        <v>0</v>
      </c>
      <c r="X91" s="248">
        <v>0</v>
      </c>
      <c r="Y91" s="248">
        <v>0</v>
      </c>
      <c r="Z91" s="248">
        <v>0</v>
      </c>
      <c r="AA91" s="248">
        <v>0</v>
      </c>
      <c r="AB91" s="252">
        <f t="shared" ref="AB91:AD91" si="102">AB90</f>
        <v>0</v>
      </c>
      <c r="AC91" s="252">
        <f t="shared" si="102"/>
        <v>0</v>
      </c>
      <c r="AD91" s="252">
        <f t="shared" si="102"/>
        <v>0</v>
      </c>
      <c r="AE91" s="252">
        <f t="shared" ref="AE91:AI91" si="103">AE90</f>
        <v>3.7969147688698968E-4</v>
      </c>
      <c r="AF91" s="252">
        <f t="shared" si="103"/>
        <v>0</v>
      </c>
      <c r="AG91" s="252">
        <f t="shared" si="103"/>
        <v>0</v>
      </c>
      <c r="AH91" s="252">
        <f t="shared" si="103"/>
        <v>0</v>
      </c>
      <c r="AI91" s="252">
        <f t="shared" si="103"/>
        <v>0</v>
      </c>
      <c r="AJ91" s="248">
        <v>0</v>
      </c>
      <c r="AK91" s="252">
        <f t="shared" ref="AK91:AM96" si="104">AK90</f>
        <v>0</v>
      </c>
      <c r="AL91" s="252">
        <f t="shared" si="104"/>
        <v>0</v>
      </c>
      <c r="AM91" s="252">
        <f t="shared" si="104"/>
        <v>0</v>
      </c>
      <c r="AN91" s="252">
        <f t="shared" ref="AN91:AR96" si="105">AN90</f>
        <v>3.7969147688698968E-4</v>
      </c>
      <c r="AO91" s="252">
        <f t="shared" si="105"/>
        <v>0</v>
      </c>
      <c r="AP91" s="252">
        <f t="shared" si="105"/>
        <v>0</v>
      </c>
      <c r="AQ91" s="252">
        <f t="shared" si="105"/>
        <v>0</v>
      </c>
      <c r="AR91" s="252">
        <f t="shared" si="105"/>
        <v>0</v>
      </c>
      <c r="AS91" s="248">
        <v>0</v>
      </c>
      <c r="AT91" s="252">
        <f t="shared" si="21"/>
        <v>0</v>
      </c>
      <c r="AU91" s="252">
        <f t="shared" si="21"/>
        <v>3.7969147688698968E-4</v>
      </c>
      <c r="AV91" s="248">
        <v>0</v>
      </c>
      <c r="AW91" s="252">
        <v>0</v>
      </c>
      <c r="AX91" s="252">
        <v>0</v>
      </c>
      <c r="AY91" s="252">
        <v>0</v>
      </c>
      <c r="AZ91" s="252">
        <f t="shared" si="11"/>
        <v>3.7969147688698968E-4</v>
      </c>
      <c r="BA91" s="249">
        <v>0</v>
      </c>
      <c r="BB91" s="249">
        <v>0</v>
      </c>
      <c r="BC91" s="249">
        <v>0</v>
      </c>
      <c r="BD91" s="249">
        <v>0</v>
      </c>
      <c r="BE91" s="249">
        <v>0</v>
      </c>
      <c r="BF91" s="248">
        <v>0</v>
      </c>
      <c r="BG91" s="248">
        <v>0</v>
      </c>
      <c r="BH91" s="249">
        <v>0</v>
      </c>
      <c r="BI91" s="248">
        <v>0</v>
      </c>
      <c r="BJ91" s="248">
        <v>0</v>
      </c>
      <c r="BK91" s="248">
        <v>0</v>
      </c>
      <c r="BL91" s="248">
        <v>0</v>
      </c>
      <c r="BM91" s="248">
        <v>0</v>
      </c>
      <c r="BN91" s="248">
        <v>0</v>
      </c>
      <c r="BO91" s="248">
        <v>0</v>
      </c>
      <c r="BP91" s="248">
        <v>0</v>
      </c>
      <c r="BQ91" s="248">
        <v>0</v>
      </c>
      <c r="BR91" s="248">
        <v>0</v>
      </c>
      <c r="BS91" s="248">
        <v>0</v>
      </c>
      <c r="BT91" s="248">
        <v>0</v>
      </c>
      <c r="BU91" s="248">
        <v>0</v>
      </c>
      <c r="BV91" s="248">
        <v>0</v>
      </c>
      <c r="BW91" s="248">
        <v>0</v>
      </c>
      <c r="BX91" s="248">
        <v>0</v>
      </c>
      <c r="BY91" s="248">
        <v>0</v>
      </c>
      <c r="BZ91" s="248">
        <v>0</v>
      </c>
      <c r="CA91" s="248">
        <v>0</v>
      </c>
      <c r="CB91" s="248">
        <v>0</v>
      </c>
      <c r="CC91" s="248">
        <v>0</v>
      </c>
      <c r="CD91" s="248">
        <v>0</v>
      </c>
      <c r="CE91" s="248">
        <v>0</v>
      </c>
      <c r="CF91" s="248">
        <v>0</v>
      </c>
      <c r="CG91" s="248">
        <v>0</v>
      </c>
      <c r="CH91" s="248">
        <v>0</v>
      </c>
      <c r="CI91" s="248">
        <v>0</v>
      </c>
      <c r="CJ91" s="248">
        <v>0</v>
      </c>
      <c r="CK91" s="248">
        <v>0</v>
      </c>
      <c r="CL91" s="248">
        <v>0</v>
      </c>
      <c r="CM91" s="248">
        <v>0</v>
      </c>
      <c r="CN91" s="248">
        <v>0</v>
      </c>
      <c r="CO91" s="248">
        <v>0</v>
      </c>
      <c r="CP91" s="248">
        <v>0</v>
      </c>
      <c r="CQ91" s="248">
        <v>0</v>
      </c>
      <c r="CR91" s="248">
        <v>0</v>
      </c>
      <c r="CS91" s="248">
        <v>0</v>
      </c>
      <c r="CT91" s="248">
        <v>0</v>
      </c>
      <c r="CU91" s="248">
        <v>0</v>
      </c>
      <c r="CV91" s="248">
        <v>0</v>
      </c>
      <c r="CW91" s="248">
        <v>0</v>
      </c>
      <c r="CX91" s="248">
        <v>0</v>
      </c>
      <c r="CY91" s="248">
        <v>0</v>
      </c>
      <c r="CZ91" s="248">
        <v>0</v>
      </c>
      <c r="DA91" s="248">
        <v>0</v>
      </c>
      <c r="DB91" s="248">
        <v>0</v>
      </c>
      <c r="DC91" s="248">
        <v>0</v>
      </c>
      <c r="DD91" s="248">
        <v>0</v>
      </c>
      <c r="DE91" s="248">
        <v>0</v>
      </c>
      <c r="DF91" s="248">
        <v>0</v>
      </c>
      <c r="DG91" s="248">
        <v>0</v>
      </c>
      <c r="DH91" s="248">
        <v>0</v>
      </c>
      <c r="DI91" s="248">
        <v>0</v>
      </c>
      <c r="DJ91" s="248">
        <v>0</v>
      </c>
      <c r="DK91" s="248">
        <v>0</v>
      </c>
      <c r="DL91" s="248">
        <v>0</v>
      </c>
      <c r="DM91" s="248">
        <v>0</v>
      </c>
      <c r="DN91" s="248">
        <v>0</v>
      </c>
      <c r="DO91" s="248">
        <v>0</v>
      </c>
      <c r="DP91" s="248">
        <v>0</v>
      </c>
      <c r="DQ91" s="248">
        <v>0</v>
      </c>
      <c r="DR91" s="248">
        <v>0</v>
      </c>
      <c r="DS91" s="248">
        <v>0</v>
      </c>
      <c r="DT91" s="248">
        <v>0</v>
      </c>
      <c r="DU91" s="248">
        <v>0</v>
      </c>
      <c r="DV91" s="248">
        <v>0</v>
      </c>
      <c r="DW91" s="248">
        <v>0</v>
      </c>
      <c r="DX91" s="248">
        <v>0</v>
      </c>
      <c r="DY91" s="248">
        <v>0</v>
      </c>
      <c r="DZ91" s="248">
        <v>0</v>
      </c>
      <c r="EA91" s="248">
        <v>0</v>
      </c>
      <c r="EB91" s="248">
        <v>0</v>
      </c>
    </row>
    <row r="92" spans="2:132" ht="14.5" x14ac:dyDescent="0.35">
      <c r="B92" s="198">
        <v>37</v>
      </c>
      <c r="C92" s="252">
        <f t="shared" si="12"/>
        <v>0</v>
      </c>
      <c r="D92" s="248">
        <v>0</v>
      </c>
      <c r="E92" s="252">
        <f t="shared" si="13"/>
        <v>0</v>
      </c>
      <c r="F92" s="252">
        <f t="shared" si="14"/>
        <v>0</v>
      </c>
      <c r="G92" s="252">
        <f t="shared" si="14"/>
        <v>0</v>
      </c>
      <c r="H92" s="252">
        <f t="shared" si="14"/>
        <v>0</v>
      </c>
      <c r="I92" s="252">
        <f t="shared" ref="I92:I96" si="106">I91</f>
        <v>0</v>
      </c>
      <c r="J92" s="252">
        <f t="shared" ref="J92:J96" si="107">J91</f>
        <v>0</v>
      </c>
      <c r="K92" s="252">
        <f t="shared" ref="K92:K96" si="108">K91</f>
        <v>0</v>
      </c>
      <c r="L92" s="248">
        <v>0</v>
      </c>
      <c r="M92" s="252">
        <f t="shared" ref="M92" si="109">M91</f>
        <v>3.7969147688698968E-4</v>
      </c>
      <c r="N92" s="248">
        <v>0</v>
      </c>
      <c r="O92" s="248">
        <v>0</v>
      </c>
      <c r="P92" s="252">
        <f t="shared" si="4"/>
        <v>0</v>
      </c>
      <c r="Q92" s="252">
        <f t="shared" si="4"/>
        <v>3.7969147688698968E-4</v>
      </c>
      <c r="R92" s="248">
        <v>0</v>
      </c>
      <c r="S92" s="248">
        <v>0</v>
      </c>
      <c r="T92" s="248">
        <v>0</v>
      </c>
      <c r="U92" s="252">
        <f t="shared" ref="U92:V92" si="110">U91</f>
        <v>3.7969147688698968E-4</v>
      </c>
      <c r="V92" s="252">
        <f t="shared" si="110"/>
        <v>3.7969147688698968E-4</v>
      </c>
      <c r="W92" s="248">
        <v>0</v>
      </c>
      <c r="X92" s="248">
        <v>0</v>
      </c>
      <c r="Y92" s="248">
        <v>0</v>
      </c>
      <c r="Z92" s="248">
        <v>0</v>
      </c>
      <c r="AA92" s="248">
        <v>0</v>
      </c>
      <c r="AB92" s="252">
        <f t="shared" ref="AB92:AD92" si="111">AB91</f>
        <v>0</v>
      </c>
      <c r="AC92" s="252">
        <f t="shared" si="111"/>
        <v>0</v>
      </c>
      <c r="AD92" s="252">
        <f t="shared" si="111"/>
        <v>0</v>
      </c>
      <c r="AE92" s="252">
        <f t="shared" ref="AE92:AI92" si="112">AE91</f>
        <v>3.7969147688698968E-4</v>
      </c>
      <c r="AF92" s="252">
        <f t="shared" si="112"/>
        <v>0</v>
      </c>
      <c r="AG92" s="252">
        <f t="shared" si="112"/>
        <v>0</v>
      </c>
      <c r="AH92" s="252">
        <f t="shared" si="112"/>
        <v>0</v>
      </c>
      <c r="AI92" s="252">
        <f t="shared" si="112"/>
        <v>0</v>
      </c>
      <c r="AJ92" s="248">
        <v>0</v>
      </c>
      <c r="AK92" s="252">
        <f t="shared" si="104"/>
        <v>0</v>
      </c>
      <c r="AL92" s="252">
        <f t="shared" si="104"/>
        <v>0</v>
      </c>
      <c r="AM92" s="252">
        <f t="shared" si="104"/>
        <v>0</v>
      </c>
      <c r="AN92" s="252">
        <f t="shared" ref="AN92" si="113">AN91</f>
        <v>3.7969147688698968E-4</v>
      </c>
      <c r="AO92" s="252">
        <f t="shared" si="105"/>
        <v>0</v>
      </c>
      <c r="AP92" s="252">
        <f t="shared" si="105"/>
        <v>0</v>
      </c>
      <c r="AQ92" s="252">
        <f t="shared" si="105"/>
        <v>0</v>
      </c>
      <c r="AR92" s="252">
        <f t="shared" si="105"/>
        <v>0</v>
      </c>
      <c r="AS92" s="248">
        <v>0</v>
      </c>
      <c r="AT92" s="252">
        <f t="shared" si="21"/>
        <v>0</v>
      </c>
      <c r="AU92" s="252">
        <f t="shared" si="21"/>
        <v>3.7969147688698968E-4</v>
      </c>
      <c r="AV92" s="248">
        <v>0</v>
      </c>
      <c r="AW92" s="252">
        <v>0</v>
      </c>
      <c r="AX92" s="252">
        <v>0</v>
      </c>
      <c r="AY92" s="252">
        <v>0</v>
      </c>
      <c r="AZ92" s="252">
        <f t="shared" si="11"/>
        <v>3.7969147688698968E-4</v>
      </c>
      <c r="BA92" s="249">
        <v>0</v>
      </c>
      <c r="BB92" s="249">
        <v>0</v>
      </c>
      <c r="BC92" s="249">
        <v>0</v>
      </c>
      <c r="BD92" s="249">
        <v>0</v>
      </c>
      <c r="BE92" s="249">
        <v>0</v>
      </c>
      <c r="BF92" s="248">
        <v>0</v>
      </c>
      <c r="BG92" s="248">
        <v>0</v>
      </c>
      <c r="BH92" s="249">
        <v>0</v>
      </c>
      <c r="BI92" s="248">
        <v>0</v>
      </c>
      <c r="BJ92" s="248">
        <v>0</v>
      </c>
      <c r="BK92" s="248">
        <v>0</v>
      </c>
      <c r="BL92" s="248">
        <v>0</v>
      </c>
      <c r="BM92" s="248">
        <v>0</v>
      </c>
      <c r="BN92" s="248">
        <v>0</v>
      </c>
      <c r="BO92" s="248">
        <v>0</v>
      </c>
      <c r="BP92" s="248">
        <v>0</v>
      </c>
      <c r="BQ92" s="248">
        <v>0</v>
      </c>
      <c r="BR92" s="248">
        <v>0</v>
      </c>
      <c r="BS92" s="248">
        <v>0</v>
      </c>
      <c r="BT92" s="248">
        <v>0</v>
      </c>
      <c r="BU92" s="248">
        <v>0</v>
      </c>
      <c r="BV92" s="248">
        <v>0</v>
      </c>
      <c r="BW92" s="248">
        <v>0</v>
      </c>
      <c r="BX92" s="248">
        <v>0</v>
      </c>
      <c r="BY92" s="248">
        <v>0</v>
      </c>
      <c r="BZ92" s="248">
        <v>0</v>
      </c>
      <c r="CA92" s="248">
        <v>0</v>
      </c>
      <c r="CB92" s="248">
        <v>0</v>
      </c>
      <c r="CC92" s="248">
        <v>0</v>
      </c>
      <c r="CD92" s="248">
        <v>0</v>
      </c>
      <c r="CE92" s="248">
        <v>0</v>
      </c>
      <c r="CF92" s="248">
        <v>0</v>
      </c>
      <c r="CG92" s="248">
        <v>0</v>
      </c>
      <c r="CH92" s="248">
        <v>0</v>
      </c>
      <c r="CI92" s="248">
        <v>0</v>
      </c>
      <c r="CJ92" s="248">
        <v>0</v>
      </c>
      <c r="CK92" s="248">
        <v>0</v>
      </c>
      <c r="CL92" s="248">
        <v>0</v>
      </c>
      <c r="CM92" s="248">
        <v>0</v>
      </c>
      <c r="CN92" s="248">
        <v>0</v>
      </c>
      <c r="CO92" s="248">
        <v>0</v>
      </c>
      <c r="CP92" s="248">
        <v>0</v>
      </c>
      <c r="CQ92" s="248">
        <v>0</v>
      </c>
      <c r="CR92" s="248">
        <v>0</v>
      </c>
      <c r="CS92" s="248">
        <v>0</v>
      </c>
      <c r="CT92" s="248">
        <v>0</v>
      </c>
      <c r="CU92" s="248">
        <v>0</v>
      </c>
      <c r="CV92" s="248">
        <v>0</v>
      </c>
      <c r="CW92" s="248">
        <v>0</v>
      </c>
      <c r="CX92" s="248">
        <v>0</v>
      </c>
      <c r="CY92" s="248">
        <v>0</v>
      </c>
      <c r="CZ92" s="248">
        <v>0</v>
      </c>
      <c r="DA92" s="248">
        <v>0</v>
      </c>
      <c r="DB92" s="248">
        <v>0</v>
      </c>
      <c r="DC92" s="248">
        <v>0</v>
      </c>
      <c r="DD92" s="248">
        <v>0</v>
      </c>
      <c r="DE92" s="248">
        <v>0</v>
      </c>
      <c r="DF92" s="248">
        <v>0</v>
      </c>
      <c r="DG92" s="248">
        <v>0</v>
      </c>
      <c r="DH92" s="248">
        <v>0</v>
      </c>
      <c r="DI92" s="248">
        <v>0</v>
      </c>
      <c r="DJ92" s="248">
        <v>0</v>
      </c>
      <c r="DK92" s="248">
        <v>0</v>
      </c>
      <c r="DL92" s="248">
        <v>0</v>
      </c>
      <c r="DM92" s="248">
        <v>0</v>
      </c>
      <c r="DN92" s="248">
        <v>0</v>
      </c>
      <c r="DO92" s="248">
        <v>0</v>
      </c>
      <c r="DP92" s="248">
        <v>0</v>
      </c>
      <c r="DQ92" s="248">
        <v>0</v>
      </c>
      <c r="DR92" s="248">
        <v>0</v>
      </c>
      <c r="DS92" s="248">
        <v>0</v>
      </c>
      <c r="DT92" s="248">
        <v>0</v>
      </c>
      <c r="DU92" s="248">
        <v>0</v>
      </c>
      <c r="DV92" s="248">
        <v>0</v>
      </c>
      <c r="DW92" s="248">
        <v>0</v>
      </c>
      <c r="DX92" s="248">
        <v>0</v>
      </c>
      <c r="DY92" s="248">
        <v>0</v>
      </c>
      <c r="DZ92" s="248">
        <v>0</v>
      </c>
      <c r="EA92" s="248">
        <v>0</v>
      </c>
      <c r="EB92" s="248">
        <v>0</v>
      </c>
    </row>
    <row r="93" spans="2:132" ht="14.5" x14ac:dyDescent="0.35">
      <c r="B93" s="198">
        <v>38</v>
      </c>
      <c r="C93" s="252">
        <f t="shared" si="12"/>
        <v>0</v>
      </c>
      <c r="D93" s="248">
        <v>0</v>
      </c>
      <c r="E93" s="252">
        <f t="shared" si="13"/>
        <v>0</v>
      </c>
      <c r="F93" s="252">
        <f t="shared" si="14"/>
        <v>0</v>
      </c>
      <c r="G93" s="252">
        <f t="shared" si="14"/>
        <v>0</v>
      </c>
      <c r="H93" s="252">
        <f t="shared" si="14"/>
        <v>0</v>
      </c>
      <c r="I93" s="252">
        <f t="shared" si="106"/>
        <v>0</v>
      </c>
      <c r="J93" s="252">
        <f t="shared" si="107"/>
        <v>0</v>
      </c>
      <c r="K93" s="252">
        <f t="shared" si="108"/>
        <v>0</v>
      </c>
      <c r="L93" s="248">
        <v>0</v>
      </c>
      <c r="M93" s="252">
        <f t="shared" ref="M93" si="114">M92</f>
        <v>3.7969147688698968E-4</v>
      </c>
      <c r="N93" s="248">
        <v>0</v>
      </c>
      <c r="O93" s="248">
        <v>0</v>
      </c>
      <c r="P93" s="252">
        <f t="shared" si="4"/>
        <v>0</v>
      </c>
      <c r="Q93" s="252">
        <f t="shared" si="4"/>
        <v>3.7969147688698968E-4</v>
      </c>
      <c r="R93" s="248">
        <v>0</v>
      </c>
      <c r="S93" s="248">
        <v>0</v>
      </c>
      <c r="T93" s="248">
        <v>0</v>
      </c>
      <c r="U93" s="252">
        <f t="shared" ref="U93:V93" si="115">U92</f>
        <v>3.7969147688698968E-4</v>
      </c>
      <c r="V93" s="252">
        <f t="shared" si="115"/>
        <v>3.7969147688698968E-4</v>
      </c>
      <c r="W93" s="248">
        <v>0</v>
      </c>
      <c r="X93" s="248">
        <v>0</v>
      </c>
      <c r="Y93" s="248">
        <v>0</v>
      </c>
      <c r="Z93" s="248">
        <v>0</v>
      </c>
      <c r="AA93" s="248">
        <v>0</v>
      </c>
      <c r="AB93" s="252">
        <f t="shared" ref="AB93:AD93" si="116">AB92</f>
        <v>0</v>
      </c>
      <c r="AC93" s="252">
        <f t="shared" si="116"/>
        <v>0</v>
      </c>
      <c r="AD93" s="252">
        <f t="shared" si="116"/>
        <v>0</v>
      </c>
      <c r="AE93" s="252">
        <f t="shared" ref="AE93:AI93" si="117">AE92</f>
        <v>3.7969147688698968E-4</v>
      </c>
      <c r="AF93" s="252">
        <f t="shared" si="117"/>
        <v>0</v>
      </c>
      <c r="AG93" s="252">
        <f t="shared" si="117"/>
        <v>0</v>
      </c>
      <c r="AH93" s="252">
        <f t="shared" si="117"/>
        <v>0</v>
      </c>
      <c r="AI93" s="252">
        <f t="shared" si="117"/>
        <v>0</v>
      </c>
      <c r="AJ93" s="248">
        <v>0</v>
      </c>
      <c r="AK93" s="252">
        <f t="shared" si="104"/>
        <v>0</v>
      </c>
      <c r="AL93" s="252">
        <f t="shared" si="104"/>
        <v>0</v>
      </c>
      <c r="AM93" s="252">
        <f t="shared" si="104"/>
        <v>0</v>
      </c>
      <c r="AN93" s="252">
        <f t="shared" ref="AN93" si="118">AN92</f>
        <v>3.7969147688698968E-4</v>
      </c>
      <c r="AO93" s="252">
        <f t="shared" si="105"/>
        <v>0</v>
      </c>
      <c r="AP93" s="252">
        <f t="shared" si="105"/>
        <v>0</v>
      </c>
      <c r="AQ93" s="252">
        <f t="shared" si="105"/>
        <v>0</v>
      </c>
      <c r="AR93" s="252">
        <f t="shared" si="105"/>
        <v>0</v>
      </c>
      <c r="AS93" s="248">
        <v>0</v>
      </c>
      <c r="AT93" s="252">
        <f t="shared" si="21"/>
        <v>0</v>
      </c>
      <c r="AU93" s="252">
        <f t="shared" si="21"/>
        <v>3.7969147688698968E-4</v>
      </c>
      <c r="AV93" s="248">
        <v>0</v>
      </c>
      <c r="AW93" s="252">
        <v>0</v>
      </c>
      <c r="AX93" s="252">
        <v>0</v>
      </c>
      <c r="AY93" s="252">
        <v>0</v>
      </c>
      <c r="AZ93" s="252">
        <f t="shared" si="11"/>
        <v>3.7969147688698968E-4</v>
      </c>
      <c r="BA93" s="249">
        <v>0</v>
      </c>
      <c r="BB93" s="249">
        <v>0</v>
      </c>
      <c r="BC93" s="249">
        <v>0</v>
      </c>
      <c r="BD93" s="249">
        <v>0</v>
      </c>
      <c r="BE93" s="249">
        <v>0</v>
      </c>
      <c r="BF93" s="248">
        <v>0</v>
      </c>
      <c r="BG93" s="248">
        <v>0</v>
      </c>
      <c r="BH93" s="249">
        <v>0</v>
      </c>
      <c r="BI93" s="248">
        <v>0</v>
      </c>
      <c r="BJ93" s="248">
        <v>0</v>
      </c>
      <c r="BK93" s="248">
        <v>0</v>
      </c>
      <c r="BL93" s="248">
        <v>0</v>
      </c>
      <c r="BM93" s="248">
        <v>0</v>
      </c>
      <c r="BN93" s="248">
        <v>0</v>
      </c>
      <c r="BO93" s="248">
        <v>0</v>
      </c>
      <c r="BP93" s="248">
        <v>0</v>
      </c>
      <c r="BQ93" s="248">
        <v>0</v>
      </c>
      <c r="BR93" s="248">
        <v>0</v>
      </c>
      <c r="BS93" s="248">
        <v>0</v>
      </c>
      <c r="BT93" s="248">
        <v>0</v>
      </c>
      <c r="BU93" s="248">
        <v>0</v>
      </c>
      <c r="BV93" s="248">
        <v>0</v>
      </c>
      <c r="BW93" s="248">
        <v>0</v>
      </c>
      <c r="BX93" s="248">
        <v>0</v>
      </c>
      <c r="BY93" s="248">
        <v>0</v>
      </c>
      <c r="BZ93" s="248">
        <v>0</v>
      </c>
      <c r="CA93" s="248">
        <v>0</v>
      </c>
      <c r="CB93" s="248">
        <v>0</v>
      </c>
      <c r="CC93" s="248">
        <v>0</v>
      </c>
      <c r="CD93" s="248">
        <v>0</v>
      </c>
      <c r="CE93" s="248">
        <v>0</v>
      </c>
      <c r="CF93" s="248">
        <v>0</v>
      </c>
      <c r="CG93" s="248">
        <v>0</v>
      </c>
      <c r="CH93" s="248">
        <v>0</v>
      </c>
      <c r="CI93" s="248">
        <v>0</v>
      </c>
      <c r="CJ93" s="248">
        <v>0</v>
      </c>
      <c r="CK93" s="248">
        <v>0</v>
      </c>
      <c r="CL93" s="248">
        <v>0</v>
      </c>
      <c r="CM93" s="248">
        <v>0</v>
      </c>
      <c r="CN93" s="248">
        <v>0</v>
      </c>
      <c r="CO93" s="248">
        <v>0</v>
      </c>
      <c r="CP93" s="248">
        <v>0</v>
      </c>
      <c r="CQ93" s="248">
        <v>0</v>
      </c>
      <c r="CR93" s="248">
        <v>0</v>
      </c>
      <c r="CS93" s="248">
        <v>0</v>
      </c>
      <c r="CT93" s="248">
        <v>0</v>
      </c>
      <c r="CU93" s="248">
        <v>0</v>
      </c>
      <c r="CV93" s="248">
        <v>0</v>
      </c>
      <c r="CW93" s="248">
        <v>0</v>
      </c>
      <c r="CX93" s="248">
        <v>0</v>
      </c>
      <c r="CY93" s="248">
        <v>0</v>
      </c>
      <c r="CZ93" s="248">
        <v>0</v>
      </c>
      <c r="DA93" s="248">
        <v>0</v>
      </c>
      <c r="DB93" s="248">
        <v>0</v>
      </c>
      <c r="DC93" s="248">
        <v>0</v>
      </c>
      <c r="DD93" s="248">
        <v>0</v>
      </c>
      <c r="DE93" s="248">
        <v>0</v>
      </c>
      <c r="DF93" s="248">
        <v>0</v>
      </c>
      <c r="DG93" s="248">
        <v>0</v>
      </c>
      <c r="DH93" s="248">
        <v>0</v>
      </c>
      <c r="DI93" s="248">
        <v>0</v>
      </c>
      <c r="DJ93" s="248">
        <v>0</v>
      </c>
      <c r="DK93" s="248">
        <v>0</v>
      </c>
      <c r="DL93" s="248">
        <v>0</v>
      </c>
      <c r="DM93" s="248">
        <v>0</v>
      </c>
      <c r="DN93" s="248">
        <v>0</v>
      </c>
      <c r="DO93" s="248">
        <v>0</v>
      </c>
      <c r="DP93" s="248">
        <v>0</v>
      </c>
      <c r="DQ93" s="248">
        <v>0</v>
      </c>
      <c r="DR93" s="248">
        <v>0</v>
      </c>
      <c r="DS93" s="248">
        <v>0</v>
      </c>
      <c r="DT93" s="248">
        <v>0</v>
      </c>
      <c r="DU93" s="248">
        <v>0</v>
      </c>
      <c r="DV93" s="248">
        <v>0</v>
      </c>
      <c r="DW93" s="248">
        <v>0</v>
      </c>
      <c r="DX93" s="248">
        <v>0</v>
      </c>
      <c r="DY93" s="248">
        <v>0</v>
      </c>
      <c r="DZ93" s="248">
        <v>0</v>
      </c>
      <c r="EA93" s="248">
        <v>0</v>
      </c>
      <c r="EB93" s="248">
        <v>0</v>
      </c>
    </row>
    <row r="94" spans="2:132" ht="14.5" x14ac:dyDescent="0.35">
      <c r="B94" s="198">
        <v>39</v>
      </c>
      <c r="C94" s="252">
        <f t="shared" si="12"/>
        <v>0</v>
      </c>
      <c r="D94" s="248">
        <v>0</v>
      </c>
      <c r="E94" s="252">
        <f t="shared" si="13"/>
        <v>0</v>
      </c>
      <c r="F94" s="252">
        <f t="shared" si="14"/>
        <v>0</v>
      </c>
      <c r="G94" s="252">
        <f t="shared" si="14"/>
        <v>0</v>
      </c>
      <c r="H94" s="252">
        <f t="shared" si="14"/>
        <v>0</v>
      </c>
      <c r="I94" s="252">
        <f t="shared" si="106"/>
        <v>0</v>
      </c>
      <c r="J94" s="252">
        <f t="shared" si="107"/>
        <v>0</v>
      </c>
      <c r="K94" s="252">
        <f t="shared" si="108"/>
        <v>0</v>
      </c>
      <c r="L94" s="248">
        <v>0</v>
      </c>
      <c r="M94" s="252">
        <f t="shared" ref="M94" si="119">M93</f>
        <v>3.7969147688698968E-4</v>
      </c>
      <c r="N94" s="248">
        <v>0</v>
      </c>
      <c r="O94" s="248">
        <v>0</v>
      </c>
      <c r="P94" s="252">
        <f t="shared" si="4"/>
        <v>0</v>
      </c>
      <c r="Q94" s="252">
        <f t="shared" si="4"/>
        <v>3.7969147688698968E-4</v>
      </c>
      <c r="R94" s="248">
        <v>0</v>
      </c>
      <c r="S94" s="248">
        <v>0</v>
      </c>
      <c r="T94" s="248">
        <v>0</v>
      </c>
      <c r="U94" s="252">
        <f t="shared" ref="U94:V94" si="120">U93</f>
        <v>3.7969147688698968E-4</v>
      </c>
      <c r="V94" s="252">
        <f t="shared" si="120"/>
        <v>3.7969147688698968E-4</v>
      </c>
      <c r="W94" s="248">
        <v>0</v>
      </c>
      <c r="X94" s="248">
        <v>0</v>
      </c>
      <c r="Y94" s="248">
        <v>0</v>
      </c>
      <c r="Z94" s="248">
        <v>0</v>
      </c>
      <c r="AA94" s="248">
        <v>0</v>
      </c>
      <c r="AB94" s="252">
        <f t="shared" ref="AB94:AD94" si="121">AB93</f>
        <v>0</v>
      </c>
      <c r="AC94" s="252">
        <f t="shared" si="121"/>
        <v>0</v>
      </c>
      <c r="AD94" s="252">
        <f t="shared" si="121"/>
        <v>0</v>
      </c>
      <c r="AE94" s="252">
        <f t="shared" ref="AE94:AI94" si="122">AE93</f>
        <v>3.7969147688698968E-4</v>
      </c>
      <c r="AF94" s="252">
        <f t="shared" si="122"/>
        <v>0</v>
      </c>
      <c r="AG94" s="252">
        <f t="shared" si="122"/>
        <v>0</v>
      </c>
      <c r="AH94" s="252">
        <f t="shared" si="122"/>
        <v>0</v>
      </c>
      <c r="AI94" s="252">
        <f t="shared" si="122"/>
        <v>0</v>
      </c>
      <c r="AJ94" s="248">
        <v>0</v>
      </c>
      <c r="AK94" s="252">
        <f t="shared" si="104"/>
        <v>0</v>
      </c>
      <c r="AL94" s="252">
        <f t="shared" si="104"/>
        <v>0</v>
      </c>
      <c r="AM94" s="252">
        <f t="shared" si="104"/>
        <v>0</v>
      </c>
      <c r="AN94" s="252">
        <f t="shared" ref="AN94" si="123">AN93</f>
        <v>3.7969147688698968E-4</v>
      </c>
      <c r="AO94" s="252">
        <f t="shared" si="105"/>
        <v>0</v>
      </c>
      <c r="AP94" s="252">
        <f t="shared" si="105"/>
        <v>0</v>
      </c>
      <c r="AQ94" s="252">
        <f t="shared" si="105"/>
        <v>0</v>
      </c>
      <c r="AR94" s="252">
        <f t="shared" si="105"/>
        <v>0</v>
      </c>
      <c r="AS94" s="248">
        <v>0</v>
      </c>
      <c r="AT94" s="252">
        <f t="shared" si="21"/>
        <v>0</v>
      </c>
      <c r="AU94" s="252">
        <f t="shared" si="21"/>
        <v>3.7969147688698968E-4</v>
      </c>
      <c r="AV94" s="248">
        <v>0</v>
      </c>
      <c r="AW94" s="252">
        <v>0</v>
      </c>
      <c r="AX94" s="252">
        <v>0</v>
      </c>
      <c r="AY94" s="252">
        <v>0</v>
      </c>
      <c r="AZ94" s="252">
        <f t="shared" si="11"/>
        <v>3.7969147688698968E-4</v>
      </c>
      <c r="BA94" s="249">
        <v>0</v>
      </c>
      <c r="BB94" s="249">
        <v>0</v>
      </c>
      <c r="BC94" s="249">
        <v>0</v>
      </c>
      <c r="BD94" s="249">
        <v>0</v>
      </c>
      <c r="BE94" s="249">
        <v>0</v>
      </c>
      <c r="BF94" s="248">
        <v>0</v>
      </c>
      <c r="BG94" s="248">
        <v>0</v>
      </c>
      <c r="BH94" s="249">
        <v>0</v>
      </c>
      <c r="BI94" s="248">
        <v>0</v>
      </c>
      <c r="BJ94" s="248">
        <v>0</v>
      </c>
      <c r="BK94" s="248">
        <v>0</v>
      </c>
      <c r="BL94" s="248">
        <v>0</v>
      </c>
      <c r="BM94" s="248">
        <v>0</v>
      </c>
      <c r="BN94" s="248">
        <v>0</v>
      </c>
      <c r="BO94" s="248">
        <v>0</v>
      </c>
      <c r="BP94" s="248">
        <v>0</v>
      </c>
      <c r="BQ94" s="248">
        <v>0</v>
      </c>
      <c r="BR94" s="248">
        <v>0</v>
      </c>
      <c r="BS94" s="248">
        <v>0</v>
      </c>
      <c r="BT94" s="248">
        <v>0</v>
      </c>
      <c r="BU94" s="248">
        <v>0</v>
      </c>
      <c r="BV94" s="248">
        <v>0</v>
      </c>
      <c r="BW94" s="248">
        <v>0</v>
      </c>
      <c r="BX94" s="248">
        <v>0</v>
      </c>
      <c r="BY94" s="248">
        <v>0</v>
      </c>
      <c r="BZ94" s="248">
        <v>0</v>
      </c>
      <c r="CA94" s="248">
        <v>0</v>
      </c>
      <c r="CB94" s="248">
        <v>0</v>
      </c>
      <c r="CC94" s="248">
        <v>0</v>
      </c>
      <c r="CD94" s="248">
        <v>0</v>
      </c>
      <c r="CE94" s="248">
        <v>0</v>
      </c>
      <c r="CF94" s="248">
        <v>0</v>
      </c>
      <c r="CG94" s="248">
        <v>0</v>
      </c>
      <c r="CH94" s="248">
        <v>0</v>
      </c>
      <c r="CI94" s="248">
        <v>0</v>
      </c>
      <c r="CJ94" s="248">
        <v>0</v>
      </c>
      <c r="CK94" s="248">
        <v>0</v>
      </c>
      <c r="CL94" s="248">
        <v>0</v>
      </c>
      <c r="CM94" s="248">
        <v>0</v>
      </c>
      <c r="CN94" s="248">
        <v>0</v>
      </c>
      <c r="CO94" s="248">
        <v>0</v>
      </c>
      <c r="CP94" s="248">
        <v>0</v>
      </c>
      <c r="CQ94" s="248">
        <v>0</v>
      </c>
      <c r="CR94" s="248">
        <v>0</v>
      </c>
      <c r="CS94" s="248">
        <v>0</v>
      </c>
      <c r="CT94" s="248">
        <v>0</v>
      </c>
      <c r="CU94" s="248">
        <v>0</v>
      </c>
      <c r="CV94" s="248">
        <v>0</v>
      </c>
      <c r="CW94" s="248">
        <v>0</v>
      </c>
      <c r="CX94" s="248">
        <v>0</v>
      </c>
      <c r="CY94" s="248">
        <v>0</v>
      </c>
      <c r="CZ94" s="248">
        <v>0</v>
      </c>
      <c r="DA94" s="248">
        <v>0</v>
      </c>
      <c r="DB94" s="248">
        <v>0</v>
      </c>
      <c r="DC94" s="248">
        <v>0</v>
      </c>
      <c r="DD94" s="248">
        <v>0</v>
      </c>
      <c r="DE94" s="248">
        <v>0</v>
      </c>
      <c r="DF94" s="248">
        <v>0</v>
      </c>
      <c r="DG94" s="248">
        <v>0</v>
      </c>
      <c r="DH94" s="248">
        <v>0</v>
      </c>
      <c r="DI94" s="248">
        <v>0</v>
      </c>
      <c r="DJ94" s="248">
        <v>0</v>
      </c>
      <c r="DK94" s="248">
        <v>0</v>
      </c>
      <c r="DL94" s="248">
        <v>0</v>
      </c>
      <c r="DM94" s="248">
        <v>0</v>
      </c>
      <c r="DN94" s="248">
        <v>0</v>
      </c>
      <c r="DO94" s="248">
        <v>0</v>
      </c>
      <c r="DP94" s="248">
        <v>0</v>
      </c>
      <c r="DQ94" s="248">
        <v>0</v>
      </c>
      <c r="DR94" s="248">
        <v>0</v>
      </c>
      <c r="DS94" s="248">
        <v>0</v>
      </c>
      <c r="DT94" s="248">
        <v>0</v>
      </c>
      <c r="DU94" s="248">
        <v>0</v>
      </c>
      <c r="DV94" s="248">
        <v>0</v>
      </c>
      <c r="DW94" s="248">
        <v>0</v>
      </c>
      <c r="DX94" s="248">
        <v>0</v>
      </c>
      <c r="DY94" s="248">
        <v>0</v>
      </c>
      <c r="DZ94" s="248">
        <v>0</v>
      </c>
      <c r="EA94" s="248">
        <v>0</v>
      </c>
      <c r="EB94" s="248">
        <v>0</v>
      </c>
    </row>
    <row r="95" spans="2:132" ht="14.5" x14ac:dyDescent="0.35">
      <c r="B95" s="198">
        <v>40</v>
      </c>
      <c r="C95" s="252">
        <f t="shared" si="12"/>
        <v>0</v>
      </c>
      <c r="D95" s="248">
        <v>0</v>
      </c>
      <c r="E95" s="252">
        <f t="shared" si="13"/>
        <v>0</v>
      </c>
      <c r="F95" s="252">
        <f t="shared" si="14"/>
        <v>0</v>
      </c>
      <c r="G95" s="252">
        <f t="shared" si="14"/>
        <v>0</v>
      </c>
      <c r="H95" s="252">
        <f t="shared" si="14"/>
        <v>0</v>
      </c>
      <c r="I95" s="252">
        <f t="shared" si="106"/>
        <v>0</v>
      </c>
      <c r="J95" s="252">
        <f t="shared" si="107"/>
        <v>0</v>
      </c>
      <c r="K95" s="252">
        <f t="shared" si="108"/>
        <v>0</v>
      </c>
      <c r="L95" s="248">
        <v>0</v>
      </c>
      <c r="M95" s="252">
        <f t="shared" ref="M95" si="124">M94</f>
        <v>3.7969147688698968E-4</v>
      </c>
      <c r="N95" s="248">
        <v>0</v>
      </c>
      <c r="O95" s="248">
        <v>0</v>
      </c>
      <c r="P95" s="252">
        <f t="shared" si="4"/>
        <v>0</v>
      </c>
      <c r="Q95" s="252">
        <f t="shared" si="4"/>
        <v>3.7969147688698968E-4</v>
      </c>
      <c r="R95" s="248">
        <v>0</v>
      </c>
      <c r="S95" s="248">
        <v>0</v>
      </c>
      <c r="T95" s="248">
        <v>0</v>
      </c>
      <c r="U95" s="252">
        <f t="shared" ref="U95:V95" si="125">U94</f>
        <v>3.7969147688698968E-4</v>
      </c>
      <c r="V95" s="252">
        <f t="shared" si="125"/>
        <v>3.7969147688698968E-4</v>
      </c>
      <c r="W95" s="248">
        <v>0</v>
      </c>
      <c r="X95" s="248">
        <v>0</v>
      </c>
      <c r="Y95" s="248">
        <v>0</v>
      </c>
      <c r="Z95" s="248">
        <v>0</v>
      </c>
      <c r="AA95" s="248">
        <v>0</v>
      </c>
      <c r="AB95" s="252">
        <f t="shared" ref="AB95:AD95" si="126">AB94</f>
        <v>0</v>
      </c>
      <c r="AC95" s="252">
        <f t="shared" si="126"/>
        <v>0</v>
      </c>
      <c r="AD95" s="252">
        <f t="shared" si="126"/>
        <v>0</v>
      </c>
      <c r="AE95" s="252">
        <f t="shared" ref="AE95:AI95" si="127">AE94</f>
        <v>3.7969147688698968E-4</v>
      </c>
      <c r="AF95" s="252">
        <f t="shared" si="127"/>
        <v>0</v>
      </c>
      <c r="AG95" s="252">
        <f t="shared" si="127"/>
        <v>0</v>
      </c>
      <c r="AH95" s="252">
        <f t="shared" si="127"/>
        <v>0</v>
      </c>
      <c r="AI95" s="252">
        <f t="shared" si="127"/>
        <v>0</v>
      </c>
      <c r="AJ95" s="248">
        <v>0</v>
      </c>
      <c r="AK95" s="252">
        <f t="shared" si="104"/>
        <v>0</v>
      </c>
      <c r="AL95" s="252">
        <f t="shared" si="104"/>
        <v>0</v>
      </c>
      <c r="AM95" s="252">
        <f t="shared" si="104"/>
        <v>0</v>
      </c>
      <c r="AN95" s="252">
        <f t="shared" ref="AN95" si="128">AN94</f>
        <v>3.7969147688698968E-4</v>
      </c>
      <c r="AO95" s="252">
        <f t="shared" si="105"/>
        <v>0</v>
      </c>
      <c r="AP95" s="252">
        <f t="shared" si="105"/>
        <v>0</v>
      </c>
      <c r="AQ95" s="252">
        <f t="shared" si="105"/>
        <v>0</v>
      </c>
      <c r="AR95" s="252">
        <f t="shared" si="105"/>
        <v>0</v>
      </c>
      <c r="AS95" s="248">
        <v>0</v>
      </c>
      <c r="AT95" s="252">
        <f t="shared" si="21"/>
        <v>0</v>
      </c>
      <c r="AU95" s="252">
        <f t="shared" si="21"/>
        <v>3.7969147688698968E-4</v>
      </c>
      <c r="AV95" s="248">
        <v>0</v>
      </c>
      <c r="AW95" s="252">
        <v>0</v>
      </c>
      <c r="AX95" s="252">
        <v>0</v>
      </c>
      <c r="AY95" s="252">
        <v>0</v>
      </c>
      <c r="AZ95" s="252">
        <f t="shared" si="11"/>
        <v>3.7969147688698968E-4</v>
      </c>
      <c r="BA95" s="249">
        <v>0</v>
      </c>
      <c r="BB95" s="249">
        <v>0</v>
      </c>
      <c r="BC95" s="249">
        <v>0</v>
      </c>
      <c r="BD95" s="249">
        <v>0</v>
      </c>
      <c r="BE95" s="249">
        <v>0</v>
      </c>
      <c r="BF95" s="248">
        <v>0</v>
      </c>
      <c r="BG95" s="248">
        <v>0</v>
      </c>
      <c r="BH95" s="249">
        <v>0</v>
      </c>
      <c r="BI95" s="248">
        <v>0</v>
      </c>
      <c r="BJ95" s="248">
        <v>0</v>
      </c>
      <c r="BK95" s="248">
        <v>0</v>
      </c>
      <c r="BL95" s="248">
        <v>0</v>
      </c>
      <c r="BM95" s="248">
        <v>0</v>
      </c>
      <c r="BN95" s="248">
        <v>0</v>
      </c>
      <c r="BO95" s="248">
        <v>0</v>
      </c>
      <c r="BP95" s="248">
        <v>0</v>
      </c>
      <c r="BQ95" s="248">
        <v>0</v>
      </c>
      <c r="BR95" s="248">
        <v>0</v>
      </c>
      <c r="BS95" s="248">
        <v>0</v>
      </c>
      <c r="BT95" s="248">
        <v>0</v>
      </c>
      <c r="BU95" s="248">
        <v>0</v>
      </c>
      <c r="BV95" s="248">
        <v>0</v>
      </c>
      <c r="BW95" s="248">
        <v>0</v>
      </c>
      <c r="BX95" s="248">
        <v>0</v>
      </c>
      <c r="BY95" s="248">
        <v>0</v>
      </c>
      <c r="BZ95" s="248">
        <v>0</v>
      </c>
      <c r="CA95" s="248">
        <v>0</v>
      </c>
      <c r="CB95" s="248">
        <v>0</v>
      </c>
      <c r="CC95" s="248">
        <v>0</v>
      </c>
      <c r="CD95" s="248">
        <v>0</v>
      </c>
      <c r="CE95" s="248">
        <v>0</v>
      </c>
      <c r="CF95" s="248">
        <v>0</v>
      </c>
      <c r="CG95" s="248">
        <v>0</v>
      </c>
      <c r="CH95" s="248">
        <v>0</v>
      </c>
      <c r="CI95" s="248">
        <v>0</v>
      </c>
      <c r="CJ95" s="248">
        <v>0</v>
      </c>
      <c r="CK95" s="248">
        <v>0</v>
      </c>
      <c r="CL95" s="248">
        <v>0</v>
      </c>
      <c r="CM95" s="248">
        <v>0</v>
      </c>
      <c r="CN95" s="248">
        <v>0</v>
      </c>
      <c r="CO95" s="248">
        <v>0</v>
      </c>
      <c r="CP95" s="248">
        <v>0</v>
      </c>
      <c r="CQ95" s="248">
        <v>0</v>
      </c>
      <c r="CR95" s="248">
        <v>0</v>
      </c>
      <c r="CS95" s="248">
        <v>0</v>
      </c>
      <c r="CT95" s="248">
        <v>0</v>
      </c>
      <c r="CU95" s="248">
        <v>0</v>
      </c>
      <c r="CV95" s="248">
        <v>0</v>
      </c>
      <c r="CW95" s="248">
        <v>0</v>
      </c>
      <c r="CX95" s="248">
        <v>0</v>
      </c>
      <c r="CY95" s="248">
        <v>0</v>
      </c>
      <c r="CZ95" s="248">
        <v>0</v>
      </c>
      <c r="DA95" s="248">
        <v>0</v>
      </c>
      <c r="DB95" s="248">
        <v>0</v>
      </c>
      <c r="DC95" s="248">
        <v>0</v>
      </c>
      <c r="DD95" s="248">
        <v>0</v>
      </c>
      <c r="DE95" s="248">
        <v>0</v>
      </c>
      <c r="DF95" s="248">
        <v>0</v>
      </c>
      <c r="DG95" s="248">
        <v>0</v>
      </c>
      <c r="DH95" s="248">
        <v>0</v>
      </c>
      <c r="DI95" s="248">
        <v>0</v>
      </c>
      <c r="DJ95" s="248">
        <v>0</v>
      </c>
      <c r="DK95" s="248">
        <v>0</v>
      </c>
      <c r="DL95" s="248">
        <v>0</v>
      </c>
      <c r="DM95" s="248">
        <v>0</v>
      </c>
      <c r="DN95" s="248">
        <v>0</v>
      </c>
      <c r="DO95" s="248">
        <v>0</v>
      </c>
      <c r="DP95" s="248">
        <v>0</v>
      </c>
      <c r="DQ95" s="248">
        <v>0</v>
      </c>
      <c r="DR95" s="248">
        <v>0</v>
      </c>
      <c r="DS95" s="248">
        <v>0</v>
      </c>
      <c r="DT95" s="248">
        <v>0</v>
      </c>
      <c r="DU95" s="248">
        <v>0</v>
      </c>
      <c r="DV95" s="248">
        <v>0</v>
      </c>
      <c r="DW95" s="248">
        <v>0</v>
      </c>
      <c r="DX95" s="248">
        <v>0</v>
      </c>
      <c r="DY95" s="248">
        <v>0</v>
      </c>
      <c r="DZ95" s="248">
        <v>0</v>
      </c>
      <c r="EA95" s="248">
        <v>0</v>
      </c>
      <c r="EB95" s="248">
        <v>0</v>
      </c>
    </row>
    <row r="96" spans="2:132" ht="14.5" x14ac:dyDescent="0.35">
      <c r="B96" s="197">
        <v>41</v>
      </c>
      <c r="C96" s="252">
        <f t="shared" si="12"/>
        <v>0</v>
      </c>
      <c r="D96" s="248">
        <v>0</v>
      </c>
      <c r="E96" s="252">
        <f t="shared" si="13"/>
        <v>0</v>
      </c>
      <c r="F96" s="252">
        <f>F95</f>
        <v>0</v>
      </c>
      <c r="G96" s="252">
        <f>G95</f>
        <v>0</v>
      </c>
      <c r="H96" s="252">
        <f>H95</f>
        <v>0</v>
      </c>
      <c r="I96" s="252">
        <f t="shared" si="106"/>
        <v>0</v>
      </c>
      <c r="J96" s="252">
        <f t="shared" si="107"/>
        <v>0</v>
      </c>
      <c r="K96" s="252">
        <f t="shared" si="108"/>
        <v>0</v>
      </c>
      <c r="L96" s="248">
        <v>0</v>
      </c>
      <c r="M96" s="252">
        <f t="shared" ref="M96" si="129">M95</f>
        <v>3.7969147688698968E-4</v>
      </c>
      <c r="N96" s="248">
        <v>0</v>
      </c>
      <c r="O96" s="248">
        <v>0</v>
      </c>
      <c r="P96" s="252">
        <f t="shared" si="4"/>
        <v>0</v>
      </c>
      <c r="Q96" s="252">
        <f t="shared" si="4"/>
        <v>3.7969147688698968E-4</v>
      </c>
      <c r="R96" s="248">
        <v>0</v>
      </c>
      <c r="S96" s="248">
        <v>0</v>
      </c>
      <c r="T96" s="248">
        <v>0</v>
      </c>
      <c r="U96" s="252">
        <f t="shared" ref="U96:V96" si="130">U95</f>
        <v>3.7969147688698968E-4</v>
      </c>
      <c r="V96" s="252">
        <f t="shared" si="130"/>
        <v>3.7969147688698968E-4</v>
      </c>
      <c r="W96" s="248">
        <v>0</v>
      </c>
      <c r="X96" s="248">
        <v>0</v>
      </c>
      <c r="Y96" s="248">
        <v>0</v>
      </c>
      <c r="Z96" s="248">
        <v>0</v>
      </c>
      <c r="AA96" s="248">
        <v>0</v>
      </c>
      <c r="AB96" s="252">
        <f t="shared" ref="AB96:AD96" si="131">AB95</f>
        <v>0</v>
      </c>
      <c r="AC96" s="252">
        <f t="shared" si="131"/>
        <v>0</v>
      </c>
      <c r="AD96" s="252">
        <f t="shared" si="131"/>
        <v>0</v>
      </c>
      <c r="AE96" s="252">
        <f t="shared" ref="AE96:AI96" si="132">AE95</f>
        <v>3.7969147688698968E-4</v>
      </c>
      <c r="AF96" s="252">
        <f t="shared" si="132"/>
        <v>0</v>
      </c>
      <c r="AG96" s="252">
        <f t="shared" si="132"/>
        <v>0</v>
      </c>
      <c r="AH96" s="252">
        <f t="shared" si="132"/>
        <v>0</v>
      </c>
      <c r="AI96" s="252">
        <f t="shared" si="132"/>
        <v>0</v>
      </c>
      <c r="AJ96" s="248">
        <v>0</v>
      </c>
      <c r="AK96" s="252">
        <f t="shared" si="104"/>
        <v>0</v>
      </c>
      <c r="AL96" s="252">
        <f t="shared" si="104"/>
        <v>0</v>
      </c>
      <c r="AM96" s="252">
        <f t="shared" si="104"/>
        <v>0</v>
      </c>
      <c r="AN96" s="252">
        <f t="shared" ref="AN96" si="133">AN95</f>
        <v>3.7969147688698968E-4</v>
      </c>
      <c r="AO96" s="252">
        <f t="shared" si="105"/>
        <v>0</v>
      </c>
      <c r="AP96" s="252">
        <f t="shared" si="105"/>
        <v>0</v>
      </c>
      <c r="AQ96" s="252">
        <f t="shared" si="105"/>
        <v>0</v>
      </c>
      <c r="AR96" s="252">
        <f t="shared" si="105"/>
        <v>0</v>
      </c>
      <c r="AS96" s="248">
        <v>0</v>
      </c>
      <c r="AT96" s="252">
        <f t="shared" si="21"/>
        <v>0</v>
      </c>
      <c r="AU96" s="252">
        <f t="shared" si="21"/>
        <v>3.7969147688698968E-4</v>
      </c>
      <c r="AV96" s="248">
        <v>0</v>
      </c>
      <c r="AW96" s="252">
        <v>0</v>
      </c>
      <c r="AX96" s="252">
        <v>0</v>
      </c>
      <c r="AY96" s="252">
        <v>0</v>
      </c>
      <c r="AZ96" s="252">
        <f t="shared" si="11"/>
        <v>3.7969147688698968E-4</v>
      </c>
      <c r="BA96" s="249">
        <v>0</v>
      </c>
      <c r="BB96" s="249">
        <v>0</v>
      </c>
      <c r="BC96" s="249">
        <v>0</v>
      </c>
      <c r="BD96" s="249">
        <v>0</v>
      </c>
      <c r="BE96" s="249">
        <v>0</v>
      </c>
      <c r="BF96" s="248">
        <v>0</v>
      </c>
      <c r="BG96" s="248">
        <v>0</v>
      </c>
      <c r="BH96" s="249">
        <v>0</v>
      </c>
      <c r="BI96" s="248">
        <v>0</v>
      </c>
      <c r="BJ96" s="248">
        <v>0</v>
      </c>
      <c r="BK96" s="248">
        <v>0</v>
      </c>
      <c r="BL96" s="248">
        <v>0</v>
      </c>
      <c r="BM96" s="248">
        <v>0</v>
      </c>
      <c r="BN96" s="248">
        <v>0</v>
      </c>
      <c r="BO96" s="248">
        <v>0</v>
      </c>
      <c r="BP96" s="248">
        <v>0</v>
      </c>
      <c r="BQ96" s="248">
        <v>0</v>
      </c>
      <c r="BR96" s="248">
        <v>0</v>
      </c>
      <c r="BS96" s="248">
        <v>0</v>
      </c>
      <c r="BT96" s="248">
        <v>0</v>
      </c>
      <c r="BU96" s="248">
        <v>0</v>
      </c>
      <c r="BV96" s="248">
        <v>0</v>
      </c>
      <c r="BW96" s="248">
        <v>0</v>
      </c>
      <c r="BX96" s="248">
        <v>0</v>
      </c>
      <c r="BY96" s="248">
        <v>0</v>
      </c>
      <c r="BZ96" s="248">
        <v>0</v>
      </c>
      <c r="CA96" s="248">
        <v>0</v>
      </c>
      <c r="CB96" s="248">
        <v>0</v>
      </c>
      <c r="CC96" s="248">
        <v>0</v>
      </c>
      <c r="CD96" s="248">
        <v>0</v>
      </c>
      <c r="CE96" s="248">
        <v>0</v>
      </c>
      <c r="CF96" s="248">
        <v>0</v>
      </c>
      <c r="CG96" s="248">
        <v>0</v>
      </c>
      <c r="CH96" s="248">
        <v>0</v>
      </c>
      <c r="CI96" s="248">
        <v>0</v>
      </c>
      <c r="CJ96" s="248">
        <v>0</v>
      </c>
      <c r="CK96" s="248">
        <v>0</v>
      </c>
      <c r="CL96" s="248">
        <v>0</v>
      </c>
      <c r="CM96" s="248">
        <v>0</v>
      </c>
      <c r="CN96" s="248">
        <v>0</v>
      </c>
      <c r="CO96" s="248">
        <v>0</v>
      </c>
      <c r="CP96" s="248">
        <v>0</v>
      </c>
      <c r="CQ96" s="248">
        <v>0</v>
      </c>
      <c r="CR96" s="248">
        <v>0</v>
      </c>
      <c r="CS96" s="248">
        <v>0</v>
      </c>
      <c r="CT96" s="248">
        <v>0</v>
      </c>
      <c r="CU96" s="248">
        <v>0</v>
      </c>
      <c r="CV96" s="248">
        <v>0</v>
      </c>
      <c r="CW96" s="248">
        <v>0</v>
      </c>
      <c r="CX96" s="248">
        <v>0</v>
      </c>
      <c r="CY96" s="248">
        <v>0</v>
      </c>
      <c r="CZ96" s="248">
        <v>0</v>
      </c>
      <c r="DA96" s="248">
        <v>0</v>
      </c>
      <c r="DB96" s="248">
        <v>0</v>
      </c>
      <c r="DC96" s="248">
        <v>0</v>
      </c>
      <c r="DD96" s="248">
        <v>0</v>
      </c>
      <c r="DE96" s="248">
        <v>0</v>
      </c>
      <c r="DF96" s="248">
        <v>0</v>
      </c>
      <c r="DG96" s="248">
        <v>0</v>
      </c>
      <c r="DH96" s="248">
        <v>0</v>
      </c>
      <c r="DI96" s="248">
        <v>0</v>
      </c>
      <c r="DJ96" s="248">
        <v>0</v>
      </c>
      <c r="DK96" s="248">
        <v>0</v>
      </c>
      <c r="DL96" s="248">
        <v>0</v>
      </c>
      <c r="DM96" s="248">
        <v>0</v>
      </c>
      <c r="DN96" s="248">
        <v>0</v>
      </c>
      <c r="DO96" s="248">
        <v>0</v>
      </c>
      <c r="DP96" s="248">
        <v>0</v>
      </c>
      <c r="DQ96" s="248">
        <v>0</v>
      </c>
      <c r="DR96" s="248">
        <v>0</v>
      </c>
      <c r="DS96" s="248">
        <v>0</v>
      </c>
      <c r="DT96" s="248">
        <v>0</v>
      </c>
      <c r="DU96" s="248">
        <v>0</v>
      </c>
      <c r="DV96" s="248">
        <v>0</v>
      </c>
      <c r="DW96" s="248">
        <v>0</v>
      </c>
      <c r="DX96" s="248">
        <v>0</v>
      </c>
      <c r="DY96" s="248">
        <v>0</v>
      </c>
      <c r="DZ96" s="248">
        <v>0</v>
      </c>
      <c r="EA96" s="248">
        <v>0</v>
      </c>
      <c r="EB96" s="248">
        <v>0</v>
      </c>
    </row>
  </sheetData>
  <conditionalFormatting sqref="C5">
    <cfRule type="cellIs" dxfId="1164" priority="21" operator="notEqual">
      <formula>$A5</formula>
    </cfRule>
  </conditionalFormatting>
  <conditionalFormatting sqref="I10:I49">
    <cfRule type="cellIs" dxfId="1163" priority="2" operator="notEqual">
      <formula>$A10</formula>
    </cfRule>
  </conditionalFormatting>
  <conditionalFormatting sqref="H10:H49">
    <cfRule type="cellIs" dxfId="1162" priority="1" operator="notEqual">
      <formula>$A10</formula>
    </cfRule>
  </conditionalFormatting>
  <dataValidations count="1">
    <dataValidation type="list" allowBlank="1" showInputMessage="1" showErrorMessage="1" sqref="C5" xr:uid="{00000000-0002-0000-0E00-000000000000}">
      <formula1>"Monthly, Annually"</formula1>
    </dataValidation>
  </dataValidations>
  <hyperlinks>
    <hyperlink ref="A1" location="'Table of Contents'!A1" display="Go to TOC" xr:uid="{00000000-0004-0000-0E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A1:Q387"/>
  <sheetViews>
    <sheetView zoomScale="85" zoomScaleNormal="85" workbookViewId="0">
      <pane xSplit="5" ySplit="4" topLeftCell="F5" activePane="bottomRight" state="frozen"/>
      <selection pane="topRight" activeCell="E1" sqref="E1"/>
      <selection pane="bottomLeft" activeCell="A5" sqref="A5"/>
      <selection pane="bottomRight" activeCell="A388" sqref="A388:XFD393"/>
    </sheetView>
  </sheetViews>
  <sheetFormatPr defaultRowHeight="12.5" x14ac:dyDescent="0.25"/>
  <cols>
    <col min="1" max="1" width="18.81640625" customWidth="1"/>
    <col min="2" max="2" width="12" bestFit="1" customWidth="1"/>
    <col min="3" max="3" width="15.453125" bestFit="1" customWidth="1"/>
    <col min="4" max="4" width="12.453125" customWidth="1"/>
    <col min="5" max="6" width="13.54296875" customWidth="1"/>
    <col min="7" max="7" width="12.453125" customWidth="1"/>
    <col min="8" max="8" width="11.54296875" customWidth="1"/>
    <col min="9" max="9" width="13.26953125" customWidth="1"/>
    <col min="10" max="10" width="11" customWidth="1"/>
    <col min="14" max="14" width="10.81640625" customWidth="1"/>
    <col min="15" max="15" width="12.453125" customWidth="1"/>
  </cols>
  <sheetData>
    <row r="1" spans="1:17" x14ac:dyDescent="0.25">
      <c r="F1" s="251" t="s">
        <v>879</v>
      </c>
    </row>
    <row r="2" spans="1:17" x14ac:dyDescent="0.25">
      <c r="N2" t="s">
        <v>712</v>
      </c>
      <c r="O2" t="s">
        <v>713</v>
      </c>
      <c r="P2" t="s">
        <v>672</v>
      </c>
      <c r="Q2" t="s">
        <v>710</v>
      </c>
    </row>
    <row r="3" spans="1:17" ht="13" x14ac:dyDescent="0.3">
      <c r="A3" s="32" t="s">
        <v>404</v>
      </c>
      <c r="B3" s="32"/>
      <c r="C3" s="163" t="s">
        <v>650</v>
      </c>
      <c r="D3" s="221"/>
      <c r="E3" s="221"/>
      <c r="F3" s="217" t="s">
        <v>651</v>
      </c>
      <c r="G3" s="26" t="s">
        <v>652</v>
      </c>
      <c r="H3" s="26" t="s">
        <v>653</v>
      </c>
      <c r="I3" s="26" t="s">
        <v>654</v>
      </c>
      <c r="J3" s="26" t="s">
        <v>655</v>
      </c>
      <c r="K3" s="26" t="s">
        <v>656</v>
      </c>
      <c r="L3" s="26" t="s">
        <v>316</v>
      </c>
      <c r="N3" s="26" t="s">
        <v>651</v>
      </c>
      <c r="O3" s="26" t="s">
        <v>651</v>
      </c>
      <c r="P3" s="26" t="s">
        <v>651</v>
      </c>
    </row>
    <row r="4" spans="1:17" ht="13" x14ac:dyDescent="0.3">
      <c r="A4" s="25" t="s">
        <v>710</v>
      </c>
      <c r="B4" s="25" t="s">
        <v>711</v>
      </c>
      <c r="C4" s="221" t="s">
        <v>707</v>
      </c>
      <c r="D4" s="221" t="s">
        <v>708</v>
      </c>
      <c r="E4" s="221" t="s">
        <v>649</v>
      </c>
      <c r="F4" s="217"/>
      <c r="G4" s="26"/>
      <c r="H4" s="26"/>
      <c r="I4" s="26"/>
      <c r="J4" s="26"/>
      <c r="K4" s="26"/>
      <c r="L4" s="26"/>
      <c r="N4" s="26"/>
      <c r="O4" s="26"/>
      <c r="P4" s="26"/>
    </row>
    <row r="5" spans="1:17" ht="13" x14ac:dyDescent="0.3">
      <c r="A5" s="25"/>
      <c r="B5">
        <v>3</v>
      </c>
      <c r="C5" s="221" t="s">
        <v>720</v>
      </c>
      <c r="D5" s="221" t="s">
        <v>704</v>
      </c>
      <c r="E5" s="221">
        <f>1</f>
        <v>1</v>
      </c>
      <c r="F5" s="204" t="s">
        <v>847</v>
      </c>
      <c r="G5" s="204" t="str">
        <f t="shared" ref="G5:G103" si="0">F5</f>
        <v>3MVANG</v>
      </c>
      <c r="H5" s="204" t="str">
        <f t="shared" ref="H5:H103" si="1">G5</f>
        <v>3MVANG</v>
      </c>
      <c r="I5" s="204" t="str">
        <f t="shared" ref="I5:I103" si="2">H5</f>
        <v>3MVANG</v>
      </c>
      <c r="J5" s="204" t="str">
        <f t="shared" ref="J5:J103" si="3">I5</f>
        <v>3MVANG</v>
      </c>
      <c r="K5" s="204">
        <v>100</v>
      </c>
      <c r="L5" s="204">
        <v>7</v>
      </c>
      <c r="N5" s="204" t="str">
        <f t="shared" ref="N5:N103" si="4">F5</f>
        <v>3MVANG</v>
      </c>
      <c r="O5" s="204" t="str">
        <f t="shared" ref="O5:O103" si="5">ROUND(IF(AND($D5="BASE",$B5=8),7,$B5)+IF($D5="BASE",0,IF($B5=5,4,IF($B5=7,5,10))),0)&amp;"Y_I"</f>
        <v>3Y_I</v>
      </c>
      <c r="P5" s="204" t="str">
        <f t="shared" ref="P5:P103" si="6">(ROUND($B5,0)+2)&amp;"Y_I"</f>
        <v>5Y_I</v>
      </c>
    </row>
    <row r="6" spans="1:17" ht="13" x14ac:dyDescent="0.3">
      <c r="A6" s="25"/>
      <c r="B6">
        <v>4</v>
      </c>
      <c r="C6" s="221" t="s">
        <v>721</v>
      </c>
      <c r="D6" s="221" t="s">
        <v>704</v>
      </c>
      <c r="E6" s="221">
        <f>1</f>
        <v>1</v>
      </c>
      <c r="F6" s="204" t="s">
        <v>848</v>
      </c>
      <c r="G6" s="204" t="str">
        <f t="shared" si="0"/>
        <v>4MVANG</v>
      </c>
      <c r="H6" s="204" t="str">
        <f t="shared" si="1"/>
        <v>4MVANG</v>
      </c>
      <c r="I6" s="204" t="str">
        <f t="shared" si="2"/>
        <v>4MVANG</v>
      </c>
      <c r="J6" s="204" t="str">
        <f t="shared" si="3"/>
        <v>4MVANG</v>
      </c>
      <c r="K6" s="204">
        <v>100</v>
      </c>
      <c r="L6" s="204">
        <v>7</v>
      </c>
      <c r="N6" s="204" t="str">
        <f t="shared" si="4"/>
        <v>4MVANG</v>
      </c>
      <c r="O6" s="204" t="str">
        <f t="shared" si="5"/>
        <v>4Y_I</v>
      </c>
      <c r="P6" s="204" t="str">
        <f t="shared" si="6"/>
        <v>6Y_I</v>
      </c>
    </row>
    <row r="7" spans="1:17" ht="13" x14ac:dyDescent="0.3">
      <c r="A7" s="25"/>
      <c r="B7">
        <v>3</v>
      </c>
      <c r="C7" s="221" t="s">
        <v>718</v>
      </c>
      <c r="D7" s="221" t="s">
        <v>704</v>
      </c>
      <c r="E7" s="221">
        <f>1</f>
        <v>1</v>
      </c>
      <c r="F7" s="204" t="s">
        <v>843</v>
      </c>
      <c r="G7" s="204" t="str">
        <f t="shared" si="0"/>
        <v>3GROP</v>
      </c>
      <c r="H7" s="204" t="str">
        <f t="shared" si="1"/>
        <v>3GROP</v>
      </c>
      <c r="I7" s="204" t="str">
        <f t="shared" si="2"/>
        <v>3GROP</v>
      </c>
      <c r="J7" s="204" t="str">
        <f t="shared" si="3"/>
        <v>3GROP</v>
      </c>
      <c r="K7" s="204">
        <v>100</v>
      </c>
      <c r="L7" s="204">
        <v>7</v>
      </c>
      <c r="N7" s="204" t="str">
        <f t="shared" si="4"/>
        <v>3GROP</v>
      </c>
      <c r="O7" s="204" t="str">
        <f t="shared" si="5"/>
        <v>3Y_I</v>
      </c>
      <c r="P7" s="204" t="str">
        <f t="shared" si="6"/>
        <v>5Y_I</v>
      </c>
    </row>
    <row r="8" spans="1:17" ht="13" x14ac:dyDescent="0.3">
      <c r="A8" s="25"/>
      <c r="B8">
        <v>3</v>
      </c>
      <c r="C8" s="253" t="s">
        <v>889</v>
      </c>
      <c r="D8" s="221" t="s">
        <v>704</v>
      </c>
      <c r="E8" s="221">
        <f>1</f>
        <v>1</v>
      </c>
      <c r="F8" s="204" t="s">
        <v>843</v>
      </c>
      <c r="G8" s="204" t="str">
        <f t="shared" ref="G8" si="7">F8</f>
        <v>3GROP</v>
      </c>
      <c r="H8" s="204" t="str">
        <f t="shared" ref="H8" si="8">G8</f>
        <v>3GROP</v>
      </c>
      <c r="I8" s="204" t="str">
        <f t="shared" ref="I8" si="9">H8</f>
        <v>3GROP</v>
      </c>
      <c r="J8" s="204" t="str">
        <f t="shared" ref="J8" si="10">I8</f>
        <v>3GROP</v>
      </c>
      <c r="K8" s="204">
        <v>100</v>
      </c>
      <c r="L8" s="204">
        <v>7</v>
      </c>
      <c r="N8" s="204" t="str">
        <f t="shared" ref="N8" si="11">F8</f>
        <v>3GROP</v>
      </c>
      <c r="O8" s="204" t="str">
        <f t="shared" si="5"/>
        <v>3Y_I</v>
      </c>
      <c r="P8" s="204" t="str">
        <f t="shared" si="6"/>
        <v>5Y_I</v>
      </c>
    </row>
    <row r="9" spans="1:17" ht="13" x14ac:dyDescent="0.3">
      <c r="A9" s="25"/>
      <c r="B9">
        <v>3</v>
      </c>
      <c r="C9" s="253" t="s">
        <v>890</v>
      </c>
      <c r="D9" s="221" t="s">
        <v>704</v>
      </c>
      <c r="E9" s="221">
        <f>1</f>
        <v>1</v>
      </c>
      <c r="F9" s="204" t="s">
        <v>843</v>
      </c>
      <c r="G9" s="204" t="str">
        <f t="shared" ref="G9" si="12">F9</f>
        <v>3GROP</v>
      </c>
      <c r="H9" s="204" t="str">
        <f t="shared" ref="H9" si="13">G9</f>
        <v>3GROP</v>
      </c>
      <c r="I9" s="204" t="str">
        <f t="shared" ref="I9" si="14">H9</f>
        <v>3GROP</v>
      </c>
      <c r="J9" s="204" t="str">
        <f t="shared" ref="J9" si="15">I9</f>
        <v>3GROP</v>
      </c>
      <c r="K9" s="204">
        <v>100</v>
      </c>
      <c r="L9" s="204">
        <v>7</v>
      </c>
      <c r="N9" s="204" t="str">
        <f t="shared" ref="N9" si="16">F9</f>
        <v>3GROP</v>
      </c>
      <c r="O9" s="204" t="str">
        <f t="shared" si="5"/>
        <v>3Y_I</v>
      </c>
      <c r="P9" s="204" t="str">
        <f t="shared" si="6"/>
        <v>5Y_I</v>
      </c>
    </row>
    <row r="10" spans="1:17" ht="13" x14ac:dyDescent="0.3">
      <c r="A10" s="25"/>
      <c r="B10">
        <v>3</v>
      </c>
      <c r="C10" s="253" t="s">
        <v>891</v>
      </c>
      <c r="D10" s="221" t="s">
        <v>704</v>
      </c>
      <c r="E10" s="221">
        <f>1</f>
        <v>1</v>
      </c>
      <c r="F10" s="204" t="s">
        <v>843</v>
      </c>
      <c r="G10" s="204" t="str">
        <f t="shared" ref="G10" si="17">F10</f>
        <v>3GROP</v>
      </c>
      <c r="H10" s="204" t="str">
        <f t="shared" ref="H10" si="18">G10</f>
        <v>3GROP</v>
      </c>
      <c r="I10" s="204" t="str">
        <f t="shared" ref="I10" si="19">H10</f>
        <v>3GROP</v>
      </c>
      <c r="J10" s="204" t="str">
        <f t="shared" ref="J10" si="20">I10</f>
        <v>3GROP</v>
      </c>
      <c r="K10" s="204">
        <v>100</v>
      </c>
      <c r="L10" s="204">
        <v>7</v>
      </c>
      <c r="N10" s="204" t="str">
        <f t="shared" ref="N10" si="21">F10</f>
        <v>3GROP</v>
      </c>
      <c r="O10" s="204" t="str">
        <f t="shared" si="5"/>
        <v>3Y_I</v>
      </c>
      <c r="P10" s="204" t="str">
        <f t="shared" si="6"/>
        <v>5Y_I</v>
      </c>
    </row>
    <row r="11" spans="1:17" ht="13" x14ac:dyDescent="0.3">
      <c r="A11" s="25"/>
      <c r="B11">
        <v>3</v>
      </c>
      <c r="C11" s="253" t="s">
        <v>892</v>
      </c>
      <c r="D11" s="221" t="s">
        <v>704</v>
      </c>
      <c r="E11" s="221">
        <f>1</f>
        <v>1</v>
      </c>
      <c r="F11" s="204" t="s">
        <v>843</v>
      </c>
      <c r="G11" s="204" t="str">
        <f t="shared" ref="G11" si="22">F11</f>
        <v>3GROP</v>
      </c>
      <c r="H11" s="204" t="str">
        <f t="shared" ref="H11" si="23">G11</f>
        <v>3GROP</v>
      </c>
      <c r="I11" s="204" t="str">
        <f t="shared" ref="I11" si="24">H11</f>
        <v>3GROP</v>
      </c>
      <c r="J11" s="204" t="str">
        <f t="shared" ref="J11" si="25">I11</f>
        <v>3GROP</v>
      </c>
      <c r="K11" s="204">
        <v>100</v>
      </c>
      <c r="L11" s="204">
        <v>7</v>
      </c>
      <c r="N11" s="204" t="str">
        <f t="shared" ref="N11" si="26">F11</f>
        <v>3GROP</v>
      </c>
      <c r="O11" s="204" t="str">
        <f t="shared" si="5"/>
        <v>3Y_I</v>
      </c>
      <c r="P11" s="204" t="str">
        <f t="shared" si="6"/>
        <v>5Y_I</v>
      </c>
    </row>
    <row r="12" spans="1:17" ht="13" x14ac:dyDescent="0.3">
      <c r="A12" s="25"/>
      <c r="B12">
        <v>4</v>
      </c>
      <c r="C12" s="221" t="s">
        <v>719</v>
      </c>
      <c r="D12" s="221" t="s">
        <v>704</v>
      </c>
      <c r="E12" s="221">
        <f>1</f>
        <v>1</v>
      </c>
      <c r="F12" s="204" t="s">
        <v>844</v>
      </c>
      <c r="G12" s="204" t="str">
        <f t="shared" si="0"/>
        <v>4GROP</v>
      </c>
      <c r="H12" s="204" t="str">
        <f t="shared" si="1"/>
        <v>4GROP</v>
      </c>
      <c r="I12" s="204" t="str">
        <f t="shared" si="2"/>
        <v>4GROP</v>
      </c>
      <c r="J12" s="204" t="str">
        <f t="shared" si="3"/>
        <v>4GROP</v>
      </c>
      <c r="K12" s="204">
        <v>100</v>
      </c>
      <c r="L12" s="204">
        <v>7</v>
      </c>
      <c r="N12" s="204" t="str">
        <f t="shared" si="4"/>
        <v>4GROP</v>
      </c>
      <c r="O12" s="204" t="str">
        <f t="shared" si="5"/>
        <v>4Y_I</v>
      </c>
      <c r="P12" s="204" t="str">
        <f t="shared" si="6"/>
        <v>6Y_I</v>
      </c>
    </row>
    <row r="13" spans="1:17" ht="13" x14ac:dyDescent="0.3">
      <c r="A13" s="25"/>
      <c r="B13">
        <v>4</v>
      </c>
      <c r="C13" s="253" t="s">
        <v>893</v>
      </c>
      <c r="D13" s="221" t="s">
        <v>704</v>
      </c>
      <c r="E13" s="221">
        <f>1</f>
        <v>1</v>
      </c>
      <c r="F13" s="204" t="s">
        <v>844</v>
      </c>
      <c r="G13" s="204" t="str">
        <f t="shared" ref="G13:G16" si="27">F13</f>
        <v>4GROP</v>
      </c>
      <c r="H13" s="204" t="str">
        <f t="shared" ref="H13:H16" si="28">G13</f>
        <v>4GROP</v>
      </c>
      <c r="I13" s="204" t="str">
        <f t="shared" ref="I13:I16" si="29">H13</f>
        <v>4GROP</v>
      </c>
      <c r="J13" s="204" t="str">
        <f t="shared" ref="J13:J16" si="30">I13</f>
        <v>4GROP</v>
      </c>
      <c r="K13" s="204">
        <v>100</v>
      </c>
      <c r="L13" s="204">
        <v>7</v>
      </c>
      <c r="N13" s="204" t="str">
        <f t="shared" ref="N13:N16" si="31">F13</f>
        <v>4GROP</v>
      </c>
      <c r="O13" s="204" t="str">
        <f t="shared" si="5"/>
        <v>4Y_I</v>
      </c>
      <c r="P13" s="204" t="str">
        <f t="shared" si="6"/>
        <v>6Y_I</v>
      </c>
    </row>
    <row r="14" spans="1:17" ht="13" x14ac:dyDescent="0.3">
      <c r="A14" s="25"/>
      <c r="B14">
        <v>4</v>
      </c>
      <c r="C14" s="253" t="s">
        <v>894</v>
      </c>
      <c r="D14" s="221" t="s">
        <v>704</v>
      </c>
      <c r="E14" s="221">
        <f>1</f>
        <v>1</v>
      </c>
      <c r="F14" s="204" t="s">
        <v>844</v>
      </c>
      <c r="G14" s="204" t="str">
        <f t="shared" si="27"/>
        <v>4GROP</v>
      </c>
      <c r="H14" s="204" t="str">
        <f t="shared" si="28"/>
        <v>4GROP</v>
      </c>
      <c r="I14" s="204" t="str">
        <f t="shared" si="29"/>
        <v>4GROP</v>
      </c>
      <c r="J14" s="204" t="str">
        <f t="shared" si="30"/>
        <v>4GROP</v>
      </c>
      <c r="K14" s="204">
        <v>100</v>
      </c>
      <c r="L14" s="204">
        <v>7</v>
      </c>
      <c r="N14" s="204" t="str">
        <f t="shared" si="31"/>
        <v>4GROP</v>
      </c>
      <c r="O14" s="204" t="str">
        <f t="shared" si="5"/>
        <v>4Y_I</v>
      </c>
      <c r="P14" s="204" t="str">
        <f t="shared" si="6"/>
        <v>6Y_I</v>
      </c>
    </row>
    <row r="15" spans="1:17" ht="13" x14ac:dyDescent="0.3">
      <c r="A15" s="25"/>
      <c r="B15">
        <v>4</v>
      </c>
      <c r="C15" s="253" t="s">
        <v>895</v>
      </c>
      <c r="D15" s="221" t="s">
        <v>704</v>
      </c>
      <c r="E15" s="221">
        <f>1</f>
        <v>1</v>
      </c>
      <c r="F15" s="204" t="s">
        <v>844</v>
      </c>
      <c r="G15" s="204" t="str">
        <f t="shared" si="27"/>
        <v>4GROP</v>
      </c>
      <c r="H15" s="204" t="str">
        <f t="shared" si="28"/>
        <v>4GROP</v>
      </c>
      <c r="I15" s="204" t="str">
        <f t="shared" si="29"/>
        <v>4GROP</v>
      </c>
      <c r="J15" s="204" t="str">
        <f t="shared" si="30"/>
        <v>4GROP</v>
      </c>
      <c r="K15" s="204">
        <v>100</v>
      </c>
      <c r="L15" s="204">
        <v>7</v>
      </c>
      <c r="N15" s="204" t="str">
        <f t="shared" si="31"/>
        <v>4GROP</v>
      </c>
      <c r="O15" s="204" t="str">
        <f t="shared" si="5"/>
        <v>4Y_I</v>
      </c>
      <c r="P15" s="204" t="str">
        <f t="shared" si="6"/>
        <v>6Y_I</v>
      </c>
    </row>
    <row r="16" spans="1:17" ht="13" x14ac:dyDescent="0.3">
      <c r="A16" s="25"/>
      <c r="B16">
        <v>4</v>
      </c>
      <c r="C16" s="253" t="s">
        <v>896</v>
      </c>
      <c r="D16" s="221" t="s">
        <v>704</v>
      </c>
      <c r="E16" s="221">
        <f>1</f>
        <v>1</v>
      </c>
      <c r="F16" s="204" t="s">
        <v>844</v>
      </c>
      <c r="G16" s="204" t="str">
        <f t="shared" si="27"/>
        <v>4GROP</v>
      </c>
      <c r="H16" s="204" t="str">
        <f t="shared" si="28"/>
        <v>4GROP</v>
      </c>
      <c r="I16" s="204" t="str">
        <f t="shared" si="29"/>
        <v>4GROP</v>
      </c>
      <c r="J16" s="204" t="str">
        <f t="shared" si="30"/>
        <v>4GROP</v>
      </c>
      <c r="K16" s="204">
        <v>100</v>
      </c>
      <c r="L16" s="204">
        <v>7</v>
      </c>
      <c r="N16" s="204" t="str">
        <f t="shared" si="31"/>
        <v>4GROP</v>
      </c>
      <c r="O16" s="204" t="str">
        <f t="shared" si="5"/>
        <v>4Y_I</v>
      </c>
      <c r="P16" s="204" t="str">
        <f t="shared" si="6"/>
        <v>6Y_I</v>
      </c>
    </row>
    <row r="17" spans="1:16" ht="13" x14ac:dyDescent="0.3">
      <c r="A17" s="25"/>
      <c r="B17">
        <v>5</v>
      </c>
      <c r="C17" s="221" t="s">
        <v>715</v>
      </c>
      <c r="D17" s="221" t="s">
        <v>704</v>
      </c>
      <c r="E17" s="221">
        <f>1</f>
        <v>1</v>
      </c>
      <c r="F17" s="204" t="s">
        <v>845</v>
      </c>
      <c r="G17" s="204" t="str">
        <f t="shared" si="0"/>
        <v>5GROP</v>
      </c>
      <c r="H17" s="204" t="str">
        <f t="shared" si="1"/>
        <v>5GROP</v>
      </c>
      <c r="I17" s="204" t="str">
        <f t="shared" si="2"/>
        <v>5GROP</v>
      </c>
      <c r="J17" s="204" t="str">
        <f t="shared" si="3"/>
        <v>5GROP</v>
      </c>
      <c r="K17" s="204">
        <v>100</v>
      </c>
      <c r="L17" s="204">
        <v>7</v>
      </c>
      <c r="N17" s="204" t="str">
        <f t="shared" si="4"/>
        <v>5GROP</v>
      </c>
      <c r="O17" s="204" t="str">
        <f t="shared" si="5"/>
        <v>5Y_I</v>
      </c>
      <c r="P17" s="204" t="str">
        <f t="shared" si="6"/>
        <v>7Y_I</v>
      </c>
    </row>
    <row r="18" spans="1:16" ht="13" x14ac:dyDescent="0.3">
      <c r="A18" s="25"/>
      <c r="B18">
        <v>5</v>
      </c>
      <c r="C18" s="253" t="s">
        <v>897</v>
      </c>
      <c r="D18" s="221" t="s">
        <v>704</v>
      </c>
      <c r="E18" s="221">
        <f>1</f>
        <v>1</v>
      </c>
      <c r="F18" s="204" t="s">
        <v>845</v>
      </c>
      <c r="G18" s="204" t="str">
        <f t="shared" ref="G18" si="32">F18</f>
        <v>5GROP</v>
      </c>
      <c r="H18" s="204" t="str">
        <f t="shared" ref="H18" si="33">G18</f>
        <v>5GROP</v>
      </c>
      <c r="I18" s="204" t="str">
        <f t="shared" ref="I18" si="34">H18</f>
        <v>5GROP</v>
      </c>
      <c r="J18" s="204" t="str">
        <f t="shared" ref="J18" si="35">I18</f>
        <v>5GROP</v>
      </c>
      <c r="K18" s="204">
        <v>100</v>
      </c>
      <c r="L18" s="204">
        <v>7</v>
      </c>
      <c r="N18" s="204" t="str">
        <f t="shared" ref="N18" si="36">F18</f>
        <v>5GROP</v>
      </c>
      <c r="O18" s="204" t="str">
        <f t="shared" si="5"/>
        <v>5Y_I</v>
      </c>
      <c r="P18" s="204" t="str">
        <f t="shared" si="6"/>
        <v>7Y_I</v>
      </c>
    </row>
    <row r="19" spans="1:16" ht="13" x14ac:dyDescent="0.3">
      <c r="A19" s="25"/>
      <c r="B19">
        <v>5</v>
      </c>
      <c r="C19" s="253" t="s">
        <v>898</v>
      </c>
      <c r="D19" s="221" t="s">
        <v>704</v>
      </c>
      <c r="E19" s="221">
        <f>1</f>
        <v>1</v>
      </c>
      <c r="F19" s="204" t="s">
        <v>845</v>
      </c>
      <c r="G19" s="204" t="str">
        <f t="shared" ref="G19" si="37">F19</f>
        <v>5GROP</v>
      </c>
      <c r="H19" s="204" t="str">
        <f t="shared" ref="H19" si="38">G19</f>
        <v>5GROP</v>
      </c>
      <c r="I19" s="204" t="str">
        <f t="shared" ref="I19" si="39">H19</f>
        <v>5GROP</v>
      </c>
      <c r="J19" s="204" t="str">
        <f t="shared" ref="J19" si="40">I19</f>
        <v>5GROP</v>
      </c>
      <c r="K19" s="204">
        <v>100</v>
      </c>
      <c r="L19" s="204">
        <v>7</v>
      </c>
      <c r="N19" s="204" t="str">
        <f t="shared" ref="N19" si="41">F19</f>
        <v>5GROP</v>
      </c>
      <c r="O19" s="204" t="str">
        <f t="shared" si="5"/>
        <v>5Y_I</v>
      </c>
      <c r="P19" s="204" t="str">
        <f t="shared" si="6"/>
        <v>7Y_I</v>
      </c>
    </row>
    <row r="20" spans="1:16" ht="13" x14ac:dyDescent="0.3">
      <c r="A20" s="25"/>
      <c r="B20">
        <v>5</v>
      </c>
      <c r="C20" s="253" t="s">
        <v>899</v>
      </c>
      <c r="D20" s="221" t="s">
        <v>704</v>
      </c>
      <c r="E20" s="221">
        <f>1</f>
        <v>1</v>
      </c>
      <c r="F20" s="204" t="s">
        <v>845</v>
      </c>
      <c r="G20" s="204" t="str">
        <f t="shared" ref="G20:G21" si="42">F20</f>
        <v>5GROP</v>
      </c>
      <c r="H20" s="204" t="str">
        <f t="shared" ref="H20:H21" si="43">G20</f>
        <v>5GROP</v>
      </c>
      <c r="I20" s="204" t="str">
        <f t="shared" ref="I20:I21" si="44">H20</f>
        <v>5GROP</v>
      </c>
      <c r="J20" s="204" t="str">
        <f t="shared" ref="J20:J21" si="45">I20</f>
        <v>5GROP</v>
      </c>
      <c r="K20" s="204">
        <v>100</v>
      </c>
      <c r="L20" s="204">
        <v>7</v>
      </c>
      <c r="N20" s="204" t="str">
        <f t="shared" ref="N20:N21" si="46">F20</f>
        <v>5GROP</v>
      </c>
      <c r="O20" s="204" t="str">
        <f t="shared" si="5"/>
        <v>5Y_I</v>
      </c>
      <c r="P20" s="204" t="str">
        <f t="shared" si="6"/>
        <v>7Y_I</v>
      </c>
    </row>
    <row r="21" spans="1:16" ht="13" x14ac:dyDescent="0.3">
      <c r="A21" s="25"/>
      <c r="B21">
        <v>5</v>
      </c>
      <c r="C21" s="253" t="s">
        <v>900</v>
      </c>
      <c r="D21" s="221" t="s">
        <v>704</v>
      </c>
      <c r="E21" s="221">
        <f>1</f>
        <v>1</v>
      </c>
      <c r="F21" s="204" t="s">
        <v>845</v>
      </c>
      <c r="G21" s="204" t="str">
        <f t="shared" si="42"/>
        <v>5GROP</v>
      </c>
      <c r="H21" s="204" t="str">
        <f t="shared" si="43"/>
        <v>5GROP</v>
      </c>
      <c r="I21" s="204" t="str">
        <f t="shared" si="44"/>
        <v>5GROP</v>
      </c>
      <c r="J21" s="204" t="str">
        <f t="shared" si="45"/>
        <v>5GROP</v>
      </c>
      <c r="K21" s="204">
        <v>100</v>
      </c>
      <c r="L21" s="204">
        <v>7</v>
      </c>
      <c r="N21" s="204" t="str">
        <f t="shared" si="46"/>
        <v>5GROP</v>
      </c>
      <c r="O21" s="204" t="str">
        <f t="shared" si="5"/>
        <v>5Y_I</v>
      </c>
      <c r="P21" s="204" t="str">
        <f t="shared" si="6"/>
        <v>7Y_I</v>
      </c>
    </row>
    <row r="22" spans="1:16" ht="13" x14ac:dyDescent="0.3">
      <c r="A22" s="25"/>
      <c r="B22">
        <v>7</v>
      </c>
      <c r="C22" s="221" t="s">
        <v>726</v>
      </c>
      <c r="D22" s="221" t="s">
        <v>704</v>
      </c>
      <c r="E22" s="221">
        <f>1</f>
        <v>1</v>
      </c>
      <c r="F22" s="204" t="s">
        <v>846</v>
      </c>
      <c r="G22" s="204" t="str">
        <f t="shared" si="0"/>
        <v>7GROP</v>
      </c>
      <c r="H22" s="204" t="str">
        <f t="shared" si="1"/>
        <v>7GROP</v>
      </c>
      <c r="I22" s="204" t="str">
        <f t="shared" si="2"/>
        <v>7GROP</v>
      </c>
      <c r="J22" s="204" t="str">
        <f t="shared" si="3"/>
        <v>7GROP</v>
      </c>
      <c r="K22" s="204">
        <v>100</v>
      </c>
      <c r="L22" s="204">
        <v>7</v>
      </c>
      <c r="N22" s="204" t="str">
        <f t="shared" si="4"/>
        <v>7GROP</v>
      </c>
      <c r="O22" s="204" t="str">
        <f t="shared" si="5"/>
        <v>7Y_I</v>
      </c>
      <c r="P22" s="204" t="str">
        <f t="shared" si="6"/>
        <v>9Y_I</v>
      </c>
    </row>
    <row r="23" spans="1:16" ht="13" x14ac:dyDescent="0.3">
      <c r="A23" s="25"/>
      <c r="B23">
        <v>7</v>
      </c>
      <c r="C23" s="253" t="s">
        <v>901</v>
      </c>
      <c r="D23" s="221" t="s">
        <v>704</v>
      </c>
      <c r="E23" s="221">
        <f>1</f>
        <v>1</v>
      </c>
      <c r="F23" s="204" t="s">
        <v>846</v>
      </c>
      <c r="G23" s="204" t="str">
        <f t="shared" ref="G23:G26" si="47">F23</f>
        <v>7GROP</v>
      </c>
      <c r="H23" s="204" t="str">
        <f t="shared" ref="H23:H26" si="48">G23</f>
        <v>7GROP</v>
      </c>
      <c r="I23" s="204" t="str">
        <f t="shared" ref="I23:I26" si="49">H23</f>
        <v>7GROP</v>
      </c>
      <c r="J23" s="204" t="str">
        <f t="shared" ref="J23:J26" si="50">I23</f>
        <v>7GROP</v>
      </c>
      <c r="K23" s="204">
        <v>100</v>
      </c>
      <c r="L23" s="204">
        <v>7</v>
      </c>
      <c r="N23" s="204" t="str">
        <f t="shared" ref="N23:N26" si="51">F23</f>
        <v>7GROP</v>
      </c>
      <c r="O23" s="204" t="str">
        <f t="shared" si="5"/>
        <v>7Y_I</v>
      </c>
      <c r="P23" s="204" t="str">
        <f t="shared" si="6"/>
        <v>9Y_I</v>
      </c>
    </row>
    <row r="24" spans="1:16" ht="13" x14ac:dyDescent="0.3">
      <c r="A24" s="25"/>
      <c r="B24">
        <v>7</v>
      </c>
      <c r="C24" s="253" t="s">
        <v>902</v>
      </c>
      <c r="D24" s="221" t="s">
        <v>704</v>
      </c>
      <c r="E24" s="221">
        <f>1</f>
        <v>1</v>
      </c>
      <c r="F24" s="204" t="s">
        <v>846</v>
      </c>
      <c r="G24" s="204" t="str">
        <f t="shared" si="47"/>
        <v>7GROP</v>
      </c>
      <c r="H24" s="204" t="str">
        <f t="shared" si="48"/>
        <v>7GROP</v>
      </c>
      <c r="I24" s="204" t="str">
        <f t="shared" si="49"/>
        <v>7GROP</v>
      </c>
      <c r="J24" s="204" t="str">
        <f t="shared" si="50"/>
        <v>7GROP</v>
      </c>
      <c r="K24" s="204">
        <v>100</v>
      </c>
      <c r="L24" s="204">
        <v>7</v>
      </c>
      <c r="N24" s="204" t="str">
        <f t="shared" si="51"/>
        <v>7GROP</v>
      </c>
      <c r="O24" s="204" t="str">
        <f t="shared" si="5"/>
        <v>7Y_I</v>
      </c>
      <c r="P24" s="204" t="str">
        <f t="shared" si="6"/>
        <v>9Y_I</v>
      </c>
    </row>
    <row r="25" spans="1:16" ht="13" x14ac:dyDescent="0.3">
      <c r="A25" s="25"/>
      <c r="B25">
        <v>7</v>
      </c>
      <c r="C25" s="253" t="s">
        <v>903</v>
      </c>
      <c r="D25" s="221" t="s">
        <v>704</v>
      </c>
      <c r="E25" s="221">
        <f>1</f>
        <v>1</v>
      </c>
      <c r="F25" s="204" t="s">
        <v>846</v>
      </c>
      <c r="G25" s="204" t="str">
        <f t="shared" si="47"/>
        <v>7GROP</v>
      </c>
      <c r="H25" s="204" t="str">
        <f t="shared" si="48"/>
        <v>7GROP</v>
      </c>
      <c r="I25" s="204" t="str">
        <f t="shared" si="49"/>
        <v>7GROP</v>
      </c>
      <c r="J25" s="204" t="str">
        <f t="shared" si="50"/>
        <v>7GROP</v>
      </c>
      <c r="K25" s="204">
        <v>100</v>
      </c>
      <c r="L25" s="204">
        <v>7</v>
      </c>
      <c r="N25" s="204" t="str">
        <f t="shared" si="51"/>
        <v>7GROP</v>
      </c>
      <c r="O25" s="204" t="str">
        <f t="shared" si="5"/>
        <v>7Y_I</v>
      </c>
      <c r="P25" s="204" t="str">
        <f t="shared" si="6"/>
        <v>9Y_I</v>
      </c>
    </row>
    <row r="26" spans="1:16" ht="13" x14ac:dyDescent="0.3">
      <c r="A26" s="25"/>
      <c r="B26">
        <v>7</v>
      </c>
      <c r="C26" s="253" t="s">
        <v>904</v>
      </c>
      <c r="D26" s="221" t="s">
        <v>704</v>
      </c>
      <c r="E26" s="221">
        <f>1</f>
        <v>1</v>
      </c>
      <c r="F26" s="204" t="s">
        <v>846</v>
      </c>
      <c r="G26" s="204" t="str">
        <f t="shared" si="47"/>
        <v>7GROP</v>
      </c>
      <c r="H26" s="204" t="str">
        <f t="shared" si="48"/>
        <v>7GROP</v>
      </c>
      <c r="I26" s="204" t="str">
        <f t="shared" si="49"/>
        <v>7GROP</v>
      </c>
      <c r="J26" s="204" t="str">
        <f t="shared" si="50"/>
        <v>7GROP</v>
      </c>
      <c r="K26" s="204">
        <v>100</v>
      </c>
      <c r="L26" s="204">
        <v>7</v>
      </c>
      <c r="N26" s="204" t="str">
        <f t="shared" si="51"/>
        <v>7GROP</v>
      </c>
      <c r="O26" s="204" t="str">
        <f t="shared" si="5"/>
        <v>7Y_I</v>
      </c>
      <c r="P26" s="204" t="str">
        <f t="shared" si="6"/>
        <v>9Y_I</v>
      </c>
    </row>
    <row r="27" spans="1:16" ht="13" x14ac:dyDescent="0.3">
      <c r="A27" s="25"/>
      <c r="B27">
        <v>3</v>
      </c>
      <c r="C27" s="221" t="s">
        <v>727</v>
      </c>
      <c r="D27" s="221" t="s">
        <v>704</v>
      </c>
      <c r="E27" s="221">
        <f>1</f>
        <v>1</v>
      </c>
      <c r="F27" s="204" t="s">
        <v>847</v>
      </c>
      <c r="G27" s="204" t="str">
        <f t="shared" si="0"/>
        <v>3MVANG</v>
      </c>
      <c r="H27" s="204" t="str">
        <f t="shared" si="1"/>
        <v>3MVANG</v>
      </c>
      <c r="I27" s="204" t="str">
        <f t="shared" si="2"/>
        <v>3MVANG</v>
      </c>
      <c r="J27" s="204" t="str">
        <f t="shared" si="3"/>
        <v>3MVANG</v>
      </c>
      <c r="K27" s="204">
        <v>100</v>
      </c>
      <c r="L27" s="204">
        <v>7</v>
      </c>
      <c r="N27" s="204" t="str">
        <f t="shared" si="4"/>
        <v>3MVANG</v>
      </c>
      <c r="O27" s="204" t="str">
        <f t="shared" si="5"/>
        <v>3Y_I</v>
      </c>
      <c r="P27" s="204" t="str">
        <f t="shared" si="6"/>
        <v>5Y_I</v>
      </c>
    </row>
    <row r="28" spans="1:16" ht="13" x14ac:dyDescent="0.3">
      <c r="A28" s="25"/>
      <c r="B28">
        <v>3</v>
      </c>
      <c r="C28" s="253" t="s">
        <v>905</v>
      </c>
      <c r="D28" s="221" t="s">
        <v>704</v>
      </c>
      <c r="E28" s="221">
        <f>1</f>
        <v>1</v>
      </c>
      <c r="F28" s="204" t="s">
        <v>847</v>
      </c>
      <c r="G28" s="204" t="str">
        <f t="shared" ref="G28" si="52">F28</f>
        <v>3MVANG</v>
      </c>
      <c r="H28" s="204" t="str">
        <f t="shared" ref="H28" si="53">G28</f>
        <v>3MVANG</v>
      </c>
      <c r="I28" s="204" t="str">
        <f t="shared" ref="I28" si="54">H28</f>
        <v>3MVANG</v>
      </c>
      <c r="J28" s="204" t="str">
        <f t="shared" ref="J28" si="55">I28</f>
        <v>3MVANG</v>
      </c>
      <c r="K28" s="204">
        <v>100</v>
      </c>
      <c r="L28" s="204">
        <v>7</v>
      </c>
      <c r="N28" s="204" t="str">
        <f t="shared" ref="N28" si="56">F28</f>
        <v>3MVANG</v>
      </c>
      <c r="O28" s="204" t="str">
        <f t="shared" si="5"/>
        <v>3Y_I</v>
      </c>
      <c r="P28" s="204" t="str">
        <f t="shared" si="6"/>
        <v>5Y_I</v>
      </c>
    </row>
    <row r="29" spans="1:16" ht="13" x14ac:dyDescent="0.3">
      <c r="A29" s="25"/>
      <c r="B29">
        <v>3</v>
      </c>
      <c r="C29" s="253" t="s">
        <v>906</v>
      </c>
      <c r="D29" s="221" t="s">
        <v>704</v>
      </c>
      <c r="E29" s="221">
        <f>1</f>
        <v>1</v>
      </c>
      <c r="F29" s="204" t="s">
        <v>847</v>
      </c>
      <c r="G29" s="204" t="str">
        <f t="shared" ref="G29" si="57">F29</f>
        <v>3MVANG</v>
      </c>
      <c r="H29" s="204" t="str">
        <f t="shared" ref="H29" si="58">G29</f>
        <v>3MVANG</v>
      </c>
      <c r="I29" s="204" t="str">
        <f t="shared" ref="I29" si="59">H29</f>
        <v>3MVANG</v>
      </c>
      <c r="J29" s="204" t="str">
        <f t="shared" ref="J29" si="60">I29</f>
        <v>3MVANG</v>
      </c>
      <c r="K29" s="204">
        <v>100</v>
      </c>
      <c r="L29" s="204">
        <v>7</v>
      </c>
      <c r="N29" s="204" t="str">
        <f t="shared" ref="N29" si="61">F29</f>
        <v>3MVANG</v>
      </c>
      <c r="O29" s="204" t="str">
        <f t="shared" si="5"/>
        <v>3Y_I</v>
      </c>
      <c r="P29" s="204" t="str">
        <f t="shared" si="6"/>
        <v>5Y_I</v>
      </c>
    </row>
    <row r="30" spans="1:16" ht="13" x14ac:dyDescent="0.3">
      <c r="A30" s="25"/>
      <c r="B30">
        <v>3</v>
      </c>
      <c r="C30" s="253" t="s">
        <v>907</v>
      </c>
      <c r="D30" s="221" t="s">
        <v>704</v>
      </c>
      <c r="E30" s="221">
        <f>1</f>
        <v>1</v>
      </c>
      <c r="F30" s="204" t="s">
        <v>847</v>
      </c>
      <c r="G30" s="204" t="str">
        <f t="shared" ref="G30:G31" si="62">F30</f>
        <v>3MVANG</v>
      </c>
      <c r="H30" s="204" t="str">
        <f t="shared" ref="H30:H31" si="63">G30</f>
        <v>3MVANG</v>
      </c>
      <c r="I30" s="204" t="str">
        <f t="shared" ref="I30:I31" si="64">H30</f>
        <v>3MVANG</v>
      </c>
      <c r="J30" s="204" t="str">
        <f t="shared" ref="J30:J31" si="65">I30</f>
        <v>3MVANG</v>
      </c>
      <c r="K30" s="204">
        <v>100</v>
      </c>
      <c r="L30" s="204">
        <v>7</v>
      </c>
      <c r="N30" s="204" t="str">
        <f t="shared" ref="N30:N31" si="66">F30</f>
        <v>3MVANG</v>
      </c>
      <c r="O30" s="204" t="str">
        <f t="shared" si="5"/>
        <v>3Y_I</v>
      </c>
      <c r="P30" s="204" t="str">
        <f t="shared" si="6"/>
        <v>5Y_I</v>
      </c>
    </row>
    <row r="31" spans="1:16" ht="13" x14ac:dyDescent="0.3">
      <c r="A31" s="25"/>
      <c r="B31">
        <v>3</v>
      </c>
      <c r="C31" s="253" t="s">
        <v>908</v>
      </c>
      <c r="D31" s="221" t="s">
        <v>704</v>
      </c>
      <c r="E31" s="221">
        <f>1</f>
        <v>1</v>
      </c>
      <c r="F31" s="204" t="s">
        <v>847</v>
      </c>
      <c r="G31" s="204" t="str">
        <f t="shared" si="62"/>
        <v>3MVANG</v>
      </c>
      <c r="H31" s="204" t="str">
        <f t="shared" si="63"/>
        <v>3MVANG</v>
      </c>
      <c r="I31" s="204" t="str">
        <f t="shared" si="64"/>
        <v>3MVANG</v>
      </c>
      <c r="J31" s="204" t="str">
        <f t="shared" si="65"/>
        <v>3MVANG</v>
      </c>
      <c r="K31" s="204">
        <v>100</v>
      </c>
      <c r="L31" s="204">
        <v>7</v>
      </c>
      <c r="N31" s="204" t="str">
        <f t="shared" si="66"/>
        <v>3MVANG</v>
      </c>
      <c r="O31" s="204" t="str">
        <f t="shared" si="5"/>
        <v>3Y_I</v>
      </c>
      <c r="P31" s="204" t="str">
        <f t="shared" si="6"/>
        <v>5Y_I</v>
      </c>
    </row>
    <row r="32" spans="1:16" ht="13" x14ac:dyDescent="0.3">
      <c r="A32" s="25"/>
      <c r="B32">
        <v>5</v>
      </c>
      <c r="C32" s="221" t="s">
        <v>728</v>
      </c>
      <c r="D32" s="221" t="s">
        <v>704</v>
      </c>
      <c r="E32" s="221">
        <f>1</f>
        <v>1</v>
      </c>
      <c r="F32" s="204" t="s">
        <v>849</v>
      </c>
      <c r="G32" s="204" t="str">
        <f t="shared" si="0"/>
        <v>5NGROP</v>
      </c>
      <c r="H32" s="204" t="str">
        <f t="shared" si="1"/>
        <v>5NGROP</v>
      </c>
      <c r="I32" s="204" t="str">
        <f t="shared" si="2"/>
        <v>5NGROP</v>
      </c>
      <c r="J32" s="204" t="str">
        <f t="shared" si="3"/>
        <v>5NGROP</v>
      </c>
      <c r="K32" s="204">
        <v>100</v>
      </c>
      <c r="L32" s="204">
        <v>7</v>
      </c>
      <c r="N32" s="204" t="str">
        <f t="shared" si="4"/>
        <v>5NGROP</v>
      </c>
      <c r="O32" s="204" t="str">
        <f t="shared" si="5"/>
        <v>5Y_I</v>
      </c>
      <c r="P32" s="204" t="str">
        <f t="shared" si="6"/>
        <v>7Y_I</v>
      </c>
    </row>
    <row r="33" spans="1:16" ht="13" x14ac:dyDescent="0.3">
      <c r="A33" s="25"/>
      <c r="B33">
        <v>5</v>
      </c>
      <c r="C33" s="253" t="s">
        <v>909</v>
      </c>
      <c r="D33" s="221" t="s">
        <v>704</v>
      </c>
      <c r="E33" s="221">
        <f>1</f>
        <v>1</v>
      </c>
      <c r="F33" s="204" t="s">
        <v>849</v>
      </c>
      <c r="G33" s="204" t="str">
        <f t="shared" ref="G33" si="67">F33</f>
        <v>5NGROP</v>
      </c>
      <c r="H33" s="204" t="str">
        <f t="shared" ref="H33" si="68">G33</f>
        <v>5NGROP</v>
      </c>
      <c r="I33" s="204" t="str">
        <f t="shared" ref="I33" si="69">H33</f>
        <v>5NGROP</v>
      </c>
      <c r="J33" s="204" t="str">
        <f t="shared" ref="J33" si="70">I33</f>
        <v>5NGROP</v>
      </c>
      <c r="K33" s="204">
        <v>100</v>
      </c>
      <c r="L33" s="204">
        <v>7</v>
      </c>
      <c r="N33" s="204" t="str">
        <f t="shared" ref="N33" si="71">F33</f>
        <v>5NGROP</v>
      </c>
      <c r="O33" s="204" t="str">
        <f t="shared" si="5"/>
        <v>5Y_I</v>
      </c>
      <c r="P33" s="204" t="str">
        <f t="shared" si="6"/>
        <v>7Y_I</v>
      </c>
    </row>
    <row r="34" spans="1:16" ht="13" x14ac:dyDescent="0.3">
      <c r="A34" s="25"/>
      <c r="B34">
        <v>5</v>
      </c>
      <c r="C34" s="253" t="s">
        <v>910</v>
      </c>
      <c r="D34" s="221" t="s">
        <v>704</v>
      </c>
      <c r="E34" s="221">
        <f>1</f>
        <v>1</v>
      </c>
      <c r="F34" s="204" t="s">
        <v>849</v>
      </c>
      <c r="G34" s="204" t="str">
        <f t="shared" ref="G34" si="72">F34</f>
        <v>5NGROP</v>
      </c>
      <c r="H34" s="204" t="str">
        <f t="shared" ref="H34" si="73">G34</f>
        <v>5NGROP</v>
      </c>
      <c r="I34" s="204" t="str">
        <f t="shared" ref="I34" si="74">H34</f>
        <v>5NGROP</v>
      </c>
      <c r="J34" s="204" t="str">
        <f t="shared" ref="J34" si="75">I34</f>
        <v>5NGROP</v>
      </c>
      <c r="K34" s="204">
        <v>100</v>
      </c>
      <c r="L34" s="204">
        <v>7</v>
      </c>
      <c r="N34" s="204" t="str">
        <f t="shared" ref="N34" si="76">F34</f>
        <v>5NGROP</v>
      </c>
      <c r="O34" s="204" t="str">
        <f t="shared" si="5"/>
        <v>5Y_I</v>
      </c>
      <c r="P34" s="204" t="str">
        <f t="shared" si="6"/>
        <v>7Y_I</v>
      </c>
    </row>
    <row r="35" spans="1:16" ht="13" x14ac:dyDescent="0.3">
      <c r="A35" s="25"/>
      <c r="B35">
        <v>5</v>
      </c>
      <c r="C35" s="253" t="s">
        <v>911</v>
      </c>
      <c r="D35" s="221" t="s">
        <v>704</v>
      </c>
      <c r="E35" s="221">
        <f>1</f>
        <v>1</v>
      </c>
      <c r="F35" s="204" t="s">
        <v>849</v>
      </c>
      <c r="G35" s="204" t="str">
        <f t="shared" ref="G35:G36" si="77">F35</f>
        <v>5NGROP</v>
      </c>
      <c r="H35" s="204" t="str">
        <f t="shared" ref="H35:H36" si="78">G35</f>
        <v>5NGROP</v>
      </c>
      <c r="I35" s="204" t="str">
        <f t="shared" ref="I35:I36" si="79">H35</f>
        <v>5NGROP</v>
      </c>
      <c r="J35" s="204" t="str">
        <f t="shared" ref="J35:J36" si="80">I35</f>
        <v>5NGROP</v>
      </c>
      <c r="K35" s="204">
        <v>100</v>
      </c>
      <c r="L35" s="204">
        <v>7</v>
      </c>
      <c r="N35" s="204" t="str">
        <f t="shared" ref="N35:N36" si="81">F35</f>
        <v>5NGROP</v>
      </c>
      <c r="O35" s="204" t="str">
        <f t="shared" si="5"/>
        <v>5Y_I</v>
      </c>
      <c r="P35" s="204" t="str">
        <f t="shared" si="6"/>
        <v>7Y_I</v>
      </c>
    </row>
    <row r="36" spans="1:16" ht="13" x14ac:dyDescent="0.3">
      <c r="A36" s="25"/>
      <c r="B36">
        <v>5</v>
      </c>
      <c r="C36" s="253" t="s">
        <v>912</v>
      </c>
      <c r="D36" s="221" t="s">
        <v>704</v>
      </c>
      <c r="E36" s="221">
        <f>1</f>
        <v>1</v>
      </c>
      <c r="F36" s="204" t="s">
        <v>849</v>
      </c>
      <c r="G36" s="204" t="str">
        <f t="shared" si="77"/>
        <v>5NGROP</v>
      </c>
      <c r="H36" s="204" t="str">
        <f t="shared" si="78"/>
        <v>5NGROP</v>
      </c>
      <c r="I36" s="204" t="str">
        <f t="shared" si="79"/>
        <v>5NGROP</v>
      </c>
      <c r="J36" s="204" t="str">
        <f t="shared" si="80"/>
        <v>5NGROP</v>
      </c>
      <c r="K36" s="204">
        <v>100</v>
      </c>
      <c r="L36" s="204">
        <v>7</v>
      </c>
      <c r="N36" s="204" t="str">
        <f t="shared" si="81"/>
        <v>5NGROP</v>
      </c>
      <c r="O36" s="204" t="str">
        <f t="shared" si="5"/>
        <v>5Y_I</v>
      </c>
      <c r="P36" s="204" t="str">
        <f t="shared" si="6"/>
        <v>7Y_I</v>
      </c>
    </row>
    <row r="37" spans="1:16" ht="13" x14ac:dyDescent="0.3">
      <c r="A37" s="25"/>
      <c r="B37">
        <v>7</v>
      </c>
      <c r="C37" s="221" t="s">
        <v>729</v>
      </c>
      <c r="D37" s="221" t="s">
        <v>704</v>
      </c>
      <c r="E37" s="221">
        <f>1</f>
        <v>1</v>
      </c>
      <c r="F37" s="204" t="s">
        <v>851</v>
      </c>
      <c r="G37" s="204" t="str">
        <f t="shared" si="0"/>
        <v>7NGROP</v>
      </c>
      <c r="H37" s="204" t="str">
        <f t="shared" si="1"/>
        <v>7NGROP</v>
      </c>
      <c r="I37" s="204" t="str">
        <f t="shared" si="2"/>
        <v>7NGROP</v>
      </c>
      <c r="J37" s="204" t="str">
        <f t="shared" si="3"/>
        <v>7NGROP</v>
      </c>
      <c r="K37" s="204">
        <v>100</v>
      </c>
      <c r="L37" s="204">
        <v>7</v>
      </c>
      <c r="N37" s="204" t="str">
        <f t="shared" si="4"/>
        <v>7NGROP</v>
      </c>
      <c r="O37" s="204" t="str">
        <f t="shared" si="5"/>
        <v>7Y_I</v>
      </c>
      <c r="P37" s="204" t="str">
        <f t="shared" si="6"/>
        <v>9Y_I</v>
      </c>
    </row>
    <row r="38" spans="1:16" ht="13" x14ac:dyDescent="0.3">
      <c r="A38" s="25"/>
      <c r="B38">
        <v>7</v>
      </c>
      <c r="C38" s="253" t="s">
        <v>913</v>
      </c>
      <c r="D38" s="221" t="s">
        <v>704</v>
      </c>
      <c r="E38" s="221">
        <f>1</f>
        <v>1</v>
      </c>
      <c r="F38" s="204" t="s">
        <v>851</v>
      </c>
      <c r="G38" s="204" t="str">
        <f t="shared" ref="G38:G41" si="82">F38</f>
        <v>7NGROP</v>
      </c>
      <c r="H38" s="204" t="str">
        <f t="shared" ref="H38:H41" si="83">G38</f>
        <v>7NGROP</v>
      </c>
      <c r="I38" s="204" t="str">
        <f t="shared" ref="I38:I41" si="84">H38</f>
        <v>7NGROP</v>
      </c>
      <c r="J38" s="204" t="str">
        <f t="shared" ref="J38:J41" si="85">I38</f>
        <v>7NGROP</v>
      </c>
      <c r="K38" s="204">
        <v>100</v>
      </c>
      <c r="L38" s="204">
        <v>7</v>
      </c>
      <c r="N38" s="204" t="str">
        <f t="shared" ref="N38:N41" si="86">F38</f>
        <v>7NGROP</v>
      </c>
      <c r="O38" s="204" t="str">
        <f t="shared" si="5"/>
        <v>7Y_I</v>
      </c>
      <c r="P38" s="204" t="str">
        <f t="shared" si="6"/>
        <v>9Y_I</v>
      </c>
    </row>
    <row r="39" spans="1:16" ht="13" x14ac:dyDescent="0.3">
      <c r="A39" s="25"/>
      <c r="B39">
        <v>7</v>
      </c>
      <c r="C39" s="253" t="s">
        <v>914</v>
      </c>
      <c r="D39" s="221" t="s">
        <v>704</v>
      </c>
      <c r="E39" s="221">
        <f>1</f>
        <v>1</v>
      </c>
      <c r="F39" s="204" t="s">
        <v>851</v>
      </c>
      <c r="G39" s="204" t="str">
        <f t="shared" si="82"/>
        <v>7NGROP</v>
      </c>
      <c r="H39" s="204" t="str">
        <f t="shared" si="83"/>
        <v>7NGROP</v>
      </c>
      <c r="I39" s="204" t="str">
        <f t="shared" si="84"/>
        <v>7NGROP</v>
      </c>
      <c r="J39" s="204" t="str">
        <f t="shared" si="85"/>
        <v>7NGROP</v>
      </c>
      <c r="K39" s="204">
        <v>100</v>
      </c>
      <c r="L39" s="204">
        <v>7</v>
      </c>
      <c r="N39" s="204" t="str">
        <f t="shared" si="86"/>
        <v>7NGROP</v>
      </c>
      <c r="O39" s="204" t="str">
        <f t="shared" si="5"/>
        <v>7Y_I</v>
      </c>
      <c r="P39" s="204" t="str">
        <f t="shared" si="6"/>
        <v>9Y_I</v>
      </c>
    </row>
    <row r="40" spans="1:16" ht="13" x14ac:dyDescent="0.3">
      <c r="A40" s="25"/>
      <c r="B40">
        <v>7</v>
      </c>
      <c r="C40" s="253" t="s">
        <v>915</v>
      </c>
      <c r="D40" s="221" t="s">
        <v>704</v>
      </c>
      <c r="E40" s="221">
        <f>1</f>
        <v>1</v>
      </c>
      <c r="F40" s="204" t="s">
        <v>851</v>
      </c>
      <c r="G40" s="204" t="str">
        <f t="shared" si="82"/>
        <v>7NGROP</v>
      </c>
      <c r="H40" s="204" t="str">
        <f t="shared" si="83"/>
        <v>7NGROP</v>
      </c>
      <c r="I40" s="204" t="str">
        <f t="shared" si="84"/>
        <v>7NGROP</v>
      </c>
      <c r="J40" s="204" t="str">
        <f t="shared" si="85"/>
        <v>7NGROP</v>
      </c>
      <c r="K40" s="204">
        <v>100</v>
      </c>
      <c r="L40" s="204">
        <v>7</v>
      </c>
      <c r="N40" s="204" t="str">
        <f t="shared" si="86"/>
        <v>7NGROP</v>
      </c>
      <c r="O40" s="204" t="str">
        <f t="shared" si="5"/>
        <v>7Y_I</v>
      </c>
      <c r="P40" s="204" t="str">
        <f t="shared" si="6"/>
        <v>9Y_I</v>
      </c>
    </row>
    <row r="41" spans="1:16" ht="13" x14ac:dyDescent="0.3">
      <c r="A41" s="25"/>
      <c r="B41">
        <v>7</v>
      </c>
      <c r="C41" s="253" t="s">
        <v>916</v>
      </c>
      <c r="D41" s="221" t="s">
        <v>704</v>
      </c>
      <c r="E41" s="221">
        <f>1</f>
        <v>1</v>
      </c>
      <c r="F41" s="204" t="s">
        <v>851</v>
      </c>
      <c r="G41" s="204" t="str">
        <f t="shared" si="82"/>
        <v>7NGROP</v>
      </c>
      <c r="H41" s="204" t="str">
        <f t="shared" si="83"/>
        <v>7NGROP</v>
      </c>
      <c r="I41" s="204" t="str">
        <f t="shared" si="84"/>
        <v>7NGROP</v>
      </c>
      <c r="J41" s="204" t="str">
        <f t="shared" si="85"/>
        <v>7NGROP</v>
      </c>
      <c r="K41" s="204">
        <v>100</v>
      </c>
      <c r="L41" s="204">
        <v>7</v>
      </c>
      <c r="N41" s="204" t="str">
        <f t="shared" si="86"/>
        <v>7NGROP</v>
      </c>
      <c r="O41" s="204" t="str">
        <f t="shared" si="5"/>
        <v>7Y_I</v>
      </c>
      <c r="P41" s="204" t="str">
        <f t="shared" si="6"/>
        <v>9Y_I</v>
      </c>
    </row>
    <row r="42" spans="1:16" ht="13" x14ac:dyDescent="0.3">
      <c r="A42" s="25"/>
      <c r="B42">
        <v>4</v>
      </c>
      <c r="C42" s="221" t="s">
        <v>730</v>
      </c>
      <c r="D42" s="221" t="s">
        <v>704</v>
      </c>
      <c r="E42" s="221">
        <f>1</f>
        <v>1</v>
      </c>
      <c r="F42" s="204" t="s">
        <v>848</v>
      </c>
      <c r="G42" s="204" t="str">
        <f t="shared" si="0"/>
        <v>4MVANG</v>
      </c>
      <c r="H42" s="204" t="str">
        <f t="shared" si="1"/>
        <v>4MVANG</v>
      </c>
      <c r="I42" s="204" t="str">
        <f t="shared" si="2"/>
        <v>4MVANG</v>
      </c>
      <c r="J42" s="204" t="str">
        <f t="shared" si="3"/>
        <v>4MVANG</v>
      </c>
      <c r="K42" s="204">
        <v>100</v>
      </c>
      <c r="L42" s="204">
        <v>7</v>
      </c>
      <c r="N42" s="204" t="str">
        <f t="shared" si="4"/>
        <v>4MVANG</v>
      </c>
      <c r="O42" s="204" t="str">
        <f t="shared" si="5"/>
        <v>4Y_I</v>
      </c>
      <c r="P42" s="204" t="str">
        <f t="shared" si="6"/>
        <v>6Y_I</v>
      </c>
    </row>
    <row r="43" spans="1:16" ht="13" x14ac:dyDescent="0.3">
      <c r="A43" s="25"/>
      <c r="B43">
        <v>5</v>
      </c>
      <c r="C43" s="221" t="s">
        <v>733</v>
      </c>
      <c r="D43" s="221" t="s">
        <v>704</v>
      </c>
      <c r="E43" s="221">
        <f>1</f>
        <v>1</v>
      </c>
      <c r="F43" s="204" t="s">
        <v>850</v>
      </c>
      <c r="G43" s="204" t="str">
        <f t="shared" si="0"/>
        <v>5MVANG</v>
      </c>
      <c r="H43" s="204" t="str">
        <f t="shared" si="1"/>
        <v>5MVANG</v>
      </c>
      <c r="I43" s="204" t="str">
        <f t="shared" si="2"/>
        <v>5MVANG</v>
      </c>
      <c r="J43" s="204" t="str">
        <f t="shared" si="3"/>
        <v>5MVANG</v>
      </c>
      <c r="K43" s="204">
        <v>100</v>
      </c>
      <c r="L43" s="204">
        <v>7</v>
      </c>
      <c r="N43" s="204" t="str">
        <f t="shared" si="4"/>
        <v>5MVANG</v>
      </c>
      <c r="O43" s="204" t="str">
        <f t="shared" si="5"/>
        <v>5Y_I</v>
      </c>
      <c r="P43" s="204" t="str">
        <f t="shared" si="6"/>
        <v>7Y_I</v>
      </c>
    </row>
    <row r="44" spans="1:16" ht="13" x14ac:dyDescent="0.3">
      <c r="A44" s="25"/>
      <c r="B44">
        <v>7</v>
      </c>
      <c r="C44" s="221" t="s">
        <v>732</v>
      </c>
      <c r="D44" s="221" t="s">
        <v>704</v>
      </c>
      <c r="E44" s="221">
        <f>1</f>
        <v>1</v>
      </c>
      <c r="F44" s="204" t="s">
        <v>852</v>
      </c>
      <c r="G44" s="204" t="str">
        <f t="shared" si="0"/>
        <v>7MVANG</v>
      </c>
      <c r="H44" s="204" t="str">
        <f t="shared" si="1"/>
        <v>7MVANG</v>
      </c>
      <c r="I44" s="204" t="str">
        <f t="shared" si="2"/>
        <v>7MVANG</v>
      </c>
      <c r="J44" s="204" t="str">
        <f t="shared" si="3"/>
        <v>7MVANG</v>
      </c>
      <c r="K44" s="204">
        <v>100</v>
      </c>
      <c r="L44" s="204">
        <v>7</v>
      </c>
      <c r="N44" s="204" t="str">
        <f t="shared" si="4"/>
        <v>7MVANG</v>
      </c>
      <c r="O44" s="204" t="str">
        <f t="shared" si="5"/>
        <v>7Y_I</v>
      </c>
      <c r="P44" s="204" t="str">
        <f t="shared" si="6"/>
        <v>9Y_I</v>
      </c>
    </row>
    <row r="45" spans="1:16" ht="13" x14ac:dyDescent="0.3">
      <c r="A45" s="25"/>
      <c r="B45">
        <v>7</v>
      </c>
      <c r="C45" s="221" t="s">
        <v>731</v>
      </c>
      <c r="D45" s="221" t="s">
        <v>704</v>
      </c>
      <c r="E45" s="221">
        <f>1</f>
        <v>1</v>
      </c>
      <c r="F45" s="204" t="s">
        <v>853</v>
      </c>
      <c r="G45" s="204" t="str">
        <f t="shared" si="0"/>
        <v>10MVANG</v>
      </c>
      <c r="H45" s="204" t="str">
        <f t="shared" si="1"/>
        <v>10MVANG</v>
      </c>
      <c r="I45" s="204" t="str">
        <f t="shared" si="2"/>
        <v>10MVANG</v>
      </c>
      <c r="J45" s="204" t="str">
        <f t="shared" si="3"/>
        <v>10MVANG</v>
      </c>
      <c r="K45" s="204">
        <v>100</v>
      </c>
      <c r="L45" s="204">
        <v>7</v>
      </c>
      <c r="N45" s="204" t="str">
        <f t="shared" si="4"/>
        <v>10MVANG</v>
      </c>
      <c r="O45" s="204" t="str">
        <f t="shared" si="5"/>
        <v>7Y_I</v>
      </c>
      <c r="P45" s="204" t="str">
        <f t="shared" si="6"/>
        <v>9Y_I</v>
      </c>
    </row>
    <row r="46" spans="1:16" ht="13" x14ac:dyDescent="0.3">
      <c r="A46" s="25"/>
      <c r="B46">
        <v>3</v>
      </c>
      <c r="C46" s="221" t="s">
        <v>722</v>
      </c>
      <c r="D46" s="221" t="s">
        <v>704</v>
      </c>
      <c r="E46" s="221">
        <f>1</f>
        <v>1</v>
      </c>
      <c r="F46" s="204" t="s">
        <v>847</v>
      </c>
      <c r="G46" s="204" t="str">
        <f t="shared" si="0"/>
        <v>3MVANG</v>
      </c>
      <c r="H46" s="204" t="str">
        <f t="shared" si="1"/>
        <v>3MVANG</v>
      </c>
      <c r="I46" s="204" t="str">
        <f t="shared" si="2"/>
        <v>3MVANG</v>
      </c>
      <c r="J46" s="204" t="str">
        <f t="shared" si="3"/>
        <v>3MVANG</v>
      </c>
      <c r="K46" s="204">
        <v>100</v>
      </c>
      <c r="L46" s="204">
        <v>7</v>
      </c>
      <c r="N46" s="204" t="str">
        <f t="shared" si="4"/>
        <v>3MVANG</v>
      </c>
      <c r="O46" s="204" t="str">
        <f t="shared" si="5"/>
        <v>3Y_I</v>
      </c>
      <c r="P46" s="204" t="str">
        <f t="shared" si="6"/>
        <v>5Y_I</v>
      </c>
    </row>
    <row r="47" spans="1:16" ht="13" x14ac:dyDescent="0.3">
      <c r="A47" s="25"/>
      <c r="B47">
        <v>5</v>
      </c>
      <c r="C47" s="221" t="s">
        <v>717</v>
      </c>
      <c r="D47" s="221" t="s">
        <v>704</v>
      </c>
      <c r="E47" s="221">
        <f>1</f>
        <v>1</v>
      </c>
      <c r="F47" s="204" t="s">
        <v>850</v>
      </c>
      <c r="G47" s="204" t="str">
        <f t="shared" si="0"/>
        <v>5MVANG</v>
      </c>
      <c r="H47" s="204" t="str">
        <f t="shared" si="1"/>
        <v>5MVANG</v>
      </c>
      <c r="I47" s="204" t="str">
        <f t="shared" si="2"/>
        <v>5MVANG</v>
      </c>
      <c r="J47" s="204" t="str">
        <f t="shared" si="3"/>
        <v>5MVANG</v>
      </c>
      <c r="K47" s="204">
        <v>100</v>
      </c>
      <c r="L47" s="204">
        <v>7</v>
      </c>
      <c r="N47" s="204" t="str">
        <f t="shared" si="4"/>
        <v>5MVANG</v>
      </c>
      <c r="O47" s="204" t="str">
        <f t="shared" si="5"/>
        <v>5Y_I</v>
      </c>
      <c r="P47" s="204" t="str">
        <f t="shared" si="6"/>
        <v>7Y_I</v>
      </c>
    </row>
    <row r="48" spans="1:16" ht="13" x14ac:dyDescent="0.3">
      <c r="A48" s="25"/>
      <c r="B48">
        <v>4</v>
      </c>
      <c r="C48" s="221" t="s">
        <v>725</v>
      </c>
      <c r="D48" s="221" t="s">
        <v>704</v>
      </c>
      <c r="E48" s="221">
        <f>1</f>
        <v>1</v>
      </c>
      <c r="F48" s="204" t="s">
        <v>848</v>
      </c>
      <c r="G48" s="204" t="str">
        <f t="shared" si="0"/>
        <v>4MVANG</v>
      </c>
      <c r="H48" s="204" t="str">
        <f t="shared" si="1"/>
        <v>4MVANG</v>
      </c>
      <c r="I48" s="204" t="str">
        <f t="shared" si="2"/>
        <v>4MVANG</v>
      </c>
      <c r="J48" s="204" t="str">
        <f t="shared" si="3"/>
        <v>4MVANG</v>
      </c>
      <c r="K48" s="204">
        <v>100</v>
      </c>
      <c r="L48" s="204">
        <v>7</v>
      </c>
      <c r="N48" s="204" t="str">
        <f t="shared" si="4"/>
        <v>4MVANG</v>
      </c>
      <c r="O48" s="204" t="str">
        <f t="shared" si="5"/>
        <v>4Y_I</v>
      </c>
      <c r="P48" s="204" t="str">
        <f t="shared" si="6"/>
        <v>6Y_I</v>
      </c>
    </row>
    <row r="49" spans="1:16" ht="13" x14ac:dyDescent="0.3">
      <c r="A49" s="25"/>
      <c r="B49">
        <v>5</v>
      </c>
      <c r="C49" s="221" t="s">
        <v>734</v>
      </c>
      <c r="D49" s="221" t="s">
        <v>704</v>
      </c>
      <c r="E49" s="221">
        <f>1</f>
        <v>1</v>
      </c>
      <c r="F49" s="204" t="s">
        <v>845</v>
      </c>
      <c r="G49" s="204" t="str">
        <f t="shared" si="0"/>
        <v>5GROP</v>
      </c>
      <c r="H49" s="204" t="str">
        <f t="shared" si="1"/>
        <v>5GROP</v>
      </c>
      <c r="I49" s="204" t="str">
        <f t="shared" si="2"/>
        <v>5GROP</v>
      </c>
      <c r="J49" s="204" t="str">
        <f t="shared" si="3"/>
        <v>5GROP</v>
      </c>
      <c r="K49" s="204">
        <v>100</v>
      </c>
      <c r="L49" s="204">
        <v>7</v>
      </c>
      <c r="N49" s="204" t="str">
        <f t="shared" si="4"/>
        <v>5GROP</v>
      </c>
      <c r="O49" s="204" t="str">
        <f t="shared" si="5"/>
        <v>5Y_I</v>
      </c>
      <c r="P49" s="204" t="str">
        <f t="shared" si="6"/>
        <v>7Y_I</v>
      </c>
    </row>
    <row r="50" spans="1:16" ht="13" x14ac:dyDescent="0.3">
      <c r="A50" s="25"/>
      <c r="B50">
        <v>5</v>
      </c>
      <c r="C50" s="221" t="s">
        <v>735</v>
      </c>
      <c r="D50" s="221" t="s">
        <v>704</v>
      </c>
      <c r="E50" s="221">
        <f>1</f>
        <v>1</v>
      </c>
      <c r="F50" s="204" t="s">
        <v>849</v>
      </c>
      <c r="G50" s="204" t="str">
        <f t="shared" si="0"/>
        <v>5NGROP</v>
      </c>
      <c r="H50" s="204" t="str">
        <f t="shared" si="1"/>
        <v>5NGROP</v>
      </c>
      <c r="I50" s="204" t="str">
        <f t="shared" si="2"/>
        <v>5NGROP</v>
      </c>
      <c r="J50" s="204" t="str">
        <f t="shared" si="3"/>
        <v>5NGROP</v>
      </c>
      <c r="K50" s="204">
        <v>100</v>
      </c>
      <c r="L50" s="204">
        <v>7</v>
      </c>
      <c r="N50" s="204" t="str">
        <f t="shared" si="4"/>
        <v>5NGROP</v>
      </c>
      <c r="O50" s="204" t="str">
        <f t="shared" si="5"/>
        <v>5Y_I</v>
      </c>
      <c r="P50" s="204" t="str">
        <f t="shared" si="6"/>
        <v>7Y_I</v>
      </c>
    </row>
    <row r="51" spans="1:16" ht="13" x14ac:dyDescent="0.3">
      <c r="A51" s="25"/>
      <c r="B51">
        <v>5</v>
      </c>
      <c r="C51" s="221" t="s">
        <v>736</v>
      </c>
      <c r="D51" s="221" t="s">
        <v>704</v>
      </c>
      <c r="E51" s="221">
        <f>1</f>
        <v>1</v>
      </c>
      <c r="F51" s="204" t="s">
        <v>850</v>
      </c>
      <c r="G51" s="204" t="str">
        <f t="shared" si="0"/>
        <v>5MVANG</v>
      </c>
      <c r="H51" s="204" t="str">
        <f t="shared" si="1"/>
        <v>5MVANG</v>
      </c>
      <c r="I51" s="204" t="str">
        <f t="shared" si="2"/>
        <v>5MVANG</v>
      </c>
      <c r="J51" s="204" t="str">
        <f t="shared" si="3"/>
        <v>5MVANG</v>
      </c>
      <c r="K51" s="204">
        <v>100</v>
      </c>
      <c r="L51" s="204">
        <v>7</v>
      </c>
      <c r="N51" s="204" t="str">
        <f t="shared" si="4"/>
        <v>5MVANG</v>
      </c>
      <c r="O51" s="204" t="str">
        <f t="shared" si="5"/>
        <v>5Y_I</v>
      </c>
      <c r="P51" s="204" t="str">
        <f t="shared" si="6"/>
        <v>7Y_I</v>
      </c>
    </row>
    <row r="52" spans="1:16" ht="13" x14ac:dyDescent="0.3">
      <c r="A52" s="25"/>
      <c r="B52">
        <v>5</v>
      </c>
      <c r="C52" s="221" t="s">
        <v>737</v>
      </c>
      <c r="D52" s="221" t="s">
        <v>704</v>
      </c>
      <c r="E52" s="221">
        <f>1</f>
        <v>1</v>
      </c>
      <c r="F52" s="204" t="s">
        <v>850</v>
      </c>
      <c r="G52" s="204" t="str">
        <f t="shared" si="0"/>
        <v>5MVANG</v>
      </c>
      <c r="H52" s="204" t="str">
        <f t="shared" si="1"/>
        <v>5MVANG</v>
      </c>
      <c r="I52" s="204" t="str">
        <f t="shared" si="2"/>
        <v>5MVANG</v>
      </c>
      <c r="J52" s="204" t="str">
        <f t="shared" si="3"/>
        <v>5MVANG</v>
      </c>
      <c r="K52" s="204">
        <v>100</v>
      </c>
      <c r="L52" s="204">
        <v>7</v>
      </c>
      <c r="N52" s="204" t="str">
        <f t="shared" si="4"/>
        <v>5MVANG</v>
      </c>
      <c r="O52" s="204" t="str">
        <f t="shared" si="5"/>
        <v>5Y_I</v>
      </c>
      <c r="P52" s="204" t="str">
        <f t="shared" si="6"/>
        <v>7Y_I</v>
      </c>
    </row>
    <row r="53" spans="1:16" ht="13" x14ac:dyDescent="0.3">
      <c r="A53" s="25"/>
      <c r="B53">
        <v>10</v>
      </c>
      <c r="C53" s="221" t="s">
        <v>1112</v>
      </c>
      <c r="D53" s="221" t="s">
        <v>704</v>
      </c>
      <c r="E53" s="221">
        <f>1</f>
        <v>1</v>
      </c>
      <c r="F53" s="204" t="s">
        <v>848</v>
      </c>
      <c r="G53" s="204" t="str">
        <f t="shared" si="0"/>
        <v>4MVANG</v>
      </c>
      <c r="H53" s="204" t="str">
        <f t="shared" si="1"/>
        <v>4MVANG</v>
      </c>
      <c r="I53" s="204" t="str">
        <f t="shared" si="2"/>
        <v>4MVANG</v>
      </c>
      <c r="J53" s="204" t="str">
        <f t="shared" si="3"/>
        <v>4MVANG</v>
      </c>
      <c r="K53" s="204">
        <v>100</v>
      </c>
      <c r="L53" s="204">
        <v>7</v>
      </c>
      <c r="N53" s="204" t="str">
        <f t="shared" si="4"/>
        <v>4MVANG</v>
      </c>
      <c r="O53" s="204" t="str">
        <f t="shared" si="5"/>
        <v>10Y_I</v>
      </c>
      <c r="P53" s="204" t="str">
        <f t="shared" si="6"/>
        <v>12Y_I</v>
      </c>
    </row>
    <row r="54" spans="1:16" ht="13" x14ac:dyDescent="0.3">
      <c r="A54" s="25"/>
      <c r="B54">
        <v>10</v>
      </c>
      <c r="C54" s="221" t="s">
        <v>1113</v>
      </c>
      <c r="D54" s="221" t="s">
        <v>704</v>
      </c>
      <c r="E54" s="221">
        <f>1</f>
        <v>1</v>
      </c>
      <c r="F54" s="204" t="s">
        <v>739</v>
      </c>
      <c r="G54" s="204" t="str">
        <f t="shared" si="0"/>
        <v>SMYG5</v>
      </c>
      <c r="H54" s="204" t="str">
        <f t="shared" si="1"/>
        <v>SMYG5</v>
      </c>
      <c r="I54" s="204" t="str">
        <f t="shared" si="2"/>
        <v>SMYG5</v>
      </c>
      <c r="J54" s="204" t="str">
        <f t="shared" si="3"/>
        <v>SMYG5</v>
      </c>
      <c r="K54" s="204">
        <v>100</v>
      </c>
      <c r="L54" s="204">
        <v>7</v>
      </c>
      <c r="N54" s="204" t="str">
        <f t="shared" si="4"/>
        <v>SMYG5</v>
      </c>
      <c r="O54" s="204" t="str">
        <f t="shared" si="5"/>
        <v>10Y_I</v>
      </c>
      <c r="P54" s="204" t="str">
        <f t="shared" si="6"/>
        <v>12Y_I</v>
      </c>
    </row>
    <row r="55" spans="1:16" ht="13" x14ac:dyDescent="0.3">
      <c r="A55" s="25"/>
      <c r="B55">
        <v>10</v>
      </c>
      <c r="C55" s="221" t="s">
        <v>1114</v>
      </c>
      <c r="D55" s="221" t="s">
        <v>704</v>
      </c>
      <c r="E55" s="221">
        <f>1</f>
        <v>1</v>
      </c>
      <c r="F55" s="204" t="s">
        <v>738</v>
      </c>
      <c r="G55" s="204" t="str">
        <f t="shared" si="0"/>
        <v>SMYG6</v>
      </c>
      <c r="H55" s="204" t="str">
        <f t="shared" si="1"/>
        <v>SMYG6</v>
      </c>
      <c r="I55" s="204" t="str">
        <f t="shared" si="2"/>
        <v>SMYG6</v>
      </c>
      <c r="J55" s="204" t="str">
        <f t="shared" si="3"/>
        <v>SMYG6</v>
      </c>
      <c r="K55" s="204">
        <v>100</v>
      </c>
      <c r="L55" s="204">
        <v>7</v>
      </c>
      <c r="N55" s="204" t="str">
        <f t="shared" si="4"/>
        <v>SMYG6</v>
      </c>
      <c r="O55" s="204" t="str">
        <f t="shared" si="5"/>
        <v>10Y_I</v>
      </c>
      <c r="P55" s="204" t="str">
        <f t="shared" si="6"/>
        <v>12Y_I</v>
      </c>
    </row>
    <row r="56" spans="1:16" ht="13" x14ac:dyDescent="0.3">
      <c r="A56" s="25"/>
      <c r="B56">
        <v>10</v>
      </c>
      <c r="C56" s="221" t="s">
        <v>1115</v>
      </c>
      <c r="D56" s="221" t="s">
        <v>704</v>
      </c>
      <c r="E56" s="221">
        <f>1</f>
        <v>1</v>
      </c>
      <c r="F56" s="204" t="s">
        <v>740</v>
      </c>
      <c r="G56" s="204" t="str">
        <f t="shared" si="0"/>
        <v>SMYG7</v>
      </c>
      <c r="H56" s="204" t="str">
        <f t="shared" si="1"/>
        <v>SMYG7</v>
      </c>
      <c r="I56" s="204" t="str">
        <f t="shared" si="2"/>
        <v>SMYG7</v>
      </c>
      <c r="J56" s="204" t="str">
        <f t="shared" si="3"/>
        <v>SMYG7</v>
      </c>
      <c r="K56" s="204">
        <v>100</v>
      </c>
      <c r="L56" s="204">
        <v>7</v>
      </c>
      <c r="N56" s="204" t="str">
        <f t="shared" si="4"/>
        <v>SMYG7</v>
      </c>
      <c r="O56" s="204" t="str">
        <f t="shared" si="5"/>
        <v>10Y_I</v>
      </c>
      <c r="P56" s="204" t="str">
        <f t="shared" si="6"/>
        <v>12Y_I</v>
      </c>
    </row>
    <row r="57" spans="1:16" ht="13" x14ac:dyDescent="0.3">
      <c r="A57" s="25"/>
      <c r="B57">
        <v>10</v>
      </c>
      <c r="C57" s="221" t="s">
        <v>1116</v>
      </c>
      <c r="D57" s="221" t="s">
        <v>704</v>
      </c>
      <c r="E57" s="221">
        <f>1</f>
        <v>1</v>
      </c>
      <c r="F57" s="204" t="s">
        <v>853</v>
      </c>
      <c r="G57" s="204" t="str">
        <f t="shared" si="0"/>
        <v>10MVANG</v>
      </c>
      <c r="H57" s="204" t="str">
        <f t="shared" si="1"/>
        <v>10MVANG</v>
      </c>
      <c r="I57" s="204" t="str">
        <f t="shared" si="2"/>
        <v>10MVANG</v>
      </c>
      <c r="J57" s="204" t="str">
        <f t="shared" si="3"/>
        <v>10MVANG</v>
      </c>
      <c r="K57" s="204">
        <v>100</v>
      </c>
      <c r="L57" s="204">
        <v>7</v>
      </c>
      <c r="N57" s="204" t="str">
        <f t="shared" si="4"/>
        <v>10MVANG</v>
      </c>
      <c r="O57" s="204" t="str">
        <f t="shared" si="5"/>
        <v>10Y_I</v>
      </c>
      <c r="P57" s="204" t="str">
        <f t="shared" si="6"/>
        <v>12Y_I</v>
      </c>
    </row>
    <row r="58" spans="1:16" ht="13" x14ac:dyDescent="0.3">
      <c r="A58" s="25"/>
      <c r="B58">
        <v>5</v>
      </c>
      <c r="C58" s="221" t="s">
        <v>741</v>
      </c>
      <c r="D58" s="221" t="s">
        <v>704</v>
      </c>
      <c r="E58" s="221">
        <f>1</f>
        <v>1</v>
      </c>
      <c r="F58" s="204" t="s">
        <v>845</v>
      </c>
      <c r="G58" s="204" t="str">
        <f t="shared" si="0"/>
        <v>5GROP</v>
      </c>
      <c r="H58" s="204" t="str">
        <f t="shared" si="1"/>
        <v>5GROP</v>
      </c>
      <c r="I58" s="204" t="str">
        <f t="shared" si="2"/>
        <v>5GROP</v>
      </c>
      <c r="J58" s="204" t="str">
        <f t="shared" si="3"/>
        <v>5GROP</v>
      </c>
      <c r="K58" s="204">
        <v>100</v>
      </c>
      <c r="L58" s="204">
        <v>7</v>
      </c>
      <c r="N58" s="204" t="str">
        <f t="shared" si="4"/>
        <v>5GROP</v>
      </c>
      <c r="O58" s="204" t="str">
        <f t="shared" si="5"/>
        <v>5Y_I</v>
      </c>
      <c r="P58" s="204" t="str">
        <f t="shared" si="6"/>
        <v>7Y_I</v>
      </c>
    </row>
    <row r="59" spans="1:16" ht="13" x14ac:dyDescent="0.3">
      <c r="A59" s="25"/>
      <c r="B59">
        <v>5</v>
      </c>
      <c r="C59" s="221" t="s">
        <v>742</v>
      </c>
      <c r="D59" s="221" t="s">
        <v>704</v>
      </c>
      <c r="E59" s="221">
        <f>1</f>
        <v>1</v>
      </c>
      <c r="F59" s="204" t="s">
        <v>845</v>
      </c>
      <c r="G59" s="204" t="str">
        <f t="shared" si="0"/>
        <v>5GROP</v>
      </c>
      <c r="H59" s="204" t="str">
        <f t="shared" si="1"/>
        <v>5GROP</v>
      </c>
      <c r="I59" s="204" t="str">
        <f t="shared" si="2"/>
        <v>5GROP</v>
      </c>
      <c r="J59" s="204" t="str">
        <f t="shared" si="3"/>
        <v>5GROP</v>
      </c>
      <c r="K59" s="204">
        <v>100</v>
      </c>
      <c r="L59" s="204">
        <v>7</v>
      </c>
      <c r="N59" s="204" t="str">
        <f t="shared" si="4"/>
        <v>5GROP</v>
      </c>
      <c r="O59" s="204" t="str">
        <f t="shared" si="5"/>
        <v>5Y_I</v>
      </c>
      <c r="P59" s="204" t="str">
        <f t="shared" si="6"/>
        <v>7Y_I</v>
      </c>
    </row>
    <row r="60" spans="1:16" ht="13" x14ac:dyDescent="0.3">
      <c r="A60" s="25"/>
      <c r="B60">
        <v>5</v>
      </c>
      <c r="C60" s="221" t="s">
        <v>743</v>
      </c>
      <c r="D60" s="221" t="s">
        <v>704</v>
      </c>
      <c r="E60" s="221">
        <f>1</f>
        <v>1</v>
      </c>
      <c r="F60" s="204" t="s">
        <v>845</v>
      </c>
      <c r="G60" s="204" t="str">
        <f t="shared" si="0"/>
        <v>5GROP</v>
      </c>
      <c r="H60" s="204" t="str">
        <f t="shared" si="1"/>
        <v>5GROP</v>
      </c>
      <c r="I60" s="204" t="str">
        <f t="shared" si="2"/>
        <v>5GROP</v>
      </c>
      <c r="J60" s="204" t="str">
        <f t="shared" si="3"/>
        <v>5GROP</v>
      </c>
      <c r="K60" s="204">
        <v>100</v>
      </c>
      <c r="L60" s="204">
        <v>7</v>
      </c>
      <c r="N60" s="204" t="str">
        <f t="shared" si="4"/>
        <v>5GROP</v>
      </c>
      <c r="O60" s="204" t="str">
        <f t="shared" si="5"/>
        <v>5Y_I</v>
      </c>
      <c r="P60" s="204" t="str">
        <f t="shared" si="6"/>
        <v>7Y_I</v>
      </c>
    </row>
    <row r="61" spans="1:16" ht="13" x14ac:dyDescent="0.3">
      <c r="A61" s="25"/>
      <c r="B61">
        <v>5</v>
      </c>
      <c r="C61" s="221" t="s">
        <v>744</v>
      </c>
      <c r="D61" s="221" t="s">
        <v>704</v>
      </c>
      <c r="E61" s="221">
        <f>1</f>
        <v>1</v>
      </c>
      <c r="F61" s="204" t="s">
        <v>850</v>
      </c>
      <c r="G61" s="204" t="str">
        <f t="shared" si="0"/>
        <v>5MVANG</v>
      </c>
      <c r="H61" s="204" t="str">
        <f t="shared" si="1"/>
        <v>5MVANG</v>
      </c>
      <c r="I61" s="204" t="str">
        <f t="shared" si="2"/>
        <v>5MVANG</v>
      </c>
      <c r="J61" s="204" t="str">
        <f t="shared" si="3"/>
        <v>5MVANG</v>
      </c>
      <c r="K61" s="204">
        <v>100</v>
      </c>
      <c r="L61" s="204">
        <v>7</v>
      </c>
      <c r="N61" s="204" t="str">
        <f t="shared" si="4"/>
        <v>5MVANG</v>
      </c>
      <c r="O61" s="204" t="str">
        <f t="shared" si="5"/>
        <v>5Y_I</v>
      </c>
      <c r="P61" s="204" t="str">
        <f t="shared" si="6"/>
        <v>7Y_I</v>
      </c>
    </row>
    <row r="62" spans="1:16" ht="13" x14ac:dyDescent="0.3">
      <c r="A62" s="25"/>
      <c r="B62">
        <v>7</v>
      </c>
      <c r="C62" s="221" t="s">
        <v>745</v>
      </c>
      <c r="D62" s="221" t="s">
        <v>704</v>
      </c>
      <c r="E62" s="221">
        <f>1</f>
        <v>1</v>
      </c>
      <c r="F62" s="204" t="s">
        <v>846</v>
      </c>
      <c r="G62" s="204" t="str">
        <f t="shared" si="0"/>
        <v>7GROP</v>
      </c>
      <c r="H62" s="204" t="str">
        <f t="shared" si="1"/>
        <v>7GROP</v>
      </c>
      <c r="I62" s="204" t="str">
        <f t="shared" si="2"/>
        <v>7GROP</v>
      </c>
      <c r="J62" s="204" t="str">
        <f t="shared" si="3"/>
        <v>7GROP</v>
      </c>
      <c r="K62" s="204">
        <v>100</v>
      </c>
      <c r="L62" s="204">
        <v>7</v>
      </c>
      <c r="N62" s="204" t="str">
        <f t="shared" si="4"/>
        <v>7GROP</v>
      </c>
      <c r="O62" s="204" t="str">
        <f t="shared" si="5"/>
        <v>7Y_I</v>
      </c>
      <c r="P62" s="204" t="str">
        <f t="shared" si="6"/>
        <v>9Y_I</v>
      </c>
    </row>
    <row r="63" spans="1:16" ht="13" x14ac:dyDescent="0.3">
      <c r="A63" s="25"/>
      <c r="B63">
        <v>7</v>
      </c>
      <c r="C63" s="221" t="s">
        <v>746</v>
      </c>
      <c r="D63" s="221" t="s">
        <v>704</v>
      </c>
      <c r="E63" s="221">
        <f>1</f>
        <v>1</v>
      </c>
      <c r="F63" s="204" t="s">
        <v>846</v>
      </c>
      <c r="G63" s="204" t="str">
        <f t="shared" si="0"/>
        <v>7GROP</v>
      </c>
      <c r="H63" s="204" t="str">
        <f t="shared" si="1"/>
        <v>7GROP</v>
      </c>
      <c r="I63" s="204" t="str">
        <f t="shared" si="2"/>
        <v>7GROP</v>
      </c>
      <c r="J63" s="204" t="str">
        <f t="shared" si="3"/>
        <v>7GROP</v>
      </c>
      <c r="K63" s="204">
        <v>100</v>
      </c>
      <c r="L63" s="204">
        <v>7</v>
      </c>
      <c r="N63" s="204" t="str">
        <f t="shared" si="4"/>
        <v>7GROP</v>
      </c>
      <c r="O63" s="204" t="str">
        <f t="shared" si="5"/>
        <v>7Y_I</v>
      </c>
      <c r="P63" s="204" t="str">
        <f t="shared" si="6"/>
        <v>9Y_I</v>
      </c>
    </row>
    <row r="64" spans="1:16" ht="13" x14ac:dyDescent="0.3">
      <c r="A64" s="25"/>
      <c r="B64">
        <v>7</v>
      </c>
      <c r="C64" s="221" t="s">
        <v>747</v>
      </c>
      <c r="D64" s="221" t="s">
        <v>704</v>
      </c>
      <c r="E64" s="221">
        <f>1</f>
        <v>1</v>
      </c>
      <c r="F64" s="204" t="s">
        <v>846</v>
      </c>
      <c r="G64" s="204" t="str">
        <f t="shared" si="0"/>
        <v>7GROP</v>
      </c>
      <c r="H64" s="204" t="str">
        <f t="shared" si="1"/>
        <v>7GROP</v>
      </c>
      <c r="I64" s="204" t="str">
        <f t="shared" si="2"/>
        <v>7GROP</v>
      </c>
      <c r="J64" s="204" t="str">
        <f t="shared" si="3"/>
        <v>7GROP</v>
      </c>
      <c r="K64" s="204">
        <v>100</v>
      </c>
      <c r="L64" s="204">
        <v>7</v>
      </c>
      <c r="N64" s="204" t="str">
        <f t="shared" si="4"/>
        <v>7GROP</v>
      </c>
      <c r="O64" s="204" t="str">
        <f t="shared" si="5"/>
        <v>7Y_I</v>
      </c>
      <c r="P64" s="204" t="str">
        <f t="shared" si="6"/>
        <v>9Y_I</v>
      </c>
    </row>
    <row r="65" spans="1:16" ht="13" x14ac:dyDescent="0.3">
      <c r="A65" s="25"/>
      <c r="B65">
        <v>7</v>
      </c>
      <c r="C65" s="221" t="s">
        <v>748</v>
      </c>
      <c r="D65" s="221" t="s">
        <v>704</v>
      </c>
      <c r="E65" s="221">
        <f>1</f>
        <v>1</v>
      </c>
      <c r="F65" s="204" t="s">
        <v>846</v>
      </c>
      <c r="G65" s="204" t="str">
        <f t="shared" si="0"/>
        <v>7GROP</v>
      </c>
      <c r="H65" s="204" t="str">
        <f t="shared" si="1"/>
        <v>7GROP</v>
      </c>
      <c r="I65" s="204" t="str">
        <f t="shared" si="2"/>
        <v>7GROP</v>
      </c>
      <c r="J65" s="204" t="str">
        <f t="shared" si="3"/>
        <v>7GROP</v>
      </c>
      <c r="K65" s="204">
        <v>100</v>
      </c>
      <c r="L65" s="204">
        <v>7</v>
      </c>
      <c r="N65" s="204" t="str">
        <f t="shared" si="4"/>
        <v>7GROP</v>
      </c>
      <c r="O65" s="204" t="str">
        <f t="shared" si="5"/>
        <v>7Y_I</v>
      </c>
      <c r="P65" s="204" t="str">
        <f t="shared" si="6"/>
        <v>9Y_I</v>
      </c>
    </row>
    <row r="66" spans="1:16" ht="13" x14ac:dyDescent="0.3">
      <c r="A66" s="25"/>
      <c r="B66">
        <v>7</v>
      </c>
      <c r="C66" s="221" t="s">
        <v>749</v>
      </c>
      <c r="D66" s="221" t="s">
        <v>704</v>
      </c>
      <c r="E66" s="221">
        <f>1</f>
        <v>1</v>
      </c>
      <c r="F66" s="204" t="s">
        <v>852</v>
      </c>
      <c r="G66" s="204" t="str">
        <f t="shared" si="0"/>
        <v>7MVANG</v>
      </c>
      <c r="H66" s="204" t="str">
        <f t="shared" si="1"/>
        <v>7MVANG</v>
      </c>
      <c r="I66" s="204" t="str">
        <f t="shared" si="2"/>
        <v>7MVANG</v>
      </c>
      <c r="J66" s="204" t="str">
        <f t="shared" si="3"/>
        <v>7MVANG</v>
      </c>
      <c r="K66" s="204">
        <v>100</v>
      </c>
      <c r="L66" s="204">
        <v>7</v>
      </c>
      <c r="N66" s="204" t="str">
        <f t="shared" si="4"/>
        <v>7MVANG</v>
      </c>
      <c r="O66" s="204" t="str">
        <f t="shared" si="5"/>
        <v>7Y_I</v>
      </c>
      <c r="P66" s="204" t="str">
        <f t="shared" si="6"/>
        <v>9Y_I</v>
      </c>
    </row>
    <row r="67" spans="1:16" ht="13" x14ac:dyDescent="0.3">
      <c r="A67" s="25"/>
      <c r="B67">
        <v>5</v>
      </c>
      <c r="C67" s="221" t="s">
        <v>750</v>
      </c>
      <c r="D67" s="221" t="s">
        <v>704</v>
      </c>
      <c r="E67" s="221">
        <f>1</f>
        <v>1</v>
      </c>
      <c r="F67" s="204" t="s">
        <v>849</v>
      </c>
      <c r="G67" s="204" t="str">
        <f t="shared" si="0"/>
        <v>5NGROP</v>
      </c>
      <c r="H67" s="204" t="str">
        <f t="shared" si="1"/>
        <v>5NGROP</v>
      </c>
      <c r="I67" s="204" t="str">
        <f t="shared" si="2"/>
        <v>5NGROP</v>
      </c>
      <c r="J67" s="204" t="str">
        <f t="shared" si="3"/>
        <v>5NGROP</v>
      </c>
      <c r="K67" s="204">
        <v>100</v>
      </c>
      <c r="L67" s="204">
        <v>7</v>
      </c>
      <c r="N67" s="204" t="str">
        <f t="shared" si="4"/>
        <v>5NGROP</v>
      </c>
      <c r="O67" s="204" t="str">
        <f t="shared" si="5"/>
        <v>5Y_I</v>
      </c>
      <c r="P67" s="204" t="str">
        <f t="shared" si="6"/>
        <v>7Y_I</v>
      </c>
    </row>
    <row r="68" spans="1:16" ht="13" x14ac:dyDescent="0.3">
      <c r="A68" s="25"/>
      <c r="B68">
        <v>5</v>
      </c>
      <c r="C68" s="221" t="s">
        <v>751</v>
      </c>
      <c r="D68" s="221" t="s">
        <v>704</v>
      </c>
      <c r="E68" s="221">
        <f>1</f>
        <v>1</v>
      </c>
      <c r="F68" s="204" t="s">
        <v>849</v>
      </c>
      <c r="G68" s="204" t="str">
        <f t="shared" si="0"/>
        <v>5NGROP</v>
      </c>
      <c r="H68" s="204" t="str">
        <f t="shared" si="1"/>
        <v>5NGROP</v>
      </c>
      <c r="I68" s="204" t="str">
        <f t="shared" si="2"/>
        <v>5NGROP</v>
      </c>
      <c r="J68" s="204" t="str">
        <f t="shared" si="3"/>
        <v>5NGROP</v>
      </c>
      <c r="K68" s="204">
        <v>100</v>
      </c>
      <c r="L68" s="204">
        <v>7</v>
      </c>
      <c r="N68" s="204" t="str">
        <f t="shared" si="4"/>
        <v>5NGROP</v>
      </c>
      <c r="O68" s="204" t="str">
        <f t="shared" si="5"/>
        <v>5Y_I</v>
      </c>
      <c r="P68" s="204" t="str">
        <f t="shared" si="6"/>
        <v>7Y_I</v>
      </c>
    </row>
    <row r="69" spans="1:16" ht="13" x14ac:dyDescent="0.3">
      <c r="A69" s="25"/>
      <c r="B69">
        <v>5</v>
      </c>
      <c r="C69" s="221" t="s">
        <v>752</v>
      </c>
      <c r="D69" s="221" t="s">
        <v>704</v>
      </c>
      <c r="E69" s="221">
        <f>1</f>
        <v>1</v>
      </c>
      <c r="F69" s="204" t="s">
        <v>849</v>
      </c>
      <c r="G69" s="204" t="str">
        <f t="shared" si="0"/>
        <v>5NGROP</v>
      </c>
      <c r="H69" s="204" t="str">
        <f t="shared" si="1"/>
        <v>5NGROP</v>
      </c>
      <c r="I69" s="204" t="str">
        <f t="shared" si="2"/>
        <v>5NGROP</v>
      </c>
      <c r="J69" s="204" t="str">
        <f t="shared" si="3"/>
        <v>5NGROP</v>
      </c>
      <c r="K69" s="204">
        <v>100</v>
      </c>
      <c r="L69" s="204">
        <v>7</v>
      </c>
      <c r="N69" s="204" t="str">
        <f t="shared" si="4"/>
        <v>5NGROP</v>
      </c>
      <c r="O69" s="204" t="str">
        <f t="shared" si="5"/>
        <v>5Y_I</v>
      </c>
      <c r="P69" s="204" t="str">
        <f t="shared" si="6"/>
        <v>7Y_I</v>
      </c>
    </row>
    <row r="70" spans="1:16" ht="13" x14ac:dyDescent="0.3">
      <c r="A70" s="25"/>
      <c r="B70">
        <v>5</v>
      </c>
      <c r="C70" s="221" t="s">
        <v>753</v>
      </c>
      <c r="D70" s="221" t="s">
        <v>704</v>
      </c>
      <c r="E70" s="221">
        <f>1</f>
        <v>1</v>
      </c>
      <c r="F70" s="204" t="s">
        <v>850</v>
      </c>
      <c r="G70" s="204" t="str">
        <f t="shared" si="0"/>
        <v>5MVANG</v>
      </c>
      <c r="H70" s="204" t="str">
        <f t="shared" si="1"/>
        <v>5MVANG</v>
      </c>
      <c r="I70" s="204" t="str">
        <f t="shared" si="2"/>
        <v>5MVANG</v>
      </c>
      <c r="J70" s="204" t="str">
        <f t="shared" si="3"/>
        <v>5MVANG</v>
      </c>
      <c r="K70" s="204">
        <v>100</v>
      </c>
      <c r="L70" s="204">
        <v>7</v>
      </c>
      <c r="N70" s="204" t="str">
        <f t="shared" si="4"/>
        <v>5MVANG</v>
      </c>
      <c r="O70" s="204" t="str">
        <f t="shared" si="5"/>
        <v>5Y_I</v>
      </c>
      <c r="P70" s="204" t="str">
        <f t="shared" si="6"/>
        <v>7Y_I</v>
      </c>
    </row>
    <row r="71" spans="1:16" ht="13" x14ac:dyDescent="0.3">
      <c r="A71" s="25"/>
      <c r="B71">
        <v>7</v>
      </c>
      <c r="C71" s="221" t="s">
        <v>754</v>
      </c>
      <c r="D71" s="221" t="s">
        <v>704</v>
      </c>
      <c r="E71" s="221">
        <f>1</f>
        <v>1</v>
      </c>
      <c r="F71" s="204" t="s">
        <v>851</v>
      </c>
      <c r="G71" s="204" t="str">
        <f t="shared" si="0"/>
        <v>7NGROP</v>
      </c>
      <c r="H71" s="204" t="str">
        <f t="shared" si="1"/>
        <v>7NGROP</v>
      </c>
      <c r="I71" s="204" t="str">
        <f t="shared" si="2"/>
        <v>7NGROP</v>
      </c>
      <c r="J71" s="204" t="str">
        <f t="shared" si="3"/>
        <v>7NGROP</v>
      </c>
      <c r="K71" s="204">
        <v>100</v>
      </c>
      <c r="L71" s="204">
        <v>7</v>
      </c>
      <c r="N71" s="204" t="str">
        <f t="shared" si="4"/>
        <v>7NGROP</v>
      </c>
      <c r="O71" s="204" t="str">
        <f t="shared" si="5"/>
        <v>7Y_I</v>
      </c>
      <c r="P71" s="204" t="str">
        <f t="shared" si="6"/>
        <v>9Y_I</v>
      </c>
    </row>
    <row r="72" spans="1:16" ht="13" x14ac:dyDescent="0.3">
      <c r="A72" s="25"/>
      <c r="B72">
        <v>7</v>
      </c>
      <c r="C72" s="221" t="s">
        <v>755</v>
      </c>
      <c r="D72" s="221" t="s">
        <v>704</v>
      </c>
      <c r="E72" s="221">
        <f>1</f>
        <v>1</v>
      </c>
      <c r="F72" s="204" t="s">
        <v>851</v>
      </c>
      <c r="G72" s="204" t="str">
        <f t="shared" si="0"/>
        <v>7NGROP</v>
      </c>
      <c r="H72" s="204" t="str">
        <f t="shared" si="1"/>
        <v>7NGROP</v>
      </c>
      <c r="I72" s="204" t="str">
        <f t="shared" si="2"/>
        <v>7NGROP</v>
      </c>
      <c r="J72" s="204" t="str">
        <f t="shared" si="3"/>
        <v>7NGROP</v>
      </c>
      <c r="K72" s="204">
        <v>100</v>
      </c>
      <c r="L72" s="204">
        <v>7</v>
      </c>
      <c r="N72" s="204" t="str">
        <f t="shared" si="4"/>
        <v>7NGROP</v>
      </c>
      <c r="O72" s="204" t="str">
        <f t="shared" si="5"/>
        <v>7Y_I</v>
      </c>
      <c r="P72" s="204" t="str">
        <f t="shared" si="6"/>
        <v>9Y_I</v>
      </c>
    </row>
    <row r="73" spans="1:16" ht="13" x14ac:dyDescent="0.3">
      <c r="A73" s="25"/>
      <c r="B73">
        <v>7</v>
      </c>
      <c r="C73" s="221" t="s">
        <v>756</v>
      </c>
      <c r="D73" s="221" t="s">
        <v>704</v>
      </c>
      <c r="E73" s="221">
        <f>1</f>
        <v>1</v>
      </c>
      <c r="F73" s="204" t="s">
        <v>851</v>
      </c>
      <c r="G73" s="204" t="str">
        <f t="shared" si="0"/>
        <v>7NGROP</v>
      </c>
      <c r="H73" s="204" t="str">
        <f t="shared" si="1"/>
        <v>7NGROP</v>
      </c>
      <c r="I73" s="204" t="str">
        <f t="shared" si="2"/>
        <v>7NGROP</v>
      </c>
      <c r="J73" s="204" t="str">
        <f t="shared" si="3"/>
        <v>7NGROP</v>
      </c>
      <c r="K73" s="204">
        <v>100</v>
      </c>
      <c r="L73" s="204">
        <v>7</v>
      </c>
      <c r="N73" s="204" t="str">
        <f t="shared" si="4"/>
        <v>7NGROP</v>
      </c>
      <c r="O73" s="204" t="str">
        <f t="shared" si="5"/>
        <v>7Y_I</v>
      </c>
      <c r="P73" s="204" t="str">
        <f t="shared" si="6"/>
        <v>9Y_I</v>
      </c>
    </row>
    <row r="74" spans="1:16" ht="13" x14ac:dyDescent="0.3">
      <c r="A74" s="25"/>
      <c r="B74">
        <v>7</v>
      </c>
      <c r="C74" s="221" t="s">
        <v>757</v>
      </c>
      <c r="D74" s="221" t="s">
        <v>704</v>
      </c>
      <c r="E74" s="221">
        <f>1</f>
        <v>1</v>
      </c>
      <c r="F74" s="204" t="s">
        <v>851</v>
      </c>
      <c r="G74" s="204" t="str">
        <f t="shared" si="0"/>
        <v>7NGROP</v>
      </c>
      <c r="H74" s="204" t="str">
        <f t="shared" si="1"/>
        <v>7NGROP</v>
      </c>
      <c r="I74" s="204" t="str">
        <f t="shared" si="2"/>
        <v>7NGROP</v>
      </c>
      <c r="J74" s="204" t="str">
        <f t="shared" si="3"/>
        <v>7NGROP</v>
      </c>
      <c r="K74" s="204">
        <v>100</v>
      </c>
      <c r="L74" s="204">
        <v>7</v>
      </c>
      <c r="N74" s="204" t="str">
        <f t="shared" si="4"/>
        <v>7NGROP</v>
      </c>
      <c r="O74" s="204" t="str">
        <f t="shared" si="5"/>
        <v>7Y_I</v>
      </c>
      <c r="P74" s="204" t="str">
        <f t="shared" si="6"/>
        <v>9Y_I</v>
      </c>
    </row>
    <row r="75" spans="1:16" ht="13" x14ac:dyDescent="0.3">
      <c r="A75" s="25"/>
      <c r="B75">
        <v>7</v>
      </c>
      <c r="C75" s="221" t="s">
        <v>758</v>
      </c>
      <c r="D75" s="221" t="s">
        <v>704</v>
      </c>
      <c r="E75" s="221">
        <f>1</f>
        <v>1</v>
      </c>
      <c r="F75" s="204" t="s">
        <v>852</v>
      </c>
      <c r="G75" s="204" t="str">
        <f t="shared" si="0"/>
        <v>7MVANG</v>
      </c>
      <c r="H75" s="204" t="str">
        <f t="shared" si="1"/>
        <v>7MVANG</v>
      </c>
      <c r="I75" s="204" t="str">
        <f t="shared" si="2"/>
        <v>7MVANG</v>
      </c>
      <c r="J75" s="204" t="str">
        <f t="shared" si="3"/>
        <v>7MVANG</v>
      </c>
      <c r="K75" s="204">
        <v>100</v>
      </c>
      <c r="L75" s="204">
        <v>7</v>
      </c>
      <c r="N75" s="204" t="str">
        <f t="shared" si="4"/>
        <v>7MVANG</v>
      </c>
      <c r="O75" s="204" t="str">
        <f t="shared" si="5"/>
        <v>7Y_I</v>
      </c>
      <c r="P75" s="204" t="str">
        <f t="shared" si="6"/>
        <v>9Y_I</v>
      </c>
    </row>
    <row r="76" spans="1:16" ht="13" x14ac:dyDescent="0.3">
      <c r="A76" s="25"/>
      <c r="B76">
        <v>3</v>
      </c>
      <c r="C76" s="221" t="s">
        <v>759</v>
      </c>
      <c r="D76" s="221" t="s">
        <v>704</v>
      </c>
      <c r="E76" s="221">
        <f>1</f>
        <v>1</v>
      </c>
      <c r="F76" s="204" t="s">
        <v>854</v>
      </c>
      <c r="G76" s="204" t="str">
        <f t="shared" si="0"/>
        <v>3APA</v>
      </c>
      <c r="H76" s="204" t="str">
        <f t="shared" si="1"/>
        <v>3APA</v>
      </c>
      <c r="I76" s="204" t="str">
        <f t="shared" si="2"/>
        <v>3APA</v>
      </c>
      <c r="J76" s="204" t="str">
        <f t="shared" si="3"/>
        <v>3APA</v>
      </c>
      <c r="K76" s="204">
        <v>100</v>
      </c>
      <c r="L76" s="204">
        <v>7</v>
      </c>
      <c r="N76" s="204" t="str">
        <f t="shared" si="4"/>
        <v>3APA</v>
      </c>
      <c r="O76" s="204" t="str">
        <f t="shared" si="5"/>
        <v>3Y_I</v>
      </c>
      <c r="P76" s="204" t="str">
        <f t="shared" si="6"/>
        <v>5Y_I</v>
      </c>
    </row>
    <row r="77" spans="1:16" ht="13" x14ac:dyDescent="0.3">
      <c r="A77" s="25"/>
      <c r="B77">
        <v>3</v>
      </c>
      <c r="C77" s="221" t="s">
        <v>917</v>
      </c>
      <c r="D77" s="221" t="s">
        <v>704</v>
      </c>
      <c r="E77" s="221">
        <f>1</f>
        <v>1</v>
      </c>
      <c r="F77" s="204" t="s">
        <v>854</v>
      </c>
      <c r="G77" s="204" t="str">
        <f t="shared" ref="G77:G79" si="87">F77</f>
        <v>3APA</v>
      </c>
      <c r="H77" s="204" t="str">
        <f t="shared" ref="H77:H79" si="88">G77</f>
        <v>3APA</v>
      </c>
      <c r="I77" s="204" t="str">
        <f t="shared" ref="I77:I79" si="89">H77</f>
        <v>3APA</v>
      </c>
      <c r="J77" s="204" t="str">
        <f t="shared" ref="J77:J79" si="90">I77</f>
        <v>3APA</v>
      </c>
      <c r="K77" s="204">
        <v>100</v>
      </c>
      <c r="L77" s="204">
        <v>7</v>
      </c>
      <c r="N77" s="204" t="str">
        <f t="shared" ref="N77:N79" si="91">F77</f>
        <v>3APA</v>
      </c>
      <c r="O77" s="204" t="str">
        <f t="shared" si="5"/>
        <v>3Y_I</v>
      </c>
      <c r="P77" s="204" t="str">
        <f t="shared" si="6"/>
        <v>5Y_I</v>
      </c>
    </row>
    <row r="78" spans="1:16" ht="13" x14ac:dyDescent="0.3">
      <c r="A78" s="25"/>
      <c r="B78">
        <v>3</v>
      </c>
      <c r="C78" s="221" t="s">
        <v>918</v>
      </c>
      <c r="D78" s="221" t="s">
        <v>704</v>
      </c>
      <c r="E78" s="221">
        <f>1</f>
        <v>1</v>
      </c>
      <c r="F78" s="204" t="s">
        <v>854</v>
      </c>
      <c r="G78" s="204" t="str">
        <f t="shared" si="87"/>
        <v>3APA</v>
      </c>
      <c r="H78" s="204" t="str">
        <f t="shared" si="88"/>
        <v>3APA</v>
      </c>
      <c r="I78" s="204" t="str">
        <f t="shared" si="89"/>
        <v>3APA</v>
      </c>
      <c r="J78" s="204" t="str">
        <f t="shared" si="90"/>
        <v>3APA</v>
      </c>
      <c r="K78" s="204">
        <v>100</v>
      </c>
      <c r="L78" s="204">
        <v>7</v>
      </c>
      <c r="N78" s="204" t="str">
        <f t="shared" si="91"/>
        <v>3APA</v>
      </c>
      <c r="O78" s="204" t="str">
        <f t="shared" si="5"/>
        <v>3Y_I</v>
      </c>
      <c r="P78" s="204" t="str">
        <f t="shared" si="6"/>
        <v>5Y_I</v>
      </c>
    </row>
    <row r="79" spans="1:16" ht="13" x14ac:dyDescent="0.3">
      <c r="A79" s="25"/>
      <c r="B79">
        <v>3</v>
      </c>
      <c r="C79" s="221" t="s">
        <v>919</v>
      </c>
      <c r="D79" s="221" t="s">
        <v>704</v>
      </c>
      <c r="E79" s="221">
        <f>1</f>
        <v>1</v>
      </c>
      <c r="F79" s="204" t="s">
        <v>854</v>
      </c>
      <c r="G79" s="204" t="str">
        <f t="shared" si="87"/>
        <v>3APA</v>
      </c>
      <c r="H79" s="204" t="str">
        <f t="shared" si="88"/>
        <v>3APA</v>
      </c>
      <c r="I79" s="204" t="str">
        <f t="shared" si="89"/>
        <v>3APA</v>
      </c>
      <c r="J79" s="204" t="str">
        <f t="shared" si="90"/>
        <v>3APA</v>
      </c>
      <c r="K79" s="204">
        <v>100</v>
      </c>
      <c r="L79" s="204">
        <v>7</v>
      </c>
      <c r="N79" s="204" t="str">
        <f t="shared" si="91"/>
        <v>3APA</v>
      </c>
      <c r="O79" s="204" t="str">
        <f t="shared" si="5"/>
        <v>3Y_I</v>
      </c>
      <c r="P79" s="204" t="str">
        <f t="shared" si="6"/>
        <v>5Y_I</v>
      </c>
    </row>
    <row r="80" spans="1:16" ht="13" x14ac:dyDescent="0.3">
      <c r="A80" s="25"/>
      <c r="B80">
        <v>5</v>
      </c>
      <c r="C80" s="221" t="s">
        <v>760</v>
      </c>
      <c r="D80" s="221" t="s">
        <v>704</v>
      </c>
      <c r="E80" s="221">
        <f>1</f>
        <v>1</v>
      </c>
      <c r="F80" s="204" t="s">
        <v>855</v>
      </c>
      <c r="G80" s="204" t="str">
        <f t="shared" si="0"/>
        <v>5APA</v>
      </c>
      <c r="H80" s="204" t="str">
        <f t="shared" si="1"/>
        <v>5APA</v>
      </c>
      <c r="I80" s="204" t="str">
        <f t="shared" si="2"/>
        <v>5APA</v>
      </c>
      <c r="J80" s="204" t="str">
        <f t="shared" si="3"/>
        <v>5APA</v>
      </c>
      <c r="K80" s="204">
        <v>100</v>
      </c>
      <c r="L80" s="204">
        <v>7</v>
      </c>
      <c r="N80" s="204" t="str">
        <f t="shared" si="4"/>
        <v>5APA</v>
      </c>
      <c r="O80" s="204" t="str">
        <f t="shared" si="5"/>
        <v>5Y_I</v>
      </c>
      <c r="P80" s="204" t="str">
        <f t="shared" si="6"/>
        <v>7Y_I</v>
      </c>
    </row>
    <row r="81" spans="1:16" ht="13" x14ac:dyDescent="0.3">
      <c r="A81" s="25"/>
      <c r="B81">
        <v>5</v>
      </c>
      <c r="C81" s="221" t="s">
        <v>920</v>
      </c>
      <c r="D81" s="221" t="s">
        <v>704</v>
      </c>
      <c r="E81" s="221">
        <f>1</f>
        <v>1</v>
      </c>
      <c r="F81" s="204" t="s">
        <v>855</v>
      </c>
      <c r="G81" s="204" t="str">
        <f t="shared" ref="G81:G83" si="92">F81</f>
        <v>5APA</v>
      </c>
      <c r="H81" s="204" t="str">
        <f t="shared" ref="H81:H83" si="93">G81</f>
        <v>5APA</v>
      </c>
      <c r="I81" s="204" t="str">
        <f t="shared" ref="I81:I83" si="94">H81</f>
        <v>5APA</v>
      </c>
      <c r="J81" s="204" t="str">
        <f t="shared" ref="J81:J83" si="95">I81</f>
        <v>5APA</v>
      </c>
      <c r="K81" s="204">
        <v>100</v>
      </c>
      <c r="L81" s="204">
        <v>7</v>
      </c>
      <c r="N81" s="204" t="str">
        <f t="shared" ref="N81:N83" si="96">F81</f>
        <v>5APA</v>
      </c>
      <c r="O81" s="204" t="str">
        <f t="shared" si="5"/>
        <v>5Y_I</v>
      </c>
      <c r="P81" s="204" t="str">
        <f t="shared" si="6"/>
        <v>7Y_I</v>
      </c>
    </row>
    <row r="82" spans="1:16" ht="13" x14ac:dyDescent="0.3">
      <c r="A82" s="25"/>
      <c r="B82">
        <v>5</v>
      </c>
      <c r="C82" s="221" t="s">
        <v>921</v>
      </c>
      <c r="D82" s="221" t="s">
        <v>704</v>
      </c>
      <c r="E82" s="221">
        <f>1</f>
        <v>1</v>
      </c>
      <c r="F82" s="204" t="s">
        <v>855</v>
      </c>
      <c r="G82" s="204" t="str">
        <f t="shared" si="92"/>
        <v>5APA</v>
      </c>
      <c r="H82" s="204" t="str">
        <f t="shared" si="93"/>
        <v>5APA</v>
      </c>
      <c r="I82" s="204" t="str">
        <f t="shared" si="94"/>
        <v>5APA</v>
      </c>
      <c r="J82" s="204" t="str">
        <f t="shared" si="95"/>
        <v>5APA</v>
      </c>
      <c r="K82" s="204">
        <v>100</v>
      </c>
      <c r="L82" s="204">
        <v>7</v>
      </c>
      <c r="N82" s="204" t="str">
        <f t="shared" si="96"/>
        <v>5APA</v>
      </c>
      <c r="O82" s="204" t="str">
        <f t="shared" si="5"/>
        <v>5Y_I</v>
      </c>
      <c r="P82" s="204" t="str">
        <f t="shared" si="6"/>
        <v>7Y_I</v>
      </c>
    </row>
    <row r="83" spans="1:16" ht="13" x14ac:dyDescent="0.3">
      <c r="A83" s="25"/>
      <c r="B83">
        <v>5</v>
      </c>
      <c r="C83" s="221" t="s">
        <v>922</v>
      </c>
      <c r="D83" s="221" t="s">
        <v>704</v>
      </c>
      <c r="E83" s="221">
        <f>1</f>
        <v>1</v>
      </c>
      <c r="F83" s="204" t="s">
        <v>855</v>
      </c>
      <c r="G83" s="204" t="str">
        <f t="shared" si="92"/>
        <v>5APA</v>
      </c>
      <c r="H83" s="204" t="str">
        <f t="shared" si="93"/>
        <v>5APA</v>
      </c>
      <c r="I83" s="204" t="str">
        <f t="shared" si="94"/>
        <v>5APA</v>
      </c>
      <c r="J83" s="204" t="str">
        <f t="shared" si="95"/>
        <v>5APA</v>
      </c>
      <c r="K83" s="204">
        <v>100</v>
      </c>
      <c r="L83" s="204">
        <v>7</v>
      </c>
      <c r="N83" s="204" t="str">
        <f t="shared" si="96"/>
        <v>5APA</v>
      </c>
      <c r="O83" s="204" t="str">
        <f t="shared" si="5"/>
        <v>5Y_I</v>
      </c>
      <c r="P83" s="204" t="str">
        <f t="shared" si="6"/>
        <v>7Y_I</v>
      </c>
    </row>
    <row r="84" spans="1:16" ht="13" x14ac:dyDescent="0.3">
      <c r="A84" s="25"/>
      <c r="B84">
        <v>7</v>
      </c>
      <c r="C84" s="221" t="s">
        <v>761</v>
      </c>
      <c r="D84" s="221" t="s">
        <v>704</v>
      </c>
      <c r="E84" s="221">
        <f>1</f>
        <v>1</v>
      </c>
      <c r="F84" s="204" t="s">
        <v>856</v>
      </c>
      <c r="G84" s="204" t="str">
        <f t="shared" si="0"/>
        <v>7APA</v>
      </c>
      <c r="H84" s="204" t="str">
        <f t="shared" si="1"/>
        <v>7APA</v>
      </c>
      <c r="I84" s="204" t="str">
        <f t="shared" si="2"/>
        <v>7APA</v>
      </c>
      <c r="J84" s="204" t="str">
        <f t="shared" si="3"/>
        <v>7APA</v>
      </c>
      <c r="K84" s="204">
        <v>100</v>
      </c>
      <c r="L84" s="204">
        <v>7</v>
      </c>
      <c r="N84" s="204" t="str">
        <f t="shared" si="4"/>
        <v>7APA</v>
      </c>
      <c r="O84" s="204" t="str">
        <f t="shared" si="5"/>
        <v>7Y_I</v>
      </c>
      <c r="P84" s="204" t="str">
        <f t="shared" si="6"/>
        <v>9Y_I</v>
      </c>
    </row>
    <row r="85" spans="1:16" ht="13" x14ac:dyDescent="0.3">
      <c r="A85" s="25"/>
      <c r="B85">
        <v>7</v>
      </c>
      <c r="C85" s="221" t="s">
        <v>923</v>
      </c>
      <c r="D85" s="221" t="s">
        <v>704</v>
      </c>
      <c r="E85" s="221">
        <f>1</f>
        <v>1</v>
      </c>
      <c r="F85" s="204" t="s">
        <v>856</v>
      </c>
      <c r="G85" s="204" t="str">
        <f t="shared" ref="G85:G87" si="97">F85</f>
        <v>7APA</v>
      </c>
      <c r="H85" s="204" t="str">
        <f t="shared" ref="H85:H87" si="98">G85</f>
        <v>7APA</v>
      </c>
      <c r="I85" s="204" t="str">
        <f t="shared" ref="I85:I87" si="99">H85</f>
        <v>7APA</v>
      </c>
      <c r="J85" s="204" t="str">
        <f t="shared" ref="J85:J87" si="100">I85</f>
        <v>7APA</v>
      </c>
      <c r="K85" s="204">
        <v>100</v>
      </c>
      <c r="L85" s="204">
        <v>7</v>
      </c>
      <c r="N85" s="204" t="str">
        <f t="shared" ref="N85:N87" si="101">F85</f>
        <v>7APA</v>
      </c>
      <c r="O85" s="204" t="str">
        <f t="shared" si="5"/>
        <v>7Y_I</v>
      </c>
      <c r="P85" s="204" t="str">
        <f t="shared" si="6"/>
        <v>9Y_I</v>
      </c>
    </row>
    <row r="86" spans="1:16" ht="13" x14ac:dyDescent="0.3">
      <c r="A86" s="25"/>
      <c r="B86">
        <v>7</v>
      </c>
      <c r="C86" s="221" t="s">
        <v>924</v>
      </c>
      <c r="D86" s="221" t="s">
        <v>704</v>
      </c>
      <c r="E86" s="221">
        <f>1</f>
        <v>1</v>
      </c>
      <c r="F86" s="204" t="s">
        <v>856</v>
      </c>
      <c r="G86" s="204" t="str">
        <f t="shared" si="97"/>
        <v>7APA</v>
      </c>
      <c r="H86" s="204" t="str">
        <f t="shared" si="98"/>
        <v>7APA</v>
      </c>
      <c r="I86" s="204" t="str">
        <f t="shared" si="99"/>
        <v>7APA</v>
      </c>
      <c r="J86" s="204" t="str">
        <f t="shared" si="100"/>
        <v>7APA</v>
      </c>
      <c r="K86" s="204">
        <v>100</v>
      </c>
      <c r="L86" s="204">
        <v>7</v>
      </c>
      <c r="N86" s="204" t="str">
        <f t="shared" si="101"/>
        <v>7APA</v>
      </c>
      <c r="O86" s="204" t="str">
        <f t="shared" si="5"/>
        <v>7Y_I</v>
      </c>
      <c r="P86" s="204" t="str">
        <f t="shared" si="6"/>
        <v>9Y_I</v>
      </c>
    </row>
    <row r="87" spans="1:16" ht="13" x14ac:dyDescent="0.3">
      <c r="A87" s="25"/>
      <c r="B87">
        <v>7</v>
      </c>
      <c r="C87" s="221" t="s">
        <v>925</v>
      </c>
      <c r="D87" s="221" t="s">
        <v>704</v>
      </c>
      <c r="E87" s="221">
        <f>1</f>
        <v>1</v>
      </c>
      <c r="F87" s="204" t="s">
        <v>856</v>
      </c>
      <c r="G87" s="204" t="str">
        <f t="shared" si="97"/>
        <v>7APA</v>
      </c>
      <c r="H87" s="204" t="str">
        <f t="shared" si="98"/>
        <v>7APA</v>
      </c>
      <c r="I87" s="204" t="str">
        <f t="shared" si="99"/>
        <v>7APA</v>
      </c>
      <c r="J87" s="204" t="str">
        <f t="shared" si="100"/>
        <v>7APA</v>
      </c>
      <c r="K87" s="204">
        <v>100</v>
      </c>
      <c r="L87" s="204">
        <v>7</v>
      </c>
      <c r="N87" s="204" t="str">
        <f t="shared" si="101"/>
        <v>7APA</v>
      </c>
      <c r="O87" s="204" t="str">
        <f t="shared" si="5"/>
        <v>7Y_I</v>
      </c>
      <c r="P87" s="204" t="str">
        <f t="shared" si="6"/>
        <v>9Y_I</v>
      </c>
    </row>
    <row r="88" spans="1:16" ht="13" x14ac:dyDescent="0.3">
      <c r="A88" s="25"/>
      <c r="B88">
        <v>3</v>
      </c>
      <c r="C88" s="221" t="s">
        <v>762</v>
      </c>
      <c r="D88" s="221" t="s">
        <v>704</v>
      </c>
      <c r="E88" s="221">
        <f>1</f>
        <v>1</v>
      </c>
      <c r="F88" s="204" t="s">
        <v>843</v>
      </c>
      <c r="G88" s="204" t="str">
        <f t="shared" si="0"/>
        <v>3GROP</v>
      </c>
      <c r="H88" s="204" t="str">
        <f t="shared" si="1"/>
        <v>3GROP</v>
      </c>
      <c r="I88" s="204" t="str">
        <f t="shared" si="2"/>
        <v>3GROP</v>
      </c>
      <c r="J88" s="204" t="str">
        <f t="shared" si="3"/>
        <v>3GROP</v>
      </c>
      <c r="K88" s="204">
        <v>100</v>
      </c>
      <c r="L88" s="204">
        <v>7</v>
      </c>
      <c r="N88" s="204" t="str">
        <f t="shared" si="4"/>
        <v>3GROP</v>
      </c>
      <c r="O88" s="204" t="str">
        <f t="shared" si="5"/>
        <v>3Y_I</v>
      </c>
      <c r="P88" s="204" t="str">
        <f t="shared" si="6"/>
        <v>5Y_I</v>
      </c>
    </row>
    <row r="89" spans="1:16" ht="13" x14ac:dyDescent="0.3">
      <c r="A89" s="25"/>
      <c r="B89">
        <v>5</v>
      </c>
      <c r="C89" s="221" t="s">
        <v>723</v>
      </c>
      <c r="D89" s="221" t="s">
        <v>704</v>
      </c>
      <c r="E89" s="221">
        <f>1</f>
        <v>1</v>
      </c>
      <c r="F89" s="204" t="s">
        <v>845</v>
      </c>
      <c r="G89" s="204" t="str">
        <f t="shared" si="0"/>
        <v>5GROP</v>
      </c>
      <c r="H89" s="204" t="str">
        <f t="shared" si="1"/>
        <v>5GROP</v>
      </c>
      <c r="I89" s="204" t="str">
        <f t="shared" si="2"/>
        <v>5GROP</v>
      </c>
      <c r="J89" s="204" t="str">
        <f t="shared" si="3"/>
        <v>5GROP</v>
      </c>
      <c r="K89" s="204">
        <v>100</v>
      </c>
      <c r="L89" s="204">
        <v>7</v>
      </c>
      <c r="N89" s="204" t="str">
        <f t="shared" si="4"/>
        <v>5GROP</v>
      </c>
      <c r="O89" s="204" t="str">
        <f t="shared" si="5"/>
        <v>5Y_I</v>
      </c>
      <c r="P89" s="204" t="str">
        <f t="shared" si="6"/>
        <v>7Y_I</v>
      </c>
    </row>
    <row r="90" spans="1:16" ht="13" x14ac:dyDescent="0.3">
      <c r="A90" s="25"/>
      <c r="B90">
        <v>7</v>
      </c>
      <c r="C90" s="221" t="s">
        <v>724</v>
      </c>
      <c r="D90" s="221" t="s">
        <v>704</v>
      </c>
      <c r="E90" s="221">
        <f>1</f>
        <v>1</v>
      </c>
      <c r="F90" s="204" t="s">
        <v>846</v>
      </c>
      <c r="G90" s="204" t="str">
        <f t="shared" si="0"/>
        <v>7GROP</v>
      </c>
      <c r="H90" s="204" t="str">
        <f t="shared" si="1"/>
        <v>7GROP</v>
      </c>
      <c r="I90" s="204" t="str">
        <f t="shared" si="2"/>
        <v>7GROP</v>
      </c>
      <c r="J90" s="204" t="str">
        <f t="shared" si="3"/>
        <v>7GROP</v>
      </c>
      <c r="K90" s="204">
        <v>100</v>
      </c>
      <c r="L90" s="204">
        <v>7</v>
      </c>
      <c r="N90" s="204" t="str">
        <f t="shared" si="4"/>
        <v>7GROP</v>
      </c>
      <c r="O90" s="204" t="str">
        <f t="shared" si="5"/>
        <v>7Y_I</v>
      </c>
      <c r="P90" s="204" t="str">
        <f t="shared" si="6"/>
        <v>9Y_I</v>
      </c>
    </row>
    <row r="91" spans="1:16" ht="13" x14ac:dyDescent="0.3">
      <c r="A91" s="25"/>
      <c r="B91">
        <v>5</v>
      </c>
      <c r="C91" s="221" t="s">
        <v>763</v>
      </c>
      <c r="D91" s="221" t="s">
        <v>704</v>
      </c>
      <c r="E91" s="221">
        <f>1</f>
        <v>1</v>
      </c>
      <c r="F91" s="204" t="s">
        <v>850</v>
      </c>
      <c r="G91" s="204" t="str">
        <f t="shared" si="0"/>
        <v>5MVANG</v>
      </c>
      <c r="H91" s="204" t="str">
        <f t="shared" si="1"/>
        <v>5MVANG</v>
      </c>
      <c r="I91" s="204" t="str">
        <f t="shared" si="2"/>
        <v>5MVANG</v>
      </c>
      <c r="J91" s="204" t="str">
        <f t="shared" si="3"/>
        <v>5MVANG</v>
      </c>
      <c r="K91" s="204">
        <v>100</v>
      </c>
      <c r="L91" s="204">
        <v>7</v>
      </c>
      <c r="N91" s="204" t="str">
        <f t="shared" si="4"/>
        <v>5MVANG</v>
      </c>
      <c r="O91" s="204" t="str">
        <f t="shared" si="5"/>
        <v>5Y_I</v>
      </c>
      <c r="P91" s="204" t="str">
        <f t="shared" si="6"/>
        <v>7Y_I</v>
      </c>
    </row>
    <row r="92" spans="1:16" ht="13" x14ac:dyDescent="0.3">
      <c r="A92" s="25"/>
      <c r="B92">
        <v>7</v>
      </c>
      <c r="C92" s="221" t="s">
        <v>716</v>
      </c>
      <c r="D92" s="253" t="s">
        <v>880</v>
      </c>
      <c r="E92" s="221">
        <f>1</f>
        <v>1</v>
      </c>
      <c r="F92" s="204" t="s">
        <v>873</v>
      </c>
      <c r="G92" s="204" t="str">
        <f t="shared" si="0"/>
        <v>AE</v>
      </c>
      <c r="H92" s="204" t="str">
        <f t="shared" si="1"/>
        <v>AE</v>
      </c>
      <c r="I92" s="204" t="str">
        <f t="shared" si="2"/>
        <v>AE</v>
      </c>
      <c r="J92" s="204" t="str">
        <f t="shared" si="3"/>
        <v>AE</v>
      </c>
      <c r="K92" s="204">
        <v>100</v>
      </c>
      <c r="L92" s="204">
        <v>7</v>
      </c>
      <c r="N92" s="204" t="str">
        <f t="shared" si="4"/>
        <v>AE</v>
      </c>
      <c r="O92" s="204" t="str">
        <f t="shared" si="5"/>
        <v>12Y_I</v>
      </c>
      <c r="P92" s="204" t="str">
        <f t="shared" si="6"/>
        <v>9Y_I</v>
      </c>
    </row>
    <row r="93" spans="1:16" ht="13" x14ac:dyDescent="0.3">
      <c r="A93" s="25"/>
      <c r="B93">
        <v>5</v>
      </c>
      <c r="C93" s="221" t="s">
        <v>764</v>
      </c>
      <c r="D93" s="253" t="s">
        <v>881</v>
      </c>
      <c r="E93" s="221">
        <f>1</f>
        <v>1</v>
      </c>
      <c r="F93" s="204" t="s">
        <v>874</v>
      </c>
      <c r="G93" s="204" t="str">
        <f t="shared" si="0"/>
        <v>AENY</v>
      </c>
      <c r="H93" s="204" t="str">
        <f t="shared" si="1"/>
        <v>AENY</v>
      </c>
      <c r="I93" s="204" t="str">
        <f t="shared" si="2"/>
        <v>AENY</v>
      </c>
      <c r="J93" s="204" t="str">
        <f t="shared" si="3"/>
        <v>AENY</v>
      </c>
      <c r="K93" s="204">
        <v>100</v>
      </c>
      <c r="L93" s="204">
        <v>7</v>
      </c>
      <c r="N93" s="204" t="str">
        <f t="shared" si="4"/>
        <v>AENY</v>
      </c>
      <c r="O93" s="204" t="str">
        <f t="shared" si="5"/>
        <v>9Y_I</v>
      </c>
      <c r="P93" s="204" t="str">
        <f t="shared" si="6"/>
        <v>7Y_I</v>
      </c>
    </row>
    <row r="94" spans="1:16" ht="13" x14ac:dyDescent="0.3">
      <c r="A94" s="25"/>
      <c r="B94">
        <v>7</v>
      </c>
      <c r="C94" s="221" t="s">
        <v>765</v>
      </c>
      <c r="D94" s="253" t="s">
        <v>880</v>
      </c>
      <c r="E94" s="221">
        <f>1</f>
        <v>1</v>
      </c>
      <c r="F94" s="204" t="s">
        <v>875</v>
      </c>
      <c r="G94" s="204" t="str">
        <f t="shared" si="0"/>
        <v>AEP</v>
      </c>
      <c r="H94" s="204" t="str">
        <f t="shared" si="1"/>
        <v>AEP</v>
      </c>
      <c r="I94" s="204" t="str">
        <f t="shared" si="2"/>
        <v>AEP</v>
      </c>
      <c r="J94" s="204" t="str">
        <f t="shared" si="3"/>
        <v>AEP</v>
      </c>
      <c r="K94" s="204">
        <v>100</v>
      </c>
      <c r="L94" s="204">
        <v>7</v>
      </c>
      <c r="N94" s="204" t="str">
        <f t="shared" si="4"/>
        <v>AEP</v>
      </c>
      <c r="O94" s="204" t="str">
        <f t="shared" si="5"/>
        <v>12Y_I</v>
      </c>
      <c r="P94" s="204" t="str">
        <f t="shared" si="6"/>
        <v>9Y_I</v>
      </c>
    </row>
    <row r="95" spans="1:16" ht="13" x14ac:dyDescent="0.3">
      <c r="A95" s="25"/>
      <c r="B95">
        <v>10</v>
      </c>
      <c r="C95" s="221" t="s">
        <v>766</v>
      </c>
      <c r="D95" s="253" t="s">
        <v>880</v>
      </c>
      <c r="E95" s="221">
        <f>1</f>
        <v>1</v>
      </c>
      <c r="F95" s="204" t="s">
        <v>873</v>
      </c>
      <c r="G95" s="204" t="str">
        <f t="shared" si="0"/>
        <v>AE</v>
      </c>
      <c r="H95" s="204" t="str">
        <f t="shared" si="1"/>
        <v>AE</v>
      </c>
      <c r="I95" s="204" t="str">
        <f t="shared" si="2"/>
        <v>AE</v>
      </c>
      <c r="J95" s="204" t="str">
        <f t="shared" si="3"/>
        <v>AE</v>
      </c>
      <c r="K95" s="204">
        <v>100</v>
      </c>
      <c r="L95" s="204">
        <v>7</v>
      </c>
      <c r="N95" s="204" t="str">
        <f t="shared" si="4"/>
        <v>AE</v>
      </c>
      <c r="O95" s="204" t="str">
        <f t="shared" si="5"/>
        <v>20Y_I</v>
      </c>
      <c r="P95" s="204" t="str">
        <f t="shared" si="6"/>
        <v>12Y_I</v>
      </c>
    </row>
    <row r="96" spans="1:16" ht="13" x14ac:dyDescent="0.3">
      <c r="A96" s="25"/>
      <c r="B96">
        <v>7</v>
      </c>
      <c r="C96" s="221" t="s">
        <v>882</v>
      </c>
      <c r="D96" s="253" t="s">
        <v>880</v>
      </c>
      <c r="E96" s="221">
        <f>1</f>
        <v>1</v>
      </c>
      <c r="F96" s="204" t="s">
        <v>873</v>
      </c>
      <c r="G96" s="204" t="str">
        <f t="shared" ref="G96:G99" si="102">F96</f>
        <v>AE</v>
      </c>
      <c r="H96" s="204" t="str">
        <f t="shared" ref="H96:H99" si="103">G96</f>
        <v>AE</v>
      </c>
      <c r="I96" s="204" t="str">
        <f t="shared" ref="I96:I99" si="104">H96</f>
        <v>AE</v>
      </c>
      <c r="J96" s="204" t="str">
        <f t="shared" ref="J96:J99" si="105">I96</f>
        <v>AE</v>
      </c>
      <c r="K96" s="204">
        <v>100</v>
      </c>
      <c r="L96" s="204">
        <v>7</v>
      </c>
      <c r="N96" s="204" t="str">
        <f t="shared" ref="N96:N99" si="106">F96</f>
        <v>AE</v>
      </c>
      <c r="O96" s="204" t="str">
        <f t="shared" si="5"/>
        <v>12Y_I</v>
      </c>
      <c r="P96" s="204" t="str">
        <f t="shared" si="6"/>
        <v>9Y_I</v>
      </c>
    </row>
    <row r="97" spans="1:16" ht="13" x14ac:dyDescent="0.3">
      <c r="A97" s="25"/>
      <c r="B97">
        <v>5</v>
      </c>
      <c r="C97" s="221" t="s">
        <v>883</v>
      </c>
      <c r="D97" s="253" t="s">
        <v>881</v>
      </c>
      <c r="E97" s="221">
        <f>1</f>
        <v>1</v>
      </c>
      <c r="F97" s="204" t="s">
        <v>874</v>
      </c>
      <c r="G97" s="204" t="str">
        <f t="shared" si="102"/>
        <v>AENY</v>
      </c>
      <c r="H97" s="204" t="str">
        <f t="shared" si="103"/>
        <v>AENY</v>
      </c>
      <c r="I97" s="204" t="str">
        <f t="shared" si="104"/>
        <v>AENY</v>
      </c>
      <c r="J97" s="204" t="str">
        <f t="shared" si="105"/>
        <v>AENY</v>
      </c>
      <c r="K97" s="204">
        <v>100</v>
      </c>
      <c r="L97" s="204">
        <v>7</v>
      </c>
      <c r="N97" s="204" t="str">
        <f t="shared" si="106"/>
        <v>AENY</v>
      </c>
      <c r="O97" s="204" t="str">
        <f t="shared" si="5"/>
        <v>9Y_I</v>
      </c>
      <c r="P97" s="204" t="str">
        <f t="shared" si="6"/>
        <v>7Y_I</v>
      </c>
    </row>
    <row r="98" spans="1:16" ht="13" x14ac:dyDescent="0.3">
      <c r="A98" s="25"/>
      <c r="B98">
        <v>7</v>
      </c>
      <c r="C98" s="221" t="s">
        <v>884</v>
      </c>
      <c r="D98" s="253" t="s">
        <v>880</v>
      </c>
      <c r="E98" s="221">
        <f>1</f>
        <v>1</v>
      </c>
      <c r="F98" s="204" t="s">
        <v>875</v>
      </c>
      <c r="G98" s="204" t="str">
        <f t="shared" si="102"/>
        <v>AEP</v>
      </c>
      <c r="H98" s="204" t="str">
        <f t="shared" si="103"/>
        <v>AEP</v>
      </c>
      <c r="I98" s="204" t="str">
        <f t="shared" si="104"/>
        <v>AEP</v>
      </c>
      <c r="J98" s="204" t="str">
        <f t="shared" si="105"/>
        <v>AEP</v>
      </c>
      <c r="K98" s="204">
        <v>100</v>
      </c>
      <c r="L98" s="204">
        <v>7</v>
      </c>
      <c r="N98" s="204" t="str">
        <f t="shared" si="106"/>
        <v>AEP</v>
      </c>
      <c r="O98" s="204" t="str">
        <f t="shared" si="5"/>
        <v>12Y_I</v>
      </c>
      <c r="P98" s="204" t="str">
        <f t="shared" si="6"/>
        <v>9Y_I</v>
      </c>
    </row>
    <row r="99" spans="1:16" ht="13" x14ac:dyDescent="0.3">
      <c r="A99" s="25"/>
      <c r="B99">
        <v>10</v>
      </c>
      <c r="C99" s="221" t="s">
        <v>885</v>
      </c>
      <c r="D99" s="253" t="s">
        <v>880</v>
      </c>
      <c r="E99" s="221">
        <f>1</f>
        <v>1</v>
      </c>
      <c r="F99" s="204" t="s">
        <v>873</v>
      </c>
      <c r="G99" s="204" t="str">
        <f t="shared" si="102"/>
        <v>AE</v>
      </c>
      <c r="H99" s="204" t="str">
        <f t="shared" si="103"/>
        <v>AE</v>
      </c>
      <c r="I99" s="204" t="str">
        <f t="shared" si="104"/>
        <v>AE</v>
      </c>
      <c r="J99" s="204" t="str">
        <f t="shared" si="105"/>
        <v>AE</v>
      </c>
      <c r="K99" s="204">
        <v>100</v>
      </c>
      <c r="L99" s="204">
        <v>7</v>
      </c>
      <c r="N99" s="204" t="str">
        <f t="shared" si="106"/>
        <v>AE</v>
      </c>
      <c r="O99" s="204" t="str">
        <f t="shared" si="5"/>
        <v>20Y_I</v>
      </c>
      <c r="P99" s="204" t="str">
        <f t="shared" si="6"/>
        <v>12Y_I</v>
      </c>
    </row>
    <row r="100" spans="1:16" ht="13" x14ac:dyDescent="0.3">
      <c r="A100" s="25"/>
      <c r="B100">
        <v>7</v>
      </c>
      <c r="C100" s="221" t="s">
        <v>767</v>
      </c>
      <c r="D100" s="253" t="s">
        <v>880</v>
      </c>
      <c r="E100" s="221">
        <f>1</f>
        <v>1</v>
      </c>
      <c r="F100" s="204" t="s">
        <v>873</v>
      </c>
      <c r="G100" s="204" t="str">
        <f t="shared" si="0"/>
        <v>AE</v>
      </c>
      <c r="H100" s="204" t="str">
        <f t="shared" si="1"/>
        <v>AE</v>
      </c>
      <c r="I100" s="204" t="str">
        <f t="shared" si="2"/>
        <v>AE</v>
      </c>
      <c r="J100" s="204" t="str">
        <f t="shared" si="3"/>
        <v>AE</v>
      </c>
      <c r="K100" s="204">
        <v>100</v>
      </c>
      <c r="L100" s="204">
        <v>7</v>
      </c>
      <c r="N100" s="204" t="str">
        <f t="shared" si="4"/>
        <v>AE</v>
      </c>
      <c r="O100" s="204" t="str">
        <f t="shared" si="5"/>
        <v>12Y_I</v>
      </c>
      <c r="P100" s="204" t="str">
        <f t="shared" si="6"/>
        <v>9Y_I</v>
      </c>
    </row>
    <row r="101" spans="1:16" ht="13" x14ac:dyDescent="0.3">
      <c r="A101" s="25"/>
      <c r="B101">
        <v>4</v>
      </c>
      <c r="C101" s="221" t="s">
        <v>768</v>
      </c>
      <c r="D101" s="221" t="s">
        <v>704</v>
      </c>
      <c r="E101" s="221">
        <f>1</f>
        <v>1</v>
      </c>
      <c r="F101" s="204" t="s">
        <v>876</v>
      </c>
      <c r="G101" s="204" t="str">
        <f t="shared" si="0"/>
        <v>VAP4</v>
      </c>
      <c r="H101" s="204" t="str">
        <f t="shared" si="1"/>
        <v>VAP4</v>
      </c>
      <c r="I101" s="204" t="str">
        <f t="shared" si="2"/>
        <v>VAP4</v>
      </c>
      <c r="J101" s="204" t="str">
        <f t="shared" si="3"/>
        <v>VAP4</v>
      </c>
      <c r="K101" s="204">
        <v>100</v>
      </c>
      <c r="L101" s="204">
        <v>7</v>
      </c>
      <c r="N101" s="204" t="str">
        <f t="shared" si="4"/>
        <v>VAP4</v>
      </c>
      <c r="O101" s="204" t="str">
        <f t="shared" si="5"/>
        <v>4Y_I</v>
      </c>
      <c r="P101" s="204" t="str">
        <f t="shared" si="6"/>
        <v>6Y_I</v>
      </c>
    </row>
    <row r="102" spans="1:16" ht="13" x14ac:dyDescent="0.3">
      <c r="A102" s="25"/>
      <c r="B102">
        <v>7</v>
      </c>
      <c r="C102" s="221" t="s">
        <v>769</v>
      </c>
      <c r="D102" s="221" t="s">
        <v>704</v>
      </c>
      <c r="E102" s="221">
        <f>1</f>
        <v>1</v>
      </c>
      <c r="F102" s="204" t="s">
        <v>878</v>
      </c>
      <c r="G102" s="204" t="str">
        <f t="shared" si="0"/>
        <v>VAP7MVA</v>
      </c>
      <c r="H102" s="204" t="str">
        <f t="shared" si="1"/>
        <v>VAP7MVA</v>
      </c>
      <c r="I102" s="204" t="str">
        <f t="shared" si="2"/>
        <v>VAP7MVA</v>
      </c>
      <c r="J102" s="204" t="str">
        <f t="shared" si="3"/>
        <v>VAP7MVA</v>
      </c>
      <c r="K102" s="204">
        <v>100</v>
      </c>
      <c r="L102" s="204">
        <v>7</v>
      </c>
      <c r="N102" s="204" t="str">
        <f t="shared" si="4"/>
        <v>VAP7MVA</v>
      </c>
      <c r="O102" s="204" t="str">
        <f t="shared" si="5"/>
        <v>7Y_I</v>
      </c>
      <c r="P102" s="204" t="str">
        <f t="shared" si="6"/>
        <v>9Y_I</v>
      </c>
    </row>
    <row r="103" spans="1:16" ht="13" x14ac:dyDescent="0.3">
      <c r="A103" s="25"/>
      <c r="B103">
        <v>7</v>
      </c>
      <c r="C103" s="221" t="s">
        <v>770</v>
      </c>
      <c r="D103" s="253" t="s">
        <v>880</v>
      </c>
      <c r="E103" s="221">
        <f>1</f>
        <v>1</v>
      </c>
      <c r="F103" s="204" t="s">
        <v>873</v>
      </c>
      <c r="G103" s="204" t="str">
        <f t="shared" si="0"/>
        <v>AE</v>
      </c>
      <c r="H103" s="204" t="str">
        <f t="shared" si="1"/>
        <v>AE</v>
      </c>
      <c r="I103" s="204" t="str">
        <f t="shared" si="2"/>
        <v>AE</v>
      </c>
      <c r="J103" s="204" t="str">
        <f t="shared" si="3"/>
        <v>AE</v>
      </c>
      <c r="K103" s="204">
        <v>100</v>
      </c>
      <c r="L103" s="204">
        <v>7</v>
      </c>
      <c r="N103" s="204" t="str">
        <f t="shared" si="4"/>
        <v>AE</v>
      </c>
      <c r="O103" s="204" t="str">
        <f t="shared" si="5"/>
        <v>12Y_I</v>
      </c>
      <c r="P103" s="204" t="str">
        <f t="shared" si="6"/>
        <v>9Y_I</v>
      </c>
    </row>
    <row r="104" spans="1:16" ht="13" x14ac:dyDescent="0.3">
      <c r="A104" s="25"/>
      <c r="B104">
        <v>3</v>
      </c>
      <c r="C104" s="221" t="s">
        <v>771</v>
      </c>
      <c r="D104" s="221" t="s">
        <v>704</v>
      </c>
      <c r="E104" s="221">
        <f>1</f>
        <v>1</v>
      </c>
      <c r="F104" s="204" t="s">
        <v>843</v>
      </c>
      <c r="G104" s="204" t="str">
        <f t="shared" ref="G104:G326" si="107">F104</f>
        <v>3GROP</v>
      </c>
      <c r="H104" s="204" t="str">
        <f t="shared" ref="H104:H326" si="108">G104</f>
        <v>3GROP</v>
      </c>
      <c r="I104" s="204" t="str">
        <f t="shared" ref="I104:I326" si="109">H104</f>
        <v>3GROP</v>
      </c>
      <c r="J104" s="204" t="str">
        <f t="shared" ref="J104:J326" si="110">I104</f>
        <v>3GROP</v>
      </c>
      <c r="K104" s="204">
        <v>100</v>
      </c>
      <c r="L104" s="204">
        <v>7</v>
      </c>
      <c r="N104" s="204" t="str">
        <f t="shared" ref="N104:N326" si="111">F104</f>
        <v>3GROP</v>
      </c>
      <c r="O104" s="204" t="str">
        <f t="shared" ref="O104:O326" si="112">ROUND(IF(AND($D104="BASE",$B104=8),7,$B104)+IF($D104="BASE",0,IF($B104=5,4,IF($B104=7,5,10))),0)&amp;"Y_I"</f>
        <v>3Y_I</v>
      </c>
      <c r="P104" s="204" t="str">
        <f t="shared" ref="P104:P326" si="113">(ROUND($B104,0)+2)&amp;"Y_I"</f>
        <v>5Y_I</v>
      </c>
    </row>
    <row r="105" spans="1:16" ht="13" x14ac:dyDescent="0.3">
      <c r="A105" s="25"/>
      <c r="B105">
        <v>3</v>
      </c>
      <c r="C105" s="221" t="s">
        <v>926</v>
      </c>
      <c r="D105" s="221" t="s">
        <v>704</v>
      </c>
      <c r="E105" s="221">
        <f>1</f>
        <v>1</v>
      </c>
      <c r="F105" s="204" t="s">
        <v>843</v>
      </c>
      <c r="G105" s="204" t="str">
        <f t="shared" ref="G105:G107" si="114">F105</f>
        <v>3GROP</v>
      </c>
      <c r="H105" s="204" t="str">
        <f t="shared" ref="H105:H107" si="115">G105</f>
        <v>3GROP</v>
      </c>
      <c r="I105" s="204" t="str">
        <f t="shared" ref="I105:I107" si="116">H105</f>
        <v>3GROP</v>
      </c>
      <c r="J105" s="204" t="str">
        <f t="shared" ref="J105:J107" si="117">I105</f>
        <v>3GROP</v>
      </c>
      <c r="K105" s="204">
        <v>100</v>
      </c>
      <c r="L105" s="204">
        <v>7</v>
      </c>
      <c r="N105" s="204" t="str">
        <f t="shared" ref="N105:N107" si="118">F105</f>
        <v>3GROP</v>
      </c>
      <c r="O105" s="204" t="str">
        <f t="shared" si="112"/>
        <v>3Y_I</v>
      </c>
      <c r="P105" s="204" t="str">
        <f t="shared" si="113"/>
        <v>5Y_I</v>
      </c>
    </row>
    <row r="106" spans="1:16" ht="13" x14ac:dyDescent="0.3">
      <c r="A106" s="25"/>
      <c r="B106">
        <v>3</v>
      </c>
      <c r="C106" s="221" t="s">
        <v>927</v>
      </c>
      <c r="D106" s="221" t="s">
        <v>704</v>
      </c>
      <c r="E106" s="221">
        <f>1</f>
        <v>1</v>
      </c>
      <c r="F106" s="204" t="s">
        <v>843</v>
      </c>
      <c r="G106" s="204" t="str">
        <f t="shared" si="114"/>
        <v>3GROP</v>
      </c>
      <c r="H106" s="204" t="str">
        <f t="shared" si="115"/>
        <v>3GROP</v>
      </c>
      <c r="I106" s="204" t="str">
        <f t="shared" si="116"/>
        <v>3GROP</v>
      </c>
      <c r="J106" s="204" t="str">
        <f t="shared" si="117"/>
        <v>3GROP</v>
      </c>
      <c r="K106" s="204">
        <v>100</v>
      </c>
      <c r="L106" s="204">
        <v>7</v>
      </c>
      <c r="N106" s="204" t="str">
        <f t="shared" si="118"/>
        <v>3GROP</v>
      </c>
      <c r="O106" s="204" t="str">
        <f t="shared" si="112"/>
        <v>3Y_I</v>
      </c>
      <c r="P106" s="204" t="str">
        <f t="shared" si="113"/>
        <v>5Y_I</v>
      </c>
    </row>
    <row r="107" spans="1:16" ht="13" x14ac:dyDescent="0.3">
      <c r="A107" s="25"/>
      <c r="B107">
        <v>3</v>
      </c>
      <c r="C107" s="221" t="s">
        <v>928</v>
      </c>
      <c r="D107" s="221" t="s">
        <v>704</v>
      </c>
      <c r="E107" s="221">
        <f>1</f>
        <v>1</v>
      </c>
      <c r="F107" s="204" t="s">
        <v>843</v>
      </c>
      <c r="G107" s="204" t="str">
        <f t="shared" si="114"/>
        <v>3GROP</v>
      </c>
      <c r="H107" s="204" t="str">
        <f t="shared" si="115"/>
        <v>3GROP</v>
      </c>
      <c r="I107" s="204" t="str">
        <f t="shared" si="116"/>
        <v>3GROP</v>
      </c>
      <c r="J107" s="204" t="str">
        <f t="shared" si="117"/>
        <v>3GROP</v>
      </c>
      <c r="K107" s="204">
        <v>100</v>
      </c>
      <c r="L107" s="204">
        <v>7</v>
      </c>
      <c r="N107" s="204" t="str">
        <f t="shared" si="118"/>
        <v>3GROP</v>
      </c>
      <c r="O107" s="204" t="str">
        <f t="shared" si="112"/>
        <v>3Y_I</v>
      </c>
      <c r="P107" s="204" t="str">
        <f t="shared" si="113"/>
        <v>5Y_I</v>
      </c>
    </row>
    <row r="108" spans="1:16" ht="13" x14ac:dyDescent="0.3">
      <c r="A108" s="25"/>
      <c r="B108">
        <v>3</v>
      </c>
      <c r="C108" s="221" t="s">
        <v>772</v>
      </c>
      <c r="D108" s="221" t="s">
        <v>704</v>
      </c>
      <c r="E108" s="221">
        <f>1</f>
        <v>1</v>
      </c>
      <c r="F108" s="204" t="s">
        <v>847</v>
      </c>
      <c r="G108" s="204" t="str">
        <f t="shared" si="107"/>
        <v>3MVANG</v>
      </c>
      <c r="H108" s="204" t="str">
        <f t="shared" si="108"/>
        <v>3MVANG</v>
      </c>
      <c r="I108" s="204" t="str">
        <f t="shared" si="109"/>
        <v>3MVANG</v>
      </c>
      <c r="J108" s="204" t="str">
        <f t="shared" si="110"/>
        <v>3MVANG</v>
      </c>
      <c r="K108" s="204">
        <v>100</v>
      </c>
      <c r="L108" s="204">
        <v>7</v>
      </c>
      <c r="N108" s="204" t="str">
        <f t="shared" si="111"/>
        <v>3MVANG</v>
      </c>
      <c r="O108" s="204" t="str">
        <f t="shared" si="112"/>
        <v>3Y_I</v>
      </c>
      <c r="P108" s="204" t="str">
        <f t="shared" si="113"/>
        <v>5Y_I</v>
      </c>
    </row>
    <row r="109" spans="1:16" ht="13" x14ac:dyDescent="0.3">
      <c r="A109" s="25"/>
      <c r="B109">
        <v>3</v>
      </c>
      <c r="C109" s="221" t="s">
        <v>929</v>
      </c>
      <c r="D109" s="221" t="s">
        <v>704</v>
      </c>
      <c r="E109" s="221">
        <f>1</f>
        <v>1</v>
      </c>
      <c r="F109" s="204" t="s">
        <v>847</v>
      </c>
      <c r="G109" s="204" t="str">
        <f t="shared" ref="G109:G111" si="119">F109</f>
        <v>3MVANG</v>
      </c>
      <c r="H109" s="204" t="str">
        <f t="shared" ref="H109:H111" si="120">G109</f>
        <v>3MVANG</v>
      </c>
      <c r="I109" s="204" t="str">
        <f t="shared" ref="I109:I111" si="121">H109</f>
        <v>3MVANG</v>
      </c>
      <c r="J109" s="204" t="str">
        <f t="shared" ref="J109:J111" si="122">I109</f>
        <v>3MVANG</v>
      </c>
      <c r="K109" s="204">
        <v>100</v>
      </c>
      <c r="L109" s="204">
        <v>7</v>
      </c>
      <c r="N109" s="204" t="str">
        <f t="shared" ref="N109:N111" si="123">F109</f>
        <v>3MVANG</v>
      </c>
      <c r="O109" s="204" t="str">
        <f t="shared" si="112"/>
        <v>3Y_I</v>
      </c>
      <c r="P109" s="204" t="str">
        <f t="shared" si="113"/>
        <v>5Y_I</v>
      </c>
    </row>
    <row r="110" spans="1:16" ht="13" x14ac:dyDescent="0.3">
      <c r="A110" s="25"/>
      <c r="B110">
        <v>3</v>
      </c>
      <c r="C110" s="221" t="s">
        <v>930</v>
      </c>
      <c r="D110" s="221" t="s">
        <v>704</v>
      </c>
      <c r="E110" s="221">
        <f>1</f>
        <v>1</v>
      </c>
      <c r="F110" s="204" t="s">
        <v>847</v>
      </c>
      <c r="G110" s="204" t="str">
        <f t="shared" si="119"/>
        <v>3MVANG</v>
      </c>
      <c r="H110" s="204" t="str">
        <f t="shared" si="120"/>
        <v>3MVANG</v>
      </c>
      <c r="I110" s="204" t="str">
        <f t="shared" si="121"/>
        <v>3MVANG</v>
      </c>
      <c r="J110" s="204" t="str">
        <f t="shared" si="122"/>
        <v>3MVANG</v>
      </c>
      <c r="K110" s="204">
        <v>100</v>
      </c>
      <c r="L110" s="204">
        <v>7</v>
      </c>
      <c r="N110" s="204" t="str">
        <f t="shared" si="123"/>
        <v>3MVANG</v>
      </c>
      <c r="O110" s="204" t="str">
        <f t="shared" si="112"/>
        <v>3Y_I</v>
      </c>
      <c r="P110" s="204" t="str">
        <f t="shared" si="113"/>
        <v>5Y_I</v>
      </c>
    </row>
    <row r="111" spans="1:16" ht="13" x14ac:dyDescent="0.3">
      <c r="A111" s="25"/>
      <c r="B111">
        <v>3</v>
      </c>
      <c r="C111" s="221" t="s">
        <v>931</v>
      </c>
      <c r="D111" s="221" t="s">
        <v>704</v>
      </c>
      <c r="E111" s="221">
        <f>1</f>
        <v>1</v>
      </c>
      <c r="F111" s="204" t="s">
        <v>847</v>
      </c>
      <c r="G111" s="204" t="str">
        <f t="shared" si="119"/>
        <v>3MVANG</v>
      </c>
      <c r="H111" s="204" t="str">
        <f t="shared" si="120"/>
        <v>3MVANG</v>
      </c>
      <c r="I111" s="204" t="str">
        <f t="shared" si="121"/>
        <v>3MVANG</v>
      </c>
      <c r="J111" s="204" t="str">
        <f t="shared" si="122"/>
        <v>3MVANG</v>
      </c>
      <c r="K111" s="204">
        <v>100</v>
      </c>
      <c r="L111" s="204">
        <v>7</v>
      </c>
      <c r="N111" s="204" t="str">
        <f t="shared" si="123"/>
        <v>3MVANG</v>
      </c>
      <c r="O111" s="204" t="str">
        <f t="shared" si="112"/>
        <v>3Y_I</v>
      </c>
      <c r="P111" s="204" t="str">
        <f t="shared" si="113"/>
        <v>5Y_I</v>
      </c>
    </row>
    <row r="112" spans="1:16" ht="13" x14ac:dyDescent="0.3">
      <c r="A112" s="25"/>
      <c r="B112">
        <v>3</v>
      </c>
      <c r="C112" s="221" t="s">
        <v>773</v>
      </c>
      <c r="D112" s="221" t="s">
        <v>704</v>
      </c>
      <c r="E112" s="221">
        <f>1</f>
        <v>1</v>
      </c>
      <c r="F112" s="204" t="s">
        <v>847</v>
      </c>
      <c r="G112" s="204" t="str">
        <f t="shared" si="107"/>
        <v>3MVANG</v>
      </c>
      <c r="H112" s="204" t="str">
        <f t="shared" si="108"/>
        <v>3MVANG</v>
      </c>
      <c r="I112" s="204" t="str">
        <f t="shared" si="109"/>
        <v>3MVANG</v>
      </c>
      <c r="J112" s="204" t="str">
        <f t="shared" si="110"/>
        <v>3MVANG</v>
      </c>
      <c r="K112" s="204">
        <v>100</v>
      </c>
      <c r="L112" s="204">
        <v>7</v>
      </c>
      <c r="N112" s="204" t="str">
        <f t="shared" si="111"/>
        <v>3MVANG</v>
      </c>
      <c r="O112" s="204" t="str">
        <f t="shared" si="112"/>
        <v>3Y_I</v>
      </c>
      <c r="P112" s="204" t="str">
        <f t="shared" si="113"/>
        <v>5Y_I</v>
      </c>
    </row>
    <row r="113" spans="1:16" ht="13" x14ac:dyDescent="0.3">
      <c r="A113" s="25"/>
      <c r="B113">
        <v>3</v>
      </c>
      <c r="C113" s="221" t="s">
        <v>932</v>
      </c>
      <c r="D113" s="221" t="s">
        <v>704</v>
      </c>
      <c r="E113" s="221">
        <f>1</f>
        <v>1</v>
      </c>
      <c r="F113" s="204" t="s">
        <v>847</v>
      </c>
      <c r="G113" s="204" t="str">
        <f t="shared" ref="G113:G115" si="124">F113</f>
        <v>3MVANG</v>
      </c>
      <c r="H113" s="204" t="str">
        <f t="shared" ref="H113:H115" si="125">G113</f>
        <v>3MVANG</v>
      </c>
      <c r="I113" s="204" t="str">
        <f t="shared" ref="I113:I115" si="126">H113</f>
        <v>3MVANG</v>
      </c>
      <c r="J113" s="204" t="str">
        <f t="shared" ref="J113:J115" si="127">I113</f>
        <v>3MVANG</v>
      </c>
      <c r="K113" s="204">
        <v>100</v>
      </c>
      <c r="L113" s="204">
        <v>7</v>
      </c>
      <c r="N113" s="204" t="str">
        <f t="shared" ref="N113:N115" si="128">F113</f>
        <v>3MVANG</v>
      </c>
      <c r="O113" s="204" t="str">
        <f t="shared" si="112"/>
        <v>3Y_I</v>
      </c>
      <c r="P113" s="204" t="str">
        <f t="shared" si="113"/>
        <v>5Y_I</v>
      </c>
    </row>
    <row r="114" spans="1:16" ht="13" x14ac:dyDescent="0.3">
      <c r="A114" s="25"/>
      <c r="B114">
        <v>3</v>
      </c>
      <c r="C114" s="221" t="s">
        <v>933</v>
      </c>
      <c r="D114" s="221" t="s">
        <v>704</v>
      </c>
      <c r="E114" s="221">
        <f>1</f>
        <v>1</v>
      </c>
      <c r="F114" s="204" t="s">
        <v>847</v>
      </c>
      <c r="G114" s="204" t="str">
        <f t="shared" si="124"/>
        <v>3MVANG</v>
      </c>
      <c r="H114" s="204" t="str">
        <f t="shared" si="125"/>
        <v>3MVANG</v>
      </c>
      <c r="I114" s="204" t="str">
        <f t="shared" si="126"/>
        <v>3MVANG</v>
      </c>
      <c r="J114" s="204" t="str">
        <f t="shared" si="127"/>
        <v>3MVANG</v>
      </c>
      <c r="K114" s="204">
        <v>100</v>
      </c>
      <c r="L114" s="204">
        <v>7</v>
      </c>
      <c r="N114" s="204" t="str">
        <f t="shared" si="128"/>
        <v>3MVANG</v>
      </c>
      <c r="O114" s="204" t="str">
        <f t="shared" si="112"/>
        <v>3Y_I</v>
      </c>
      <c r="P114" s="204" t="str">
        <f t="shared" si="113"/>
        <v>5Y_I</v>
      </c>
    </row>
    <row r="115" spans="1:16" ht="13" x14ac:dyDescent="0.3">
      <c r="A115" s="25"/>
      <c r="B115">
        <v>3</v>
      </c>
      <c r="C115" s="221" t="s">
        <v>934</v>
      </c>
      <c r="D115" s="221" t="s">
        <v>704</v>
      </c>
      <c r="E115" s="221">
        <f>1</f>
        <v>1</v>
      </c>
      <c r="F115" s="204" t="s">
        <v>847</v>
      </c>
      <c r="G115" s="204" t="str">
        <f t="shared" si="124"/>
        <v>3MVANG</v>
      </c>
      <c r="H115" s="204" t="str">
        <f t="shared" si="125"/>
        <v>3MVANG</v>
      </c>
      <c r="I115" s="204" t="str">
        <f t="shared" si="126"/>
        <v>3MVANG</v>
      </c>
      <c r="J115" s="204" t="str">
        <f t="shared" si="127"/>
        <v>3MVANG</v>
      </c>
      <c r="K115" s="204">
        <v>100</v>
      </c>
      <c r="L115" s="204">
        <v>7</v>
      </c>
      <c r="N115" s="204" t="str">
        <f t="shared" si="128"/>
        <v>3MVANG</v>
      </c>
      <c r="O115" s="204" t="str">
        <f t="shared" si="112"/>
        <v>3Y_I</v>
      </c>
      <c r="P115" s="204" t="str">
        <f t="shared" si="113"/>
        <v>5Y_I</v>
      </c>
    </row>
    <row r="116" spans="1:16" ht="13" x14ac:dyDescent="0.3">
      <c r="A116" s="25"/>
      <c r="B116">
        <v>3</v>
      </c>
      <c r="C116" s="221" t="s">
        <v>774</v>
      </c>
      <c r="D116" s="221" t="s">
        <v>704</v>
      </c>
      <c r="E116" s="221">
        <f>1</f>
        <v>1</v>
      </c>
      <c r="F116" s="204" t="s">
        <v>847</v>
      </c>
      <c r="G116" s="204" t="str">
        <f t="shared" si="107"/>
        <v>3MVANG</v>
      </c>
      <c r="H116" s="204" t="str">
        <f t="shared" si="108"/>
        <v>3MVANG</v>
      </c>
      <c r="I116" s="204" t="str">
        <f t="shared" si="109"/>
        <v>3MVANG</v>
      </c>
      <c r="J116" s="204" t="str">
        <f t="shared" si="110"/>
        <v>3MVANG</v>
      </c>
      <c r="K116" s="204">
        <v>100</v>
      </c>
      <c r="L116" s="204">
        <v>7</v>
      </c>
      <c r="N116" s="204" t="str">
        <f t="shared" si="111"/>
        <v>3MVANG</v>
      </c>
      <c r="O116" s="204" t="str">
        <f t="shared" si="112"/>
        <v>3Y_I</v>
      </c>
      <c r="P116" s="204" t="str">
        <f t="shared" si="113"/>
        <v>5Y_I</v>
      </c>
    </row>
    <row r="117" spans="1:16" ht="13" x14ac:dyDescent="0.3">
      <c r="A117" s="25"/>
      <c r="B117">
        <v>3</v>
      </c>
      <c r="C117" s="221" t="s">
        <v>935</v>
      </c>
      <c r="D117" s="221" t="s">
        <v>704</v>
      </c>
      <c r="E117" s="221">
        <f>1</f>
        <v>1</v>
      </c>
      <c r="F117" s="204" t="s">
        <v>847</v>
      </c>
      <c r="G117" s="204" t="str">
        <f t="shared" ref="G117:G119" si="129">F117</f>
        <v>3MVANG</v>
      </c>
      <c r="H117" s="204" t="str">
        <f t="shared" ref="H117:H119" si="130">G117</f>
        <v>3MVANG</v>
      </c>
      <c r="I117" s="204" t="str">
        <f t="shared" ref="I117:I119" si="131">H117</f>
        <v>3MVANG</v>
      </c>
      <c r="J117" s="204" t="str">
        <f t="shared" ref="J117:J119" si="132">I117</f>
        <v>3MVANG</v>
      </c>
      <c r="K117" s="204">
        <v>100</v>
      </c>
      <c r="L117" s="204">
        <v>7</v>
      </c>
      <c r="N117" s="204" t="str">
        <f t="shared" ref="N117:N119" si="133">F117</f>
        <v>3MVANG</v>
      </c>
      <c r="O117" s="204" t="str">
        <f t="shared" si="112"/>
        <v>3Y_I</v>
      </c>
      <c r="P117" s="204" t="str">
        <f t="shared" si="113"/>
        <v>5Y_I</v>
      </c>
    </row>
    <row r="118" spans="1:16" ht="13" x14ac:dyDescent="0.3">
      <c r="A118" s="25"/>
      <c r="B118">
        <v>3</v>
      </c>
      <c r="C118" s="221" t="s">
        <v>936</v>
      </c>
      <c r="D118" s="221" t="s">
        <v>704</v>
      </c>
      <c r="E118" s="221">
        <f>1</f>
        <v>1</v>
      </c>
      <c r="F118" s="204" t="s">
        <v>847</v>
      </c>
      <c r="G118" s="204" t="str">
        <f t="shared" si="129"/>
        <v>3MVANG</v>
      </c>
      <c r="H118" s="204" t="str">
        <f t="shared" si="130"/>
        <v>3MVANG</v>
      </c>
      <c r="I118" s="204" t="str">
        <f t="shared" si="131"/>
        <v>3MVANG</v>
      </c>
      <c r="J118" s="204" t="str">
        <f t="shared" si="132"/>
        <v>3MVANG</v>
      </c>
      <c r="K118" s="204">
        <v>100</v>
      </c>
      <c r="L118" s="204">
        <v>7</v>
      </c>
      <c r="N118" s="204" t="str">
        <f t="shared" si="133"/>
        <v>3MVANG</v>
      </c>
      <c r="O118" s="204" t="str">
        <f t="shared" si="112"/>
        <v>3Y_I</v>
      </c>
      <c r="P118" s="204" t="str">
        <f t="shared" si="113"/>
        <v>5Y_I</v>
      </c>
    </row>
    <row r="119" spans="1:16" ht="13" x14ac:dyDescent="0.3">
      <c r="A119" s="25"/>
      <c r="B119">
        <v>3</v>
      </c>
      <c r="C119" s="221" t="s">
        <v>937</v>
      </c>
      <c r="D119" s="221" t="s">
        <v>704</v>
      </c>
      <c r="E119" s="221">
        <f>1</f>
        <v>1</v>
      </c>
      <c r="F119" s="204" t="s">
        <v>847</v>
      </c>
      <c r="G119" s="204" t="str">
        <f t="shared" si="129"/>
        <v>3MVANG</v>
      </c>
      <c r="H119" s="204" t="str">
        <f t="shared" si="130"/>
        <v>3MVANG</v>
      </c>
      <c r="I119" s="204" t="str">
        <f t="shared" si="131"/>
        <v>3MVANG</v>
      </c>
      <c r="J119" s="204" t="str">
        <f t="shared" si="132"/>
        <v>3MVANG</v>
      </c>
      <c r="K119" s="204">
        <v>100</v>
      </c>
      <c r="L119" s="204">
        <v>7</v>
      </c>
      <c r="N119" s="204" t="str">
        <f t="shared" si="133"/>
        <v>3MVANG</v>
      </c>
      <c r="O119" s="204" t="str">
        <f t="shared" si="112"/>
        <v>3Y_I</v>
      </c>
      <c r="P119" s="204" t="str">
        <f t="shared" si="113"/>
        <v>5Y_I</v>
      </c>
    </row>
    <row r="120" spans="1:16" ht="13" x14ac:dyDescent="0.3">
      <c r="A120" s="25"/>
      <c r="B120">
        <v>4</v>
      </c>
      <c r="C120" s="221" t="s">
        <v>775</v>
      </c>
      <c r="D120" s="221" t="s">
        <v>704</v>
      </c>
      <c r="E120" s="221">
        <f>1</f>
        <v>1</v>
      </c>
      <c r="F120" s="204" t="s">
        <v>844</v>
      </c>
      <c r="G120" s="204" t="str">
        <f t="shared" si="107"/>
        <v>4GROP</v>
      </c>
      <c r="H120" s="204" t="str">
        <f t="shared" si="108"/>
        <v>4GROP</v>
      </c>
      <c r="I120" s="204" t="str">
        <f t="shared" si="109"/>
        <v>4GROP</v>
      </c>
      <c r="J120" s="204" t="str">
        <f t="shared" si="110"/>
        <v>4GROP</v>
      </c>
      <c r="K120" s="204">
        <v>100</v>
      </c>
      <c r="L120" s="204">
        <v>7</v>
      </c>
      <c r="N120" s="204" t="str">
        <f t="shared" si="111"/>
        <v>4GROP</v>
      </c>
      <c r="O120" s="204" t="str">
        <f t="shared" si="112"/>
        <v>4Y_I</v>
      </c>
      <c r="P120" s="204" t="str">
        <f t="shared" si="113"/>
        <v>6Y_I</v>
      </c>
    </row>
    <row r="121" spans="1:16" ht="13" x14ac:dyDescent="0.3">
      <c r="A121" s="25"/>
      <c r="B121">
        <v>4</v>
      </c>
      <c r="C121" s="221" t="s">
        <v>938</v>
      </c>
      <c r="D121" s="221" t="s">
        <v>704</v>
      </c>
      <c r="E121" s="221">
        <f>1</f>
        <v>1</v>
      </c>
      <c r="F121" s="204" t="s">
        <v>844</v>
      </c>
      <c r="G121" s="204" t="str">
        <f t="shared" ref="G121:G123" si="134">F121</f>
        <v>4GROP</v>
      </c>
      <c r="H121" s="204" t="str">
        <f t="shared" ref="H121:H123" si="135">G121</f>
        <v>4GROP</v>
      </c>
      <c r="I121" s="204" t="str">
        <f t="shared" ref="I121:I123" si="136">H121</f>
        <v>4GROP</v>
      </c>
      <c r="J121" s="204" t="str">
        <f t="shared" ref="J121:J123" si="137">I121</f>
        <v>4GROP</v>
      </c>
      <c r="K121" s="204">
        <v>100</v>
      </c>
      <c r="L121" s="204">
        <v>7</v>
      </c>
      <c r="N121" s="204" t="str">
        <f t="shared" ref="N121:N123" si="138">F121</f>
        <v>4GROP</v>
      </c>
      <c r="O121" s="204" t="str">
        <f t="shared" si="112"/>
        <v>4Y_I</v>
      </c>
      <c r="P121" s="204" t="str">
        <f t="shared" si="113"/>
        <v>6Y_I</v>
      </c>
    </row>
    <row r="122" spans="1:16" ht="13" x14ac:dyDescent="0.3">
      <c r="A122" s="25"/>
      <c r="B122">
        <v>4</v>
      </c>
      <c r="C122" s="221" t="s">
        <v>939</v>
      </c>
      <c r="D122" s="221" t="s">
        <v>704</v>
      </c>
      <c r="E122" s="221">
        <f>1</f>
        <v>1</v>
      </c>
      <c r="F122" s="204" t="s">
        <v>844</v>
      </c>
      <c r="G122" s="204" t="str">
        <f t="shared" si="134"/>
        <v>4GROP</v>
      </c>
      <c r="H122" s="204" t="str">
        <f t="shared" si="135"/>
        <v>4GROP</v>
      </c>
      <c r="I122" s="204" t="str">
        <f t="shared" si="136"/>
        <v>4GROP</v>
      </c>
      <c r="J122" s="204" t="str">
        <f t="shared" si="137"/>
        <v>4GROP</v>
      </c>
      <c r="K122" s="204">
        <v>100</v>
      </c>
      <c r="L122" s="204">
        <v>7</v>
      </c>
      <c r="N122" s="204" t="str">
        <f t="shared" si="138"/>
        <v>4GROP</v>
      </c>
      <c r="O122" s="204" t="str">
        <f t="shared" si="112"/>
        <v>4Y_I</v>
      </c>
      <c r="P122" s="204" t="str">
        <f t="shared" si="113"/>
        <v>6Y_I</v>
      </c>
    </row>
    <row r="123" spans="1:16" ht="13" x14ac:dyDescent="0.3">
      <c r="A123" s="25"/>
      <c r="B123">
        <v>4</v>
      </c>
      <c r="C123" s="221" t="s">
        <v>940</v>
      </c>
      <c r="D123" s="221" t="s">
        <v>704</v>
      </c>
      <c r="E123" s="221">
        <f>1</f>
        <v>1</v>
      </c>
      <c r="F123" s="204" t="s">
        <v>844</v>
      </c>
      <c r="G123" s="204" t="str">
        <f t="shared" si="134"/>
        <v>4GROP</v>
      </c>
      <c r="H123" s="204" t="str">
        <f t="shared" si="135"/>
        <v>4GROP</v>
      </c>
      <c r="I123" s="204" t="str">
        <f t="shared" si="136"/>
        <v>4GROP</v>
      </c>
      <c r="J123" s="204" t="str">
        <f t="shared" si="137"/>
        <v>4GROP</v>
      </c>
      <c r="K123" s="204">
        <v>100</v>
      </c>
      <c r="L123" s="204">
        <v>7</v>
      </c>
      <c r="N123" s="204" t="str">
        <f t="shared" si="138"/>
        <v>4GROP</v>
      </c>
      <c r="O123" s="204" t="str">
        <f t="shared" si="112"/>
        <v>4Y_I</v>
      </c>
      <c r="P123" s="204" t="str">
        <f t="shared" si="113"/>
        <v>6Y_I</v>
      </c>
    </row>
    <row r="124" spans="1:16" ht="13" x14ac:dyDescent="0.3">
      <c r="A124" s="25"/>
      <c r="B124">
        <v>4</v>
      </c>
      <c r="C124" s="221" t="s">
        <v>776</v>
      </c>
      <c r="D124" s="221" t="s">
        <v>704</v>
      </c>
      <c r="E124" s="221">
        <f>1</f>
        <v>1</v>
      </c>
      <c r="F124" s="204" t="s">
        <v>848</v>
      </c>
      <c r="G124" s="204" t="str">
        <f t="shared" si="107"/>
        <v>4MVANG</v>
      </c>
      <c r="H124" s="204" t="str">
        <f t="shared" si="108"/>
        <v>4MVANG</v>
      </c>
      <c r="I124" s="204" t="str">
        <f t="shared" si="109"/>
        <v>4MVANG</v>
      </c>
      <c r="J124" s="204" t="str">
        <f t="shared" si="110"/>
        <v>4MVANG</v>
      </c>
      <c r="K124" s="204">
        <v>100</v>
      </c>
      <c r="L124" s="204">
        <v>7</v>
      </c>
      <c r="N124" s="204" t="str">
        <f t="shared" si="111"/>
        <v>4MVANG</v>
      </c>
      <c r="O124" s="204" t="str">
        <f t="shared" si="112"/>
        <v>4Y_I</v>
      </c>
      <c r="P124" s="204" t="str">
        <f t="shared" si="113"/>
        <v>6Y_I</v>
      </c>
    </row>
    <row r="125" spans="1:16" ht="13" x14ac:dyDescent="0.3">
      <c r="A125" s="25"/>
      <c r="B125">
        <v>4</v>
      </c>
      <c r="C125" s="221" t="s">
        <v>941</v>
      </c>
      <c r="D125" s="221" t="s">
        <v>704</v>
      </c>
      <c r="E125" s="221">
        <f>1</f>
        <v>1</v>
      </c>
      <c r="F125" s="204" t="s">
        <v>848</v>
      </c>
      <c r="G125" s="204" t="str">
        <f t="shared" ref="G125:G127" si="139">F125</f>
        <v>4MVANG</v>
      </c>
      <c r="H125" s="204" t="str">
        <f t="shared" ref="H125:H127" si="140">G125</f>
        <v>4MVANG</v>
      </c>
      <c r="I125" s="204" t="str">
        <f t="shared" ref="I125:I127" si="141">H125</f>
        <v>4MVANG</v>
      </c>
      <c r="J125" s="204" t="str">
        <f t="shared" ref="J125:J127" si="142">I125</f>
        <v>4MVANG</v>
      </c>
      <c r="K125" s="204">
        <v>100</v>
      </c>
      <c r="L125" s="204">
        <v>7</v>
      </c>
      <c r="N125" s="204" t="str">
        <f t="shared" ref="N125:N127" si="143">F125</f>
        <v>4MVANG</v>
      </c>
      <c r="O125" s="204" t="str">
        <f t="shared" si="112"/>
        <v>4Y_I</v>
      </c>
      <c r="P125" s="204" t="str">
        <f t="shared" si="113"/>
        <v>6Y_I</v>
      </c>
    </row>
    <row r="126" spans="1:16" ht="13" x14ac:dyDescent="0.3">
      <c r="A126" s="25"/>
      <c r="B126">
        <v>4</v>
      </c>
      <c r="C126" s="221" t="s">
        <v>942</v>
      </c>
      <c r="D126" s="221" t="s">
        <v>704</v>
      </c>
      <c r="E126" s="221">
        <f>1</f>
        <v>1</v>
      </c>
      <c r="F126" s="204" t="s">
        <v>848</v>
      </c>
      <c r="G126" s="204" t="str">
        <f t="shared" si="139"/>
        <v>4MVANG</v>
      </c>
      <c r="H126" s="204" t="str">
        <f t="shared" si="140"/>
        <v>4MVANG</v>
      </c>
      <c r="I126" s="204" t="str">
        <f t="shared" si="141"/>
        <v>4MVANG</v>
      </c>
      <c r="J126" s="204" t="str">
        <f t="shared" si="142"/>
        <v>4MVANG</v>
      </c>
      <c r="K126" s="204">
        <v>100</v>
      </c>
      <c r="L126" s="204">
        <v>7</v>
      </c>
      <c r="N126" s="204" t="str">
        <f t="shared" si="143"/>
        <v>4MVANG</v>
      </c>
      <c r="O126" s="204" t="str">
        <f t="shared" si="112"/>
        <v>4Y_I</v>
      </c>
      <c r="P126" s="204" t="str">
        <f t="shared" si="113"/>
        <v>6Y_I</v>
      </c>
    </row>
    <row r="127" spans="1:16" ht="13" x14ac:dyDescent="0.3">
      <c r="A127" s="25"/>
      <c r="B127">
        <v>4</v>
      </c>
      <c r="C127" s="221" t="s">
        <v>943</v>
      </c>
      <c r="D127" s="221" t="s">
        <v>704</v>
      </c>
      <c r="E127" s="221">
        <f>1</f>
        <v>1</v>
      </c>
      <c r="F127" s="204" t="s">
        <v>848</v>
      </c>
      <c r="G127" s="204" t="str">
        <f t="shared" si="139"/>
        <v>4MVANG</v>
      </c>
      <c r="H127" s="204" t="str">
        <f t="shared" si="140"/>
        <v>4MVANG</v>
      </c>
      <c r="I127" s="204" t="str">
        <f t="shared" si="141"/>
        <v>4MVANG</v>
      </c>
      <c r="J127" s="204" t="str">
        <f t="shared" si="142"/>
        <v>4MVANG</v>
      </c>
      <c r="K127" s="204">
        <v>100</v>
      </c>
      <c r="L127" s="204">
        <v>7</v>
      </c>
      <c r="N127" s="204" t="str">
        <f t="shared" si="143"/>
        <v>4MVANG</v>
      </c>
      <c r="O127" s="204" t="str">
        <f t="shared" si="112"/>
        <v>4Y_I</v>
      </c>
      <c r="P127" s="204" t="str">
        <f t="shared" si="113"/>
        <v>6Y_I</v>
      </c>
    </row>
    <row r="128" spans="1:16" ht="13" x14ac:dyDescent="0.3">
      <c r="A128" s="25"/>
      <c r="B128">
        <v>4</v>
      </c>
      <c r="C128" s="221" t="s">
        <v>777</v>
      </c>
      <c r="D128" s="221" t="s">
        <v>704</v>
      </c>
      <c r="E128" s="221">
        <f>1</f>
        <v>1</v>
      </c>
      <c r="F128" s="204" t="s">
        <v>848</v>
      </c>
      <c r="G128" s="204" t="str">
        <f t="shared" si="107"/>
        <v>4MVANG</v>
      </c>
      <c r="H128" s="204" t="str">
        <f t="shared" si="108"/>
        <v>4MVANG</v>
      </c>
      <c r="I128" s="204" t="str">
        <f t="shared" si="109"/>
        <v>4MVANG</v>
      </c>
      <c r="J128" s="204" t="str">
        <f t="shared" si="110"/>
        <v>4MVANG</v>
      </c>
      <c r="K128" s="204">
        <v>100</v>
      </c>
      <c r="L128" s="204">
        <v>7</v>
      </c>
      <c r="N128" s="204" t="str">
        <f t="shared" si="111"/>
        <v>4MVANG</v>
      </c>
      <c r="O128" s="204" t="str">
        <f t="shared" si="112"/>
        <v>4Y_I</v>
      </c>
      <c r="P128" s="204" t="str">
        <f t="shared" si="113"/>
        <v>6Y_I</v>
      </c>
    </row>
    <row r="129" spans="1:16" ht="13" x14ac:dyDescent="0.3">
      <c r="A129" s="25"/>
      <c r="B129">
        <v>4</v>
      </c>
      <c r="C129" s="221" t="s">
        <v>944</v>
      </c>
      <c r="D129" s="221" t="s">
        <v>704</v>
      </c>
      <c r="E129" s="221">
        <f>1</f>
        <v>1</v>
      </c>
      <c r="F129" s="204" t="s">
        <v>848</v>
      </c>
      <c r="G129" s="204" t="str">
        <f t="shared" ref="G129:G131" si="144">F129</f>
        <v>4MVANG</v>
      </c>
      <c r="H129" s="204" t="str">
        <f t="shared" ref="H129:H131" si="145">G129</f>
        <v>4MVANG</v>
      </c>
      <c r="I129" s="204" t="str">
        <f t="shared" ref="I129:I131" si="146">H129</f>
        <v>4MVANG</v>
      </c>
      <c r="J129" s="204" t="str">
        <f t="shared" ref="J129:J131" si="147">I129</f>
        <v>4MVANG</v>
      </c>
      <c r="K129" s="204">
        <v>100</v>
      </c>
      <c r="L129" s="204">
        <v>7</v>
      </c>
      <c r="N129" s="204" t="str">
        <f t="shared" ref="N129:N131" si="148">F129</f>
        <v>4MVANG</v>
      </c>
      <c r="O129" s="204" t="str">
        <f t="shared" si="112"/>
        <v>4Y_I</v>
      </c>
      <c r="P129" s="204" t="str">
        <f t="shared" si="113"/>
        <v>6Y_I</v>
      </c>
    </row>
    <row r="130" spans="1:16" ht="13" x14ac:dyDescent="0.3">
      <c r="A130" s="25"/>
      <c r="B130">
        <v>4</v>
      </c>
      <c r="C130" s="221" t="s">
        <v>945</v>
      </c>
      <c r="D130" s="221" t="s">
        <v>704</v>
      </c>
      <c r="E130" s="221">
        <f>1</f>
        <v>1</v>
      </c>
      <c r="F130" s="204" t="s">
        <v>848</v>
      </c>
      <c r="G130" s="204" t="str">
        <f t="shared" si="144"/>
        <v>4MVANG</v>
      </c>
      <c r="H130" s="204" t="str">
        <f t="shared" si="145"/>
        <v>4MVANG</v>
      </c>
      <c r="I130" s="204" t="str">
        <f t="shared" si="146"/>
        <v>4MVANG</v>
      </c>
      <c r="J130" s="204" t="str">
        <f t="shared" si="147"/>
        <v>4MVANG</v>
      </c>
      <c r="K130" s="204">
        <v>100</v>
      </c>
      <c r="L130" s="204">
        <v>7</v>
      </c>
      <c r="N130" s="204" t="str">
        <f t="shared" si="148"/>
        <v>4MVANG</v>
      </c>
      <c r="O130" s="204" t="str">
        <f t="shared" si="112"/>
        <v>4Y_I</v>
      </c>
      <c r="P130" s="204" t="str">
        <f t="shared" si="113"/>
        <v>6Y_I</v>
      </c>
    </row>
    <row r="131" spans="1:16" ht="13" x14ac:dyDescent="0.3">
      <c r="A131" s="25"/>
      <c r="B131">
        <v>4</v>
      </c>
      <c r="C131" s="221" t="s">
        <v>946</v>
      </c>
      <c r="D131" s="221" t="s">
        <v>704</v>
      </c>
      <c r="E131" s="221">
        <f>1</f>
        <v>1</v>
      </c>
      <c r="F131" s="204" t="s">
        <v>848</v>
      </c>
      <c r="G131" s="204" t="str">
        <f t="shared" si="144"/>
        <v>4MVANG</v>
      </c>
      <c r="H131" s="204" t="str">
        <f t="shared" si="145"/>
        <v>4MVANG</v>
      </c>
      <c r="I131" s="204" t="str">
        <f t="shared" si="146"/>
        <v>4MVANG</v>
      </c>
      <c r="J131" s="204" t="str">
        <f t="shared" si="147"/>
        <v>4MVANG</v>
      </c>
      <c r="K131" s="204">
        <v>100</v>
      </c>
      <c r="L131" s="204">
        <v>7</v>
      </c>
      <c r="N131" s="204" t="str">
        <f t="shared" si="148"/>
        <v>4MVANG</v>
      </c>
      <c r="O131" s="204" t="str">
        <f t="shared" si="112"/>
        <v>4Y_I</v>
      </c>
      <c r="P131" s="204" t="str">
        <f t="shared" si="113"/>
        <v>6Y_I</v>
      </c>
    </row>
    <row r="132" spans="1:16" ht="13" x14ac:dyDescent="0.3">
      <c r="A132" s="25"/>
      <c r="B132">
        <v>4</v>
      </c>
      <c r="C132" s="221" t="s">
        <v>778</v>
      </c>
      <c r="D132" s="221" t="s">
        <v>704</v>
      </c>
      <c r="E132" s="221">
        <f>1</f>
        <v>1</v>
      </c>
      <c r="F132" s="204" t="s">
        <v>848</v>
      </c>
      <c r="G132" s="204" t="str">
        <f t="shared" si="107"/>
        <v>4MVANG</v>
      </c>
      <c r="H132" s="204" t="str">
        <f t="shared" si="108"/>
        <v>4MVANG</v>
      </c>
      <c r="I132" s="204" t="str">
        <f t="shared" si="109"/>
        <v>4MVANG</v>
      </c>
      <c r="J132" s="204" t="str">
        <f t="shared" si="110"/>
        <v>4MVANG</v>
      </c>
      <c r="K132" s="204">
        <v>100</v>
      </c>
      <c r="L132" s="204">
        <v>7</v>
      </c>
      <c r="N132" s="204" t="str">
        <f t="shared" si="111"/>
        <v>4MVANG</v>
      </c>
      <c r="O132" s="204" t="str">
        <f t="shared" si="112"/>
        <v>4Y_I</v>
      </c>
      <c r="P132" s="204" t="str">
        <f t="shared" si="113"/>
        <v>6Y_I</v>
      </c>
    </row>
    <row r="133" spans="1:16" ht="13" x14ac:dyDescent="0.3">
      <c r="A133" s="25"/>
      <c r="B133">
        <v>4</v>
      </c>
      <c r="C133" s="221" t="s">
        <v>947</v>
      </c>
      <c r="D133" s="221" t="s">
        <v>704</v>
      </c>
      <c r="E133" s="221">
        <f>1</f>
        <v>1</v>
      </c>
      <c r="F133" s="204" t="s">
        <v>848</v>
      </c>
      <c r="G133" s="204" t="str">
        <f t="shared" ref="G133:G135" si="149">F133</f>
        <v>4MVANG</v>
      </c>
      <c r="H133" s="204" t="str">
        <f t="shared" ref="H133:H135" si="150">G133</f>
        <v>4MVANG</v>
      </c>
      <c r="I133" s="204" t="str">
        <f t="shared" ref="I133:I135" si="151">H133</f>
        <v>4MVANG</v>
      </c>
      <c r="J133" s="204" t="str">
        <f t="shared" ref="J133:J135" si="152">I133</f>
        <v>4MVANG</v>
      </c>
      <c r="K133" s="204">
        <v>100</v>
      </c>
      <c r="L133" s="204">
        <v>7</v>
      </c>
      <c r="N133" s="204" t="str">
        <f t="shared" ref="N133:N135" si="153">F133</f>
        <v>4MVANG</v>
      </c>
      <c r="O133" s="204" t="str">
        <f t="shared" si="112"/>
        <v>4Y_I</v>
      </c>
      <c r="P133" s="204" t="str">
        <f t="shared" si="113"/>
        <v>6Y_I</v>
      </c>
    </row>
    <row r="134" spans="1:16" ht="13" x14ac:dyDescent="0.3">
      <c r="A134" s="25"/>
      <c r="B134">
        <v>4</v>
      </c>
      <c r="C134" s="221" t="s">
        <v>948</v>
      </c>
      <c r="D134" s="221" t="s">
        <v>704</v>
      </c>
      <c r="E134" s="221">
        <f>1</f>
        <v>1</v>
      </c>
      <c r="F134" s="204" t="s">
        <v>848</v>
      </c>
      <c r="G134" s="204" t="str">
        <f t="shared" si="149"/>
        <v>4MVANG</v>
      </c>
      <c r="H134" s="204" t="str">
        <f t="shared" si="150"/>
        <v>4MVANG</v>
      </c>
      <c r="I134" s="204" t="str">
        <f t="shared" si="151"/>
        <v>4MVANG</v>
      </c>
      <c r="J134" s="204" t="str">
        <f t="shared" si="152"/>
        <v>4MVANG</v>
      </c>
      <c r="K134" s="204">
        <v>100</v>
      </c>
      <c r="L134" s="204">
        <v>7</v>
      </c>
      <c r="N134" s="204" t="str">
        <f t="shared" si="153"/>
        <v>4MVANG</v>
      </c>
      <c r="O134" s="204" t="str">
        <f t="shared" si="112"/>
        <v>4Y_I</v>
      </c>
      <c r="P134" s="204" t="str">
        <f t="shared" si="113"/>
        <v>6Y_I</v>
      </c>
    </row>
    <row r="135" spans="1:16" ht="13" x14ac:dyDescent="0.3">
      <c r="A135" s="25"/>
      <c r="B135">
        <v>4</v>
      </c>
      <c r="C135" s="221" t="s">
        <v>949</v>
      </c>
      <c r="D135" s="221" t="s">
        <v>704</v>
      </c>
      <c r="E135" s="221">
        <f>1</f>
        <v>1</v>
      </c>
      <c r="F135" s="204" t="s">
        <v>848</v>
      </c>
      <c r="G135" s="204" t="str">
        <f t="shared" si="149"/>
        <v>4MVANG</v>
      </c>
      <c r="H135" s="204" t="str">
        <f t="shared" si="150"/>
        <v>4MVANG</v>
      </c>
      <c r="I135" s="204" t="str">
        <f t="shared" si="151"/>
        <v>4MVANG</v>
      </c>
      <c r="J135" s="204" t="str">
        <f t="shared" si="152"/>
        <v>4MVANG</v>
      </c>
      <c r="K135" s="204">
        <v>100</v>
      </c>
      <c r="L135" s="204">
        <v>7</v>
      </c>
      <c r="N135" s="204" t="str">
        <f t="shared" si="153"/>
        <v>4MVANG</v>
      </c>
      <c r="O135" s="204" t="str">
        <f t="shared" si="112"/>
        <v>4Y_I</v>
      </c>
      <c r="P135" s="204" t="str">
        <f t="shared" si="113"/>
        <v>6Y_I</v>
      </c>
    </row>
    <row r="136" spans="1:16" ht="13" x14ac:dyDescent="0.3">
      <c r="A136" s="25"/>
      <c r="B136">
        <v>5</v>
      </c>
      <c r="C136" s="221" t="s">
        <v>779</v>
      </c>
      <c r="D136" s="221" t="s">
        <v>704</v>
      </c>
      <c r="E136" s="221">
        <f>1</f>
        <v>1</v>
      </c>
      <c r="F136" s="204" t="s">
        <v>845</v>
      </c>
      <c r="G136" s="204" t="str">
        <f t="shared" si="107"/>
        <v>5GROP</v>
      </c>
      <c r="H136" s="204" t="str">
        <f t="shared" si="108"/>
        <v>5GROP</v>
      </c>
      <c r="I136" s="204" t="str">
        <f t="shared" si="109"/>
        <v>5GROP</v>
      </c>
      <c r="J136" s="204" t="str">
        <f t="shared" si="110"/>
        <v>5GROP</v>
      </c>
      <c r="K136" s="204">
        <v>100</v>
      </c>
      <c r="L136" s="204">
        <v>7</v>
      </c>
      <c r="N136" s="204" t="str">
        <f t="shared" si="111"/>
        <v>5GROP</v>
      </c>
      <c r="O136" s="204" t="str">
        <f t="shared" si="112"/>
        <v>5Y_I</v>
      </c>
      <c r="P136" s="204" t="str">
        <f t="shared" si="113"/>
        <v>7Y_I</v>
      </c>
    </row>
    <row r="137" spans="1:16" ht="13" x14ac:dyDescent="0.3">
      <c r="A137" s="25"/>
      <c r="B137">
        <v>5</v>
      </c>
      <c r="C137" s="221" t="s">
        <v>950</v>
      </c>
      <c r="D137" s="221" t="s">
        <v>704</v>
      </c>
      <c r="E137" s="221">
        <f>1</f>
        <v>1</v>
      </c>
      <c r="F137" s="204" t="s">
        <v>845</v>
      </c>
      <c r="G137" s="204" t="str">
        <f t="shared" ref="G137:G139" si="154">F137</f>
        <v>5GROP</v>
      </c>
      <c r="H137" s="204" t="str">
        <f t="shared" ref="H137:H139" si="155">G137</f>
        <v>5GROP</v>
      </c>
      <c r="I137" s="204" t="str">
        <f t="shared" ref="I137:I139" si="156">H137</f>
        <v>5GROP</v>
      </c>
      <c r="J137" s="204" t="str">
        <f t="shared" ref="J137:J139" si="157">I137</f>
        <v>5GROP</v>
      </c>
      <c r="K137" s="204">
        <v>100</v>
      </c>
      <c r="L137" s="204">
        <v>7</v>
      </c>
      <c r="N137" s="204" t="str">
        <f t="shared" ref="N137:N139" si="158">F137</f>
        <v>5GROP</v>
      </c>
      <c r="O137" s="204" t="str">
        <f t="shared" si="112"/>
        <v>5Y_I</v>
      </c>
      <c r="P137" s="204" t="str">
        <f t="shared" si="113"/>
        <v>7Y_I</v>
      </c>
    </row>
    <row r="138" spans="1:16" ht="13" x14ac:dyDescent="0.3">
      <c r="A138" s="25"/>
      <c r="B138">
        <v>5</v>
      </c>
      <c r="C138" s="221" t="s">
        <v>951</v>
      </c>
      <c r="D138" s="221" t="s">
        <v>704</v>
      </c>
      <c r="E138" s="221">
        <f>1</f>
        <v>1</v>
      </c>
      <c r="F138" s="204" t="s">
        <v>845</v>
      </c>
      <c r="G138" s="204" t="str">
        <f t="shared" si="154"/>
        <v>5GROP</v>
      </c>
      <c r="H138" s="204" t="str">
        <f t="shared" si="155"/>
        <v>5GROP</v>
      </c>
      <c r="I138" s="204" t="str">
        <f t="shared" si="156"/>
        <v>5GROP</v>
      </c>
      <c r="J138" s="204" t="str">
        <f t="shared" si="157"/>
        <v>5GROP</v>
      </c>
      <c r="K138" s="204">
        <v>100</v>
      </c>
      <c r="L138" s="204">
        <v>7</v>
      </c>
      <c r="N138" s="204" t="str">
        <f t="shared" si="158"/>
        <v>5GROP</v>
      </c>
      <c r="O138" s="204" t="str">
        <f t="shared" si="112"/>
        <v>5Y_I</v>
      </c>
      <c r="P138" s="204" t="str">
        <f t="shared" si="113"/>
        <v>7Y_I</v>
      </c>
    </row>
    <row r="139" spans="1:16" ht="13" x14ac:dyDescent="0.3">
      <c r="A139" s="25"/>
      <c r="B139">
        <v>5</v>
      </c>
      <c r="C139" s="221" t="s">
        <v>952</v>
      </c>
      <c r="D139" s="221" t="s">
        <v>704</v>
      </c>
      <c r="E139" s="221">
        <f>1</f>
        <v>1</v>
      </c>
      <c r="F139" s="204" t="s">
        <v>845</v>
      </c>
      <c r="G139" s="204" t="str">
        <f t="shared" si="154"/>
        <v>5GROP</v>
      </c>
      <c r="H139" s="204" t="str">
        <f t="shared" si="155"/>
        <v>5GROP</v>
      </c>
      <c r="I139" s="204" t="str">
        <f t="shared" si="156"/>
        <v>5GROP</v>
      </c>
      <c r="J139" s="204" t="str">
        <f t="shared" si="157"/>
        <v>5GROP</v>
      </c>
      <c r="K139" s="204">
        <v>100</v>
      </c>
      <c r="L139" s="204">
        <v>7</v>
      </c>
      <c r="N139" s="204" t="str">
        <f t="shared" si="158"/>
        <v>5GROP</v>
      </c>
      <c r="O139" s="204" t="str">
        <f t="shared" si="112"/>
        <v>5Y_I</v>
      </c>
      <c r="P139" s="204" t="str">
        <f t="shared" si="113"/>
        <v>7Y_I</v>
      </c>
    </row>
    <row r="140" spans="1:16" ht="13" x14ac:dyDescent="0.3">
      <c r="A140" s="25"/>
      <c r="B140">
        <v>5</v>
      </c>
      <c r="C140" s="221" t="s">
        <v>780</v>
      </c>
      <c r="D140" s="221" t="s">
        <v>704</v>
      </c>
      <c r="E140" s="221">
        <f>1</f>
        <v>1</v>
      </c>
      <c r="F140" s="204" t="s">
        <v>850</v>
      </c>
      <c r="G140" s="204" t="str">
        <f t="shared" si="107"/>
        <v>5MVANG</v>
      </c>
      <c r="H140" s="204" t="str">
        <f t="shared" si="108"/>
        <v>5MVANG</v>
      </c>
      <c r="I140" s="204" t="str">
        <f t="shared" si="109"/>
        <v>5MVANG</v>
      </c>
      <c r="J140" s="204" t="str">
        <f t="shared" si="110"/>
        <v>5MVANG</v>
      </c>
      <c r="K140" s="204">
        <v>100</v>
      </c>
      <c r="L140" s="204">
        <v>7</v>
      </c>
      <c r="N140" s="204" t="str">
        <f t="shared" si="111"/>
        <v>5MVANG</v>
      </c>
      <c r="O140" s="204" t="str">
        <f t="shared" si="112"/>
        <v>5Y_I</v>
      </c>
      <c r="P140" s="204" t="str">
        <f t="shared" si="113"/>
        <v>7Y_I</v>
      </c>
    </row>
    <row r="141" spans="1:16" ht="13" x14ac:dyDescent="0.3">
      <c r="A141" s="25"/>
      <c r="B141">
        <v>5</v>
      </c>
      <c r="C141" s="221" t="s">
        <v>953</v>
      </c>
      <c r="D141" s="221" t="s">
        <v>704</v>
      </c>
      <c r="E141" s="221">
        <f>1</f>
        <v>1</v>
      </c>
      <c r="F141" s="204" t="s">
        <v>850</v>
      </c>
      <c r="G141" s="204" t="str">
        <f t="shared" ref="G141:G143" si="159">F141</f>
        <v>5MVANG</v>
      </c>
      <c r="H141" s="204" t="str">
        <f t="shared" ref="H141:H143" si="160">G141</f>
        <v>5MVANG</v>
      </c>
      <c r="I141" s="204" t="str">
        <f t="shared" ref="I141:I143" si="161">H141</f>
        <v>5MVANG</v>
      </c>
      <c r="J141" s="204" t="str">
        <f t="shared" ref="J141:J143" si="162">I141</f>
        <v>5MVANG</v>
      </c>
      <c r="K141" s="204">
        <v>100</v>
      </c>
      <c r="L141" s="204">
        <v>7</v>
      </c>
      <c r="N141" s="204" t="str">
        <f t="shared" ref="N141:N143" si="163">F141</f>
        <v>5MVANG</v>
      </c>
      <c r="O141" s="204" t="str">
        <f t="shared" si="112"/>
        <v>5Y_I</v>
      </c>
      <c r="P141" s="204" t="str">
        <f t="shared" si="113"/>
        <v>7Y_I</v>
      </c>
    </row>
    <row r="142" spans="1:16" ht="13" x14ac:dyDescent="0.3">
      <c r="A142" s="25"/>
      <c r="B142">
        <v>5</v>
      </c>
      <c r="C142" s="221" t="s">
        <v>954</v>
      </c>
      <c r="D142" s="221" t="s">
        <v>704</v>
      </c>
      <c r="E142" s="221">
        <f>1</f>
        <v>1</v>
      </c>
      <c r="F142" s="204" t="s">
        <v>850</v>
      </c>
      <c r="G142" s="204" t="str">
        <f t="shared" si="159"/>
        <v>5MVANG</v>
      </c>
      <c r="H142" s="204" t="str">
        <f t="shared" si="160"/>
        <v>5MVANG</v>
      </c>
      <c r="I142" s="204" t="str">
        <f t="shared" si="161"/>
        <v>5MVANG</v>
      </c>
      <c r="J142" s="204" t="str">
        <f t="shared" si="162"/>
        <v>5MVANG</v>
      </c>
      <c r="K142" s="204">
        <v>100</v>
      </c>
      <c r="L142" s="204">
        <v>7</v>
      </c>
      <c r="N142" s="204" t="str">
        <f t="shared" si="163"/>
        <v>5MVANG</v>
      </c>
      <c r="O142" s="204" t="str">
        <f t="shared" si="112"/>
        <v>5Y_I</v>
      </c>
      <c r="P142" s="204" t="str">
        <f t="shared" si="113"/>
        <v>7Y_I</v>
      </c>
    </row>
    <row r="143" spans="1:16" ht="13" x14ac:dyDescent="0.3">
      <c r="A143" s="25"/>
      <c r="B143">
        <v>5</v>
      </c>
      <c r="C143" s="221" t="s">
        <v>955</v>
      </c>
      <c r="D143" s="221" t="s">
        <v>704</v>
      </c>
      <c r="E143" s="221">
        <f>1</f>
        <v>1</v>
      </c>
      <c r="F143" s="204" t="s">
        <v>850</v>
      </c>
      <c r="G143" s="204" t="str">
        <f t="shared" si="159"/>
        <v>5MVANG</v>
      </c>
      <c r="H143" s="204" t="str">
        <f t="shared" si="160"/>
        <v>5MVANG</v>
      </c>
      <c r="I143" s="204" t="str">
        <f t="shared" si="161"/>
        <v>5MVANG</v>
      </c>
      <c r="J143" s="204" t="str">
        <f t="shared" si="162"/>
        <v>5MVANG</v>
      </c>
      <c r="K143" s="204">
        <v>100</v>
      </c>
      <c r="L143" s="204">
        <v>7</v>
      </c>
      <c r="N143" s="204" t="str">
        <f t="shared" si="163"/>
        <v>5MVANG</v>
      </c>
      <c r="O143" s="204" t="str">
        <f t="shared" si="112"/>
        <v>5Y_I</v>
      </c>
      <c r="P143" s="204" t="str">
        <f t="shared" si="113"/>
        <v>7Y_I</v>
      </c>
    </row>
    <row r="144" spans="1:16" ht="13" x14ac:dyDescent="0.3">
      <c r="A144" s="25"/>
      <c r="B144">
        <v>5</v>
      </c>
      <c r="C144" s="221" t="s">
        <v>781</v>
      </c>
      <c r="D144" s="221" t="s">
        <v>704</v>
      </c>
      <c r="E144" s="221">
        <f>1</f>
        <v>1</v>
      </c>
      <c r="F144" s="204" t="s">
        <v>849</v>
      </c>
      <c r="G144" s="204" t="str">
        <f t="shared" si="107"/>
        <v>5NGROP</v>
      </c>
      <c r="H144" s="204" t="str">
        <f t="shared" si="108"/>
        <v>5NGROP</v>
      </c>
      <c r="I144" s="204" t="str">
        <f t="shared" si="109"/>
        <v>5NGROP</v>
      </c>
      <c r="J144" s="204" t="str">
        <f t="shared" si="110"/>
        <v>5NGROP</v>
      </c>
      <c r="K144" s="204">
        <v>100</v>
      </c>
      <c r="L144" s="204">
        <v>7</v>
      </c>
      <c r="N144" s="204" t="str">
        <f t="shared" si="111"/>
        <v>5NGROP</v>
      </c>
      <c r="O144" s="204" t="str">
        <f t="shared" si="112"/>
        <v>5Y_I</v>
      </c>
      <c r="P144" s="204" t="str">
        <f t="shared" si="113"/>
        <v>7Y_I</v>
      </c>
    </row>
    <row r="145" spans="1:16" ht="13" x14ac:dyDescent="0.3">
      <c r="A145" s="25"/>
      <c r="B145">
        <v>5</v>
      </c>
      <c r="C145" s="221" t="s">
        <v>956</v>
      </c>
      <c r="D145" s="221" t="s">
        <v>704</v>
      </c>
      <c r="E145" s="221">
        <f>1</f>
        <v>1</v>
      </c>
      <c r="F145" s="204" t="s">
        <v>849</v>
      </c>
      <c r="G145" s="204" t="str">
        <f t="shared" ref="G145:G147" si="164">F145</f>
        <v>5NGROP</v>
      </c>
      <c r="H145" s="204" t="str">
        <f t="shared" ref="H145:H147" si="165">G145</f>
        <v>5NGROP</v>
      </c>
      <c r="I145" s="204" t="str">
        <f t="shared" ref="I145:I147" si="166">H145</f>
        <v>5NGROP</v>
      </c>
      <c r="J145" s="204" t="str">
        <f t="shared" ref="J145:J147" si="167">I145</f>
        <v>5NGROP</v>
      </c>
      <c r="K145" s="204">
        <v>100</v>
      </c>
      <c r="L145" s="204">
        <v>7</v>
      </c>
      <c r="N145" s="204" t="str">
        <f t="shared" ref="N145:N147" si="168">F145</f>
        <v>5NGROP</v>
      </c>
      <c r="O145" s="204" t="str">
        <f t="shared" si="112"/>
        <v>5Y_I</v>
      </c>
      <c r="P145" s="204" t="str">
        <f t="shared" si="113"/>
        <v>7Y_I</v>
      </c>
    </row>
    <row r="146" spans="1:16" ht="13" x14ac:dyDescent="0.3">
      <c r="A146" s="25"/>
      <c r="B146">
        <v>5</v>
      </c>
      <c r="C146" s="221" t="s">
        <v>957</v>
      </c>
      <c r="D146" s="221" t="s">
        <v>704</v>
      </c>
      <c r="E146" s="221">
        <f>1</f>
        <v>1</v>
      </c>
      <c r="F146" s="204" t="s">
        <v>849</v>
      </c>
      <c r="G146" s="204" t="str">
        <f t="shared" si="164"/>
        <v>5NGROP</v>
      </c>
      <c r="H146" s="204" t="str">
        <f t="shared" si="165"/>
        <v>5NGROP</v>
      </c>
      <c r="I146" s="204" t="str">
        <f t="shared" si="166"/>
        <v>5NGROP</v>
      </c>
      <c r="J146" s="204" t="str">
        <f t="shared" si="167"/>
        <v>5NGROP</v>
      </c>
      <c r="K146" s="204">
        <v>100</v>
      </c>
      <c r="L146" s="204">
        <v>7</v>
      </c>
      <c r="N146" s="204" t="str">
        <f t="shared" si="168"/>
        <v>5NGROP</v>
      </c>
      <c r="O146" s="204" t="str">
        <f t="shared" si="112"/>
        <v>5Y_I</v>
      </c>
      <c r="P146" s="204" t="str">
        <f t="shared" si="113"/>
        <v>7Y_I</v>
      </c>
    </row>
    <row r="147" spans="1:16" ht="13" x14ac:dyDescent="0.3">
      <c r="A147" s="25"/>
      <c r="B147">
        <v>5</v>
      </c>
      <c r="C147" s="221" t="s">
        <v>958</v>
      </c>
      <c r="D147" s="221" t="s">
        <v>704</v>
      </c>
      <c r="E147" s="221">
        <f>1</f>
        <v>1</v>
      </c>
      <c r="F147" s="204" t="s">
        <v>849</v>
      </c>
      <c r="G147" s="204" t="str">
        <f t="shared" si="164"/>
        <v>5NGROP</v>
      </c>
      <c r="H147" s="204" t="str">
        <f t="shared" si="165"/>
        <v>5NGROP</v>
      </c>
      <c r="I147" s="204" t="str">
        <f t="shared" si="166"/>
        <v>5NGROP</v>
      </c>
      <c r="J147" s="204" t="str">
        <f t="shared" si="167"/>
        <v>5NGROP</v>
      </c>
      <c r="K147" s="204">
        <v>100</v>
      </c>
      <c r="L147" s="204">
        <v>7</v>
      </c>
      <c r="N147" s="204" t="str">
        <f t="shared" si="168"/>
        <v>5NGROP</v>
      </c>
      <c r="O147" s="204" t="str">
        <f t="shared" si="112"/>
        <v>5Y_I</v>
      </c>
      <c r="P147" s="204" t="str">
        <f t="shared" si="113"/>
        <v>7Y_I</v>
      </c>
    </row>
    <row r="148" spans="1:16" ht="13" x14ac:dyDescent="0.3">
      <c r="A148" s="25"/>
      <c r="B148">
        <v>5</v>
      </c>
      <c r="C148" s="221" t="s">
        <v>782</v>
      </c>
      <c r="D148" s="221" t="s">
        <v>704</v>
      </c>
      <c r="E148" s="221">
        <f>1</f>
        <v>1</v>
      </c>
      <c r="F148" s="204" t="s">
        <v>850</v>
      </c>
      <c r="G148" s="204" t="str">
        <f t="shared" si="107"/>
        <v>5MVANG</v>
      </c>
      <c r="H148" s="204" t="str">
        <f t="shared" si="108"/>
        <v>5MVANG</v>
      </c>
      <c r="I148" s="204" t="str">
        <f t="shared" si="109"/>
        <v>5MVANG</v>
      </c>
      <c r="J148" s="204" t="str">
        <f t="shared" si="110"/>
        <v>5MVANG</v>
      </c>
      <c r="K148" s="204">
        <v>100</v>
      </c>
      <c r="L148" s="204">
        <v>7</v>
      </c>
      <c r="N148" s="204" t="str">
        <f t="shared" si="111"/>
        <v>5MVANG</v>
      </c>
      <c r="O148" s="204" t="str">
        <f t="shared" si="112"/>
        <v>5Y_I</v>
      </c>
      <c r="P148" s="204" t="str">
        <f t="shared" si="113"/>
        <v>7Y_I</v>
      </c>
    </row>
    <row r="149" spans="1:16" ht="13" x14ac:dyDescent="0.3">
      <c r="A149" s="25"/>
      <c r="B149">
        <v>5</v>
      </c>
      <c r="C149" s="221" t="s">
        <v>959</v>
      </c>
      <c r="D149" s="221" t="s">
        <v>704</v>
      </c>
      <c r="E149" s="221">
        <f>1</f>
        <v>1</v>
      </c>
      <c r="F149" s="204" t="s">
        <v>850</v>
      </c>
      <c r="G149" s="204" t="str">
        <f t="shared" ref="G149:G151" si="169">F149</f>
        <v>5MVANG</v>
      </c>
      <c r="H149" s="204" t="str">
        <f t="shared" ref="H149:H151" si="170">G149</f>
        <v>5MVANG</v>
      </c>
      <c r="I149" s="204" t="str">
        <f t="shared" ref="I149:I151" si="171">H149</f>
        <v>5MVANG</v>
      </c>
      <c r="J149" s="204" t="str">
        <f t="shared" ref="J149:J151" si="172">I149</f>
        <v>5MVANG</v>
      </c>
      <c r="K149" s="204">
        <v>100</v>
      </c>
      <c r="L149" s="204">
        <v>7</v>
      </c>
      <c r="N149" s="204" t="str">
        <f t="shared" ref="N149:N151" si="173">F149</f>
        <v>5MVANG</v>
      </c>
      <c r="O149" s="204" t="str">
        <f t="shared" si="112"/>
        <v>5Y_I</v>
      </c>
      <c r="P149" s="204" t="str">
        <f t="shared" si="113"/>
        <v>7Y_I</v>
      </c>
    </row>
    <row r="150" spans="1:16" ht="13" x14ac:dyDescent="0.3">
      <c r="A150" s="25"/>
      <c r="B150">
        <v>5</v>
      </c>
      <c r="C150" s="221" t="s">
        <v>960</v>
      </c>
      <c r="D150" s="221" t="s">
        <v>704</v>
      </c>
      <c r="E150" s="221">
        <f>1</f>
        <v>1</v>
      </c>
      <c r="F150" s="204" t="s">
        <v>850</v>
      </c>
      <c r="G150" s="204" t="str">
        <f t="shared" si="169"/>
        <v>5MVANG</v>
      </c>
      <c r="H150" s="204" t="str">
        <f t="shared" si="170"/>
        <v>5MVANG</v>
      </c>
      <c r="I150" s="204" t="str">
        <f t="shared" si="171"/>
        <v>5MVANG</v>
      </c>
      <c r="J150" s="204" t="str">
        <f t="shared" si="172"/>
        <v>5MVANG</v>
      </c>
      <c r="K150" s="204">
        <v>100</v>
      </c>
      <c r="L150" s="204">
        <v>7</v>
      </c>
      <c r="N150" s="204" t="str">
        <f t="shared" si="173"/>
        <v>5MVANG</v>
      </c>
      <c r="O150" s="204" t="str">
        <f t="shared" si="112"/>
        <v>5Y_I</v>
      </c>
      <c r="P150" s="204" t="str">
        <f t="shared" si="113"/>
        <v>7Y_I</v>
      </c>
    </row>
    <row r="151" spans="1:16" ht="13" x14ac:dyDescent="0.3">
      <c r="A151" s="25"/>
      <c r="B151">
        <v>5</v>
      </c>
      <c r="C151" s="221" t="s">
        <v>961</v>
      </c>
      <c r="D151" s="221" t="s">
        <v>704</v>
      </c>
      <c r="E151" s="221">
        <f>1</f>
        <v>1</v>
      </c>
      <c r="F151" s="204" t="s">
        <v>850</v>
      </c>
      <c r="G151" s="204" t="str">
        <f t="shared" si="169"/>
        <v>5MVANG</v>
      </c>
      <c r="H151" s="204" t="str">
        <f t="shared" si="170"/>
        <v>5MVANG</v>
      </c>
      <c r="I151" s="204" t="str">
        <f t="shared" si="171"/>
        <v>5MVANG</v>
      </c>
      <c r="J151" s="204" t="str">
        <f t="shared" si="172"/>
        <v>5MVANG</v>
      </c>
      <c r="K151" s="204">
        <v>100</v>
      </c>
      <c r="L151" s="204">
        <v>7</v>
      </c>
      <c r="N151" s="204" t="str">
        <f t="shared" si="173"/>
        <v>5MVANG</v>
      </c>
      <c r="O151" s="204" t="str">
        <f t="shared" si="112"/>
        <v>5Y_I</v>
      </c>
      <c r="P151" s="204" t="str">
        <f t="shared" si="113"/>
        <v>7Y_I</v>
      </c>
    </row>
    <row r="152" spans="1:16" ht="13" x14ac:dyDescent="0.3">
      <c r="A152" s="25"/>
      <c r="B152">
        <v>7</v>
      </c>
      <c r="C152" s="221" t="s">
        <v>783</v>
      </c>
      <c r="D152" s="221" t="s">
        <v>704</v>
      </c>
      <c r="E152" s="221">
        <f>1</f>
        <v>1</v>
      </c>
      <c r="F152" s="204" t="s">
        <v>846</v>
      </c>
      <c r="G152" s="204" t="str">
        <f t="shared" si="107"/>
        <v>7GROP</v>
      </c>
      <c r="H152" s="204" t="str">
        <f t="shared" si="108"/>
        <v>7GROP</v>
      </c>
      <c r="I152" s="204" t="str">
        <f t="shared" si="109"/>
        <v>7GROP</v>
      </c>
      <c r="J152" s="204" t="str">
        <f t="shared" si="110"/>
        <v>7GROP</v>
      </c>
      <c r="K152" s="204">
        <v>100</v>
      </c>
      <c r="L152" s="204">
        <v>7</v>
      </c>
      <c r="N152" s="204" t="str">
        <f t="shared" si="111"/>
        <v>7GROP</v>
      </c>
      <c r="O152" s="204" t="str">
        <f t="shared" si="112"/>
        <v>7Y_I</v>
      </c>
      <c r="P152" s="204" t="str">
        <f t="shared" si="113"/>
        <v>9Y_I</v>
      </c>
    </row>
    <row r="153" spans="1:16" ht="13" x14ac:dyDescent="0.3">
      <c r="A153" s="25"/>
      <c r="B153">
        <v>7</v>
      </c>
      <c r="C153" s="221" t="s">
        <v>962</v>
      </c>
      <c r="D153" s="221" t="s">
        <v>704</v>
      </c>
      <c r="E153" s="221">
        <f>1</f>
        <v>1</v>
      </c>
      <c r="F153" s="204" t="s">
        <v>846</v>
      </c>
      <c r="G153" s="204" t="str">
        <f t="shared" ref="G153:G155" si="174">F153</f>
        <v>7GROP</v>
      </c>
      <c r="H153" s="204" t="str">
        <f t="shared" ref="H153:H155" si="175">G153</f>
        <v>7GROP</v>
      </c>
      <c r="I153" s="204" t="str">
        <f t="shared" ref="I153:I155" si="176">H153</f>
        <v>7GROP</v>
      </c>
      <c r="J153" s="204" t="str">
        <f t="shared" ref="J153:J155" si="177">I153</f>
        <v>7GROP</v>
      </c>
      <c r="K153" s="204">
        <v>100</v>
      </c>
      <c r="L153" s="204">
        <v>7</v>
      </c>
      <c r="N153" s="204" t="str">
        <f t="shared" ref="N153:N155" si="178">F153</f>
        <v>7GROP</v>
      </c>
      <c r="O153" s="204" t="str">
        <f t="shared" si="112"/>
        <v>7Y_I</v>
      </c>
      <c r="P153" s="204" t="str">
        <f t="shared" si="113"/>
        <v>9Y_I</v>
      </c>
    </row>
    <row r="154" spans="1:16" ht="13" x14ac:dyDescent="0.3">
      <c r="A154" s="25"/>
      <c r="B154">
        <v>7</v>
      </c>
      <c r="C154" s="221" t="s">
        <v>963</v>
      </c>
      <c r="D154" s="221" t="s">
        <v>704</v>
      </c>
      <c r="E154" s="221">
        <f>1</f>
        <v>1</v>
      </c>
      <c r="F154" s="204" t="s">
        <v>846</v>
      </c>
      <c r="G154" s="204" t="str">
        <f t="shared" si="174"/>
        <v>7GROP</v>
      </c>
      <c r="H154" s="204" t="str">
        <f t="shared" si="175"/>
        <v>7GROP</v>
      </c>
      <c r="I154" s="204" t="str">
        <f t="shared" si="176"/>
        <v>7GROP</v>
      </c>
      <c r="J154" s="204" t="str">
        <f t="shared" si="177"/>
        <v>7GROP</v>
      </c>
      <c r="K154" s="204">
        <v>100</v>
      </c>
      <c r="L154" s="204">
        <v>7</v>
      </c>
      <c r="N154" s="204" t="str">
        <f t="shared" si="178"/>
        <v>7GROP</v>
      </c>
      <c r="O154" s="204" t="str">
        <f t="shared" si="112"/>
        <v>7Y_I</v>
      </c>
      <c r="P154" s="204" t="str">
        <f t="shared" si="113"/>
        <v>9Y_I</v>
      </c>
    </row>
    <row r="155" spans="1:16" ht="13" x14ac:dyDescent="0.3">
      <c r="A155" s="25"/>
      <c r="B155">
        <v>7</v>
      </c>
      <c r="C155" s="221" t="s">
        <v>964</v>
      </c>
      <c r="D155" s="221" t="s">
        <v>704</v>
      </c>
      <c r="E155" s="221">
        <f>1</f>
        <v>1</v>
      </c>
      <c r="F155" s="204" t="s">
        <v>846</v>
      </c>
      <c r="G155" s="204" t="str">
        <f t="shared" si="174"/>
        <v>7GROP</v>
      </c>
      <c r="H155" s="204" t="str">
        <f t="shared" si="175"/>
        <v>7GROP</v>
      </c>
      <c r="I155" s="204" t="str">
        <f t="shared" si="176"/>
        <v>7GROP</v>
      </c>
      <c r="J155" s="204" t="str">
        <f t="shared" si="177"/>
        <v>7GROP</v>
      </c>
      <c r="K155" s="204">
        <v>100</v>
      </c>
      <c r="L155" s="204">
        <v>7</v>
      </c>
      <c r="N155" s="204" t="str">
        <f t="shared" si="178"/>
        <v>7GROP</v>
      </c>
      <c r="O155" s="204" t="str">
        <f t="shared" si="112"/>
        <v>7Y_I</v>
      </c>
      <c r="P155" s="204" t="str">
        <f t="shared" si="113"/>
        <v>9Y_I</v>
      </c>
    </row>
    <row r="156" spans="1:16" ht="13" x14ac:dyDescent="0.3">
      <c r="A156" s="25"/>
      <c r="B156">
        <v>7</v>
      </c>
      <c r="C156" s="221" t="s">
        <v>784</v>
      </c>
      <c r="D156" s="221" t="s">
        <v>704</v>
      </c>
      <c r="E156" s="221">
        <f>1</f>
        <v>1</v>
      </c>
      <c r="F156" s="204" t="s">
        <v>852</v>
      </c>
      <c r="G156" s="204" t="str">
        <f t="shared" si="107"/>
        <v>7MVANG</v>
      </c>
      <c r="H156" s="204" t="str">
        <f t="shared" si="108"/>
        <v>7MVANG</v>
      </c>
      <c r="I156" s="204" t="str">
        <f t="shared" si="109"/>
        <v>7MVANG</v>
      </c>
      <c r="J156" s="204" t="str">
        <f t="shared" si="110"/>
        <v>7MVANG</v>
      </c>
      <c r="K156" s="204">
        <v>100</v>
      </c>
      <c r="L156" s="204">
        <v>7</v>
      </c>
      <c r="N156" s="204" t="str">
        <f t="shared" si="111"/>
        <v>7MVANG</v>
      </c>
      <c r="O156" s="204" t="str">
        <f t="shared" si="112"/>
        <v>7Y_I</v>
      </c>
      <c r="P156" s="204" t="str">
        <f t="shared" si="113"/>
        <v>9Y_I</v>
      </c>
    </row>
    <row r="157" spans="1:16" ht="13" x14ac:dyDescent="0.3">
      <c r="A157" s="25"/>
      <c r="B157">
        <v>7</v>
      </c>
      <c r="C157" s="221" t="s">
        <v>965</v>
      </c>
      <c r="D157" s="221" t="s">
        <v>704</v>
      </c>
      <c r="E157" s="221">
        <f>1</f>
        <v>1</v>
      </c>
      <c r="F157" s="204" t="s">
        <v>852</v>
      </c>
      <c r="G157" s="204" t="str">
        <f t="shared" ref="G157:G159" si="179">F157</f>
        <v>7MVANG</v>
      </c>
      <c r="H157" s="204" t="str">
        <f t="shared" ref="H157:H159" si="180">G157</f>
        <v>7MVANG</v>
      </c>
      <c r="I157" s="204" t="str">
        <f t="shared" ref="I157:I159" si="181">H157</f>
        <v>7MVANG</v>
      </c>
      <c r="J157" s="204" t="str">
        <f t="shared" ref="J157:J159" si="182">I157</f>
        <v>7MVANG</v>
      </c>
      <c r="K157" s="204">
        <v>100</v>
      </c>
      <c r="L157" s="204">
        <v>7</v>
      </c>
      <c r="N157" s="204" t="str">
        <f t="shared" ref="N157:N159" si="183">F157</f>
        <v>7MVANG</v>
      </c>
      <c r="O157" s="204" t="str">
        <f t="shared" si="112"/>
        <v>7Y_I</v>
      </c>
      <c r="P157" s="204" t="str">
        <f t="shared" si="113"/>
        <v>9Y_I</v>
      </c>
    </row>
    <row r="158" spans="1:16" ht="13" x14ac:dyDescent="0.3">
      <c r="A158" s="25"/>
      <c r="B158">
        <v>7</v>
      </c>
      <c r="C158" s="221" t="s">
        <v>966</v>
      </c>
      <c r="D158" s="221" t="s">
        <v>704</v>
      </c>
      <c r="E158" s="221">
        <f>1</f>
        <v>1</v>
      </c>
      <c r="F158" s="204" t="s">
        <v>852</v>
      </c>
      <c r="G158" s="204" t="str">
        <f t="shared" si="179"/>
        <v>7MVANG</v>
      </c>
      <c r="H158" s="204" t="str">
        <f t="shared" si="180"/>
        <v>7MVANG</v>
      </c>
      <c r="I158" s="204" t="str">
        <f t="shared" si="181"/>
        <v>7MVANG</v>
      </c>
      <c r="J158" s="204" t="str">
        <f t="shared" si="182"/>
        <v>7MVANG</v>
      </c>
      <c r="K158" s="204">
        <v>100</v>
      </c>
      <c r="L158" s="204">
        <v>7</v>
      </c>
      <c r="N158" s="204" t="str">
        <f t="shared" si="183"/>
        <v>7MVANG</v>
      </c>
      <c r="O158" s="204" t="str">
        <f t="shared" si="112"/>
        <v>7Y_I</v>
      </c>
      <c r="P158" s="204" t="str">
        <f t="shared" si="113"/>
        <v>9Y_I</v>
      </c>
    </row>
    <row r="159" spans="1:16" ht="13" x14ac:dyDescent="0.3">
      <c r="A159" s="25"/>
      <c r="B159">
        <v>7</v>
      </c>
      <c r="C159" s="221" t="s">
        <v>967</v>
      </c>
      <c r="D159" s="221" t="s">
        <v>704</v>
      </c>
      <c r="E159" s="221">
        <f>1</f>
        <v>1</v>
      </c>
      <c r="F159" s="204" t="s">
        <v>852</v>
      </c>
      <c r="G159" s="204" t="str">
        <f t="shared" si="179"/>
        <v>7MVANG</v>
      </c>
      <c r="H159" s="204" t="str">
        <f t="shared" si="180"/>
        <v>7MVANG</v>
      </c>
      <c r="I159" s="204" t="str">
        <f t="shared" si="181"/>
        <v>7MVANG</v>
      </c>
      <c r="J159" s="204" t="str">
        <f t="shared" si="182"/>
        <v>7MVANG</v>
      </c>
      <c r="K159" s="204">
        <v>100</v>
      </c>
      <c r="L159" s="204">
        <v>7</v>
      </c>
      <c r="N159" s="204" t="str">
        <f t="shared" si="183"/>
        <v>7MVANG</v>
      </c>
      <c r="O159" s="204" t="str">
        <f t="shared" si="112"/>
        <v>7Y_I</v>
      </c>
      <c r="P159" s="204" t="str">
        <f t="shared" si="113"/>
        <v>9Y_I</v>
      </c>
    </row>
    <row r="160" spans="1:16" ht="13" x14ac:dyDescent="0.3">
      <c r="A160" s="25"/>
      <c r="B160">
        <v>7</v>
      </c>
      <c r="C160" s="221" t="s">
        <v>785</v>
      </c>
      <c r="D160" s="221" t="s">
        <v>704</v>
      </c>
      <c r="E160" s="221">
        <f>1</f>
        <v>1</v>
      </c>
      <c r="F160" s="204" t="s">
        <v>851</v>
      </c>
      <c r="G160" s="204" t="str">
        <f t="shared" si="107"/>
        <v>7NGROP</v>
      </c>
      <c r="H160" s="204" t="str">
        <f t="shared" si="108"/>
        <v>7NGROP</v>
      </c>
      <c r="I160" s="204" t="str">
        <f t="shared" si="109"/>
        <v>7NGROP</v>
      </c>
      <c r="J160" s="204" t="str">
        <f t="shared" si="110"/>
        <v>7NGROP</v>
      </c>
      <c r="K160" s="204">
        <v>100</v>
      </c>
      <c r="L160" s="204">
        <v>7</v>
      </c>
      <c r="N160" s="204" t="str">
        <f t="shared" si="111"/>
        <v>7NGROP</v>
      </c>
      <c r="O160" s="204" t="str">
        <f t="shared" si="112"/>
        <v>7Y_I</v>
      </c>
      <c r="P160" s="204" t="str">
        <f t="shared" si="113"/>
        <v>9Y_I</v>
      </c>
    </row>
    <row r="161" spans="1:16" ht="13" x14ac:dyDescent="0.3">
      <c r="A161" s="25"/>
      <c r="B161">
        <v>7</v>
      </c>
      <c r="C161" s="221" t="s">
        <v>968</v>
      </c>
      <c r="D161" s="221" t="s">
        <v>704</v>
      </c>
      <c r="E161" s="221">
        <f>1</f>
        <v>1</v>
      </c>
      <c r="F161" s="204" t="s">
        <v>851</v>
      </c>
      <c r="G161" s="204" t="str">
        <f t="shared" ref="G161:G163" si="184">F161</f>
        <v>7NGROP</v>
      </c>
      <c r="H161" s="204" t="str">
        <f t="shared" ref="H161:H163" si="185">G161</f>
        <v>7NGROP</v>
      </c>
      <c r="I161" s="204" t="str">
        <f t="shared" ref="I161:I163" si="186">H161</f>
        <v>7NGROP</v>
      </c>
      <c r="J161" s="204" t="str">
        <f t="shared" ref="J161:J163" si="187">I161</f>
        <v>7NGROP</v>
      </c>
      <c r="K161" s="204">
        <v>100</v>
      </c>
      <c r="L161" s="204">
        <v>7</v>
      </c>
      <c r="N161" s="204" t="str">
        <f t="shared" ref="N161:N163" si="188">F161</f>
        <v>7NGROP</v>
      </c>
      <c r="O161" s="204" t="str">
        <f t="shared" si="112"/>
        <v>7Y_I</v>
      </c>
      <c r="P161" s="204" t="str">
        <f t="shared" si="113"/>
        <v>9Y_I</v>
      </c>
    </row>
    <row r="162" spans="1:16" ht="13" x14ac:dyDescent="0.3">
      <c r="A162" s="25"/>
      <c r="B162">
        <v>7</v>
      </c>
      <c r="C162" s="221" t="s">
        <v>969</v>
      </c>
      <c r="D162" s="221" t="s">
        <v>704</v>
      </c>
      <c r="E162" s="221">
        <f>1</f>
        <v>1</v>
      </c>
      <c r="F162" s="204" t="s">
        <v>851</v>
      </c>
      <c r="G162" s="204" t="str">
        <f t="shared" si="184"/>
        <v>7NGROP</v>
      </c>
      <c r="H162" s="204" t="str">
        <f t="shared" si="185"/>
        <v>7NGROP</v>
      </c>
      <c r="I162" s="204" t="str">
        <f t="shared" si="186"/>
        <v>7NGROP</v>
      </c>
      <c r="J162" s="204" t="str">
        <f t="shared" si="187"/>
        <v>7NGROP</v>
      </c>
      <c r="K162" s="204">
        <v>100</v>
      </c>
      <c r="L162" s="204">
        <v>7</v>
      </c>
      <c r="N162" s="204" t="str">
        <f t="shared" si="188"/>
        <v>7NGROP</v>
      </c>
      <c r="O162" s="204" t="str">
        <f t="shared" si="112"/>
        <v>7Y_I</v>
      </c>
      <c r="P162" s="204" t="str">
        <f t="shared" si="113"/>
        <v>9Y_I</v>
      </c>
    </row>
    <row r="163" spans="1:16" ht="13" x14ac:dyDescent="0.3">
      <c r="A163" s="25"/>
      <c r="B163">
        <v>7</v>
      </c>
      <c r="C163" s="221" t="s">
        <v>970</v>
      </c>
      <c r="D163" s="221" t="s">
        <v>704</v>
      </c>
      <c r="E163" s="221">
        <f>1</f>
        <v>1</v>
      </c>
      <c r="F163" s="204" t="s">
        <v>851</v>
      </c>
      <c r="G163" s="204" t="str">
        <f t="shared" si="184"/>
        <v>7NGROP</v>
      </c>
      <c r="H163" s="204" t="str">
        <f t="shared" si="185"/>
        <v>7NGROP</v>
      </c>
      <c r="I163" s="204" t="str">
        <f t="shared" si="186"/>
        <v>7NGROP</v>
      </c>
      <c r="J163" s="204" t="str">
        <f t="shared" si="187"/>
        <v>7NGROP</v>
      </c>
      <c r="K163" s="204">
        <v>100</v>
      </c>
      <c r="L163" s="204">
        <v>7</v>
      </c>
      <c r="N163" s="204" t="str">
        <f t="shared" si="188"/>
        <v>7NGROP</v>
      </c>
      <c r="O163" s="204" t="str">
        <f t="shared" si="112"/>
        <v>7Y_I</v>
      </c>
      <c r="P163" s="204" t="str">
        <f t="shared" si="113"/>
        <v>9Y_I</v>
      </c>
    </row>
    <row r="164" spans="1:16" ht="13" x14ac:dyDescent="0.3">
      <c r="A164" s="25"/>
      <c r="B164">
        <v>7</v>
      </c>
      <c r="C164" s="221" t="s">
        <v>786</v>
      </c>
      <c r="D164" s="221" t="s">
        <v>704</v>
      </c>
      <c r="E164" s="221">
        <f>1</f>
        <v>1</v>
      </c>
      <c r="F164" s="204" t="s">
        <v>852</v>
      </c>
      <c r="G164" s="204" t="str">
        <f t="shared" si="107"/>
        <v>7MVANG</v>
      </c>
      <c r="H164" s="204" t="str">
        <f t="shared" si="108"/>
        <v>7MVANG</v>
      </c>
      <c r="I164" s="204" t="str">
        <f t="shared" si="109"/>
        <v>7MVANG</v>
      </c>
      <c r="J164" s="204" t="str">
        <f t="shared" si="110"/>
        <v>7MVANG</v>
      </c>
      <c r="K164" s="204">
        <v>100</v>
      </c>
      <c r="L164" s="204">
        <v>7</v>
      </c>
      <c r="N164" s="204" t="str">
        <f t="shared" si="111"/>
        <v>7MVANG</v>
      </c>
      <c r="O164" s="204" t="str">
        <f t="shared" si="112"/>
        <v>7Y_I</v>
      </c>
      <c r="P164" s="204" t="str">
        <f t="shared" si="113"/>
        <v>9Y_I</v>
      </c>
    </row>
    <row r="165" spans="1:16" ht="13" x14ac:dyDescent="0.3">
      <c r="A165" s="25"/>
      <c r="B165">
        <v>7</v>
      </c>
      <c r="C165" s="221" t="s">
        <v>971</v>
      </c>
      <c r="D165" s="221" t="s">
        <v>704</v>
      </c>
      <c r="E165" s="221">
        <f>1</f>
        <v>1</v>
      </c>
      <c r="F165" s="204" t="s">
        <v>852</v>
      </c>
      <c r="G165" s="204" t="str">
        <f t="shared" ref="G165:G167" si="189">F165</f>
        <v>7MVANG</v>
      </c>
      <c r="H165" s="204" t="str">
        <f t="shared" ref="H165:H167" si="190">G165</f>
        <v>7MVANG</v>
      </c>
      <c r="I165" s="204" t="str">
        <f t="shared" ref="I165:I167" si="191">H165</f>
        <v>7MVANG</v>
      </c>
      <c r="J165" s="204" t="str">
        <f t="shared" ref="J165:J167" si="192">I165</f>
        <v>7MVANG</v>
      </c>
      <c r="K165" s="204">
        <v>100</v>
      </c>
      <c r="L165" s="204">
        <v>7</v>
      </c>
      <c r="N165" s="204" t="str">
        <f t="shared" ref="N165:N167" si="193">F165</f>
        <v>7MVANG</v>
      </c>
      <c r="O165" s="204" t="str">
        <f t="shared" si="112"/>
        <v>7Y_I</v>
      </c>
      <c r="P165" s="204" t="str">
        <f t="shared" si="113"/>
        <v>9Y_I</v>
      </c>
    </row>
    <row r="166" spans="1:16" ht="13" x14ac:dyDescent="0.3">
      <c r="A166" s="25"/>
      <c r="B166">
        <v>7</v>
      </c>
      <c r="C166" s="221" t="s">
        <v>972</v>
      </c>
      <c r="D166" s="221" t="s">
        <v>704</v>
      </c>
      <c r="E166" s="221">
        <f>1</f>
        <v>1</v>
      </c>
      <c r="F166" s="204" t="s">
        <v>852</v>
      </c>
      <c r="G166" s="204" t="str">
        <f t="shared" si="189"/>
        <v>7MVANG</v>
      </c>
      <c r="H166" s="204" t="str">
        <f t="shared" si="190"/>
        <v>7MVANG</v>
      </c>
      <c r="I166" s="204" t="str">
        <f t="shared" si="191"/>
        <v>7MVANG</v>
      </c>
      <c r="J166" s="204" t="str">
        <f t="shared" si="192"/>
        <v>7MVANG</v>
      </c>
      <c r="K166" s="204">
        <v>100</v>
      </c>
      <c r="L166" s="204">
        <v>7</v>
      </c>
      <c r="N166" s="204" t="str">
        <f t="shared" si="193"/>
        <v>7MVANG</v>
      </c>
      <c r="O166" s="204" t="str">
        <f t="shared" si="112"/>
        <v>7Y_I</v>
      </c>
      <c r="P166" s="204" t="str">
        <f t="shared" si="113"/>
        <v>9Y_I</v>
      </c>
    </row>
    <row r="167" spans="1:16" ht="13" x14ac:dyDescent="0.3">
      <c r="A167" s="25"/>
      <c r="B167">
        <v>7</v>
      </c>
      <c r="C167" s="221" t="s">
        <v>973</v>
      </c>
      <c r="D167" s="221" t="s">
        <v>704</v>
      </c>
      <c r="E167" s="221">
        <f>1</f>
        <v>1</v>
      </c>
      <c r="F167" s="204" t="s">
        <v>852</v>
      </c>
      <c r="G167" s="204" t="str">
        <f t="shared" si="189"/>
        <v>7MVANG</v>
      </c>
      <c r="H167" s="204" t="str">
        <f t="shared" si="190"/>
        <v>7MVANG</v>
      </c>
      <c r="I167" s="204" t="str">
        <f t="shared" si="191"/>
        <v>7MVANG</v>
      </c>
      <c r="J167" s="204" t="str">
        <f t="shared" si="192"/>
        <v>7MVANG</v>
      </c>
      <c r="K167" s="204">
        <v>100</v>
      </c>
      <c r="L167" s="204">
        <v>7</v>
      </c>
      <c r="N167" s="204" t="str">
        <f t="shared" si="193"/>
        <v>7MVANG</v>
      </c>
      <c r="O167" s="204" t="str">
        <f t="shared" si="112"/>
        <v>7Y_I</v>
      </c>
      <c r="P167" s="204" t="str">
        <f t="shared" si="113"/>
        <v>9Y_I</v>
      </c>
    </row>
    <row r="168" spans="1:16" ht="13" x14ac:dyDescent="0.3">
      <c r="A168" s="25"/>
      <c r="B168">
        <v>10</v>
      </c>
      <c r="C168" s="221" t="s">
        <v>787</v>
      </c>
      <c r="D168" s="221" t="s">
        <v>704</v>
      </c>
      <c r="E168" s="221">
        <f>1</f>
        <v>1</v>
      </c>
      <c r="F168" s="204" t="s">
        <v>853</v>
      </c>
      <c r="G168" s="204" t="str">
        <f t="shared" si="107"/>
        <v>10MVANG</v>
      </c>
      <c r="H168" s="204" t="str">
        <f t="shared" si="108"/>
        <v>10MVANG</v>
      </c>
      <c r="I168" s="204" t="str">
        <f t="shared" si="109"/>
        <v>10MVANG</v>
      </c>
      <c r="J168" s="204" t="str">
        <f t="shared" si="110"/>
        <v>10MVANG</v>
      </c>
      <c r="K168" s="204">
        <v>100</v>
      </c>
      <c r="L168" s="204">
        <v>7</v>
      </c>
      <c r="N168" s="204" t="str">
        <f t="shared" si="111"/>
        <v>10MVANG</v>
      </c>
      <c r="O168" s="204" t="str">
        <f t="shared" si="112"/>
        <v>10Y_I</v>
      </c>
      <c r="P168" s="204" t="str">
        <f t="shared" si="113"/>
        <v>12Y_I</v>
      </c>
    </row>
    <row r="169" spans="1:16" ht="13" x14ac:dyDescent="0.3">
      <c r="A169" s="25"/>
      <c r="B169">
        <v>10</v>
      </c>
      <c r="C169" s="221" t="s">
        <v>974</v>
      </c>
      <c r="D169" s="221" t="s">
        <v>704</v>
      </c>
      <c r="E169" s="221">
        <f>1</f>
        <v>1</v>
      </c>
      <c r="F169" s="204" t="s">
        <v>853</v>
      </c>
      <c r="G169" s="204" t="str">
        <f t="shared" ref="G169:G171" si="194">F169</f>
        <v>10MVANG</v>
      </c>
      <c r="H169" s="204" t="str">
        <f t="shared" ref="H169:H171" si="195">G169</f>
        <v>10MVANG</v>
      </c>
      <c r="I169" s="204" t="str">
        <f t="shared" ref="I169:I171" si="196">H169</f>
        <v>10MVANG</v>
      </c>
      <c r="J169" s="204" t="str">
        <f t="shared" ref="J169:J171" si="197">I169</f>
        <v>10MVANG</v>
      </c>
      <c r="K169" s="204">
        <v>100</v>
      </c>
      <c r="L169" s="204">
        <v>7</v>
      </c>
      <c r="N169" s="204" t="str">
        <f t="shared" ref="N169:N171" si="198">F169</f>
        <v>10MVANG</v>
      </c>
      <c r="O169" s="204" t="str">
        <f t="shared" si="112"/>
        <v>10Y_I</v>
      </c>
      <c r="P169" s="204" t="str">
        <f t="shared" si="113"/>
        <v>12Y_I</v>
      </c>
    </row>
    <row r="170" spans="1:16" ht="13" x14ac:dyDescent="0.3">
      <c r="A170" s="25"/>
      <c r="B170">
        <v>10</v>
      </c>
      <c r="C170" s="221" t="s">
        <v>975</v>
      </c>
      <c r="D170" s="221" t="s">
        <v>704</v>
      </c>
      <c r="E170" s="221">
        <f>1</f>
        <v>1</v>
      </c>
      <c r="F170" s="204" t="s">
        <v>853</v>
      </c>
      <c r="G170" s="204" t="str">
        <f t="shared" si="194"/>
        <v>10MVANG</v>
      </c>
      <c r="H170" s="204" t="str">
        <f t="shared" si="195"/>
        <v>10MVANG</v>
      </c>
      <c r="I170" s="204" t="str">
        <f t="shared" si="196"/>
        <v>10MVANG</v>
      </c>
      <c r="J170" s="204" t="str">
        <f t="shared" si="197"/>
        <v>10MVANG</v>
      </c>
      <c r="K170" s="204">
        <v>100</v>
      </c>
      <c r="L170" s="204">
        <v>7</v>
      </c>
      <c r="N170" s="204" t="str">
        <f t="shared" si="198"/>
        <v>10MVANG</v>
      </c>
      <c r="O170" s="204" t="str">
        <f t="shared" si="112"/>
        <v>10Y_I</v>
      </c>
      <c r="P170" s="204" t="str">
        <f t="shared" si="113"/>
        <v>12Y_I</v>
      </c>
    </row>
    <row r="171" spans="1:16" ht="13" x14ac:dyDescent="0.3">
      <c r="A171" s="25"/>
      <c r="B171">
        <v>10</v>
      </c>
      <c r="C171" s="221" t="s">
        <v>976</v>
      </c>
      <c r="D171" s="221" t="s">
        <v>704</v>
      </c>
      <c r="E171" s="221">
        <f>1</f>
        <v>1</v>
      </c>
      <c r="F171" s="204" t="s">
        <v>853</v>
      </c>
      <c r="G171" s="204" t="str">
        <f t="shared" si="194"/>
        <v>10MVANG</v>
      </c>
      <c r="H171" s="204" t="str">
        <f t="shared" si="195"/>
        <v>10MVANG</v>
      </c>
      <c r="I171" s="204" t="str">
        <f t="shared" si="196"/>
        <v>10MVANG</v>
      </c>
      <c r="J171" s="204" t="str">
        <f t="shared" si="197"/>
        <v>10MVANG</v>
      </c>
      <c r="K171" s="204">
        <v>100</v>
      </c>
      <c r="L171" s="204">
        <v>7</v>
      </c>
      <c r="N171" s="204" t="str">
        <f t="shared" si="198"/>
        <v>10MVANG</v>
      </c>
      <c r="O171" s="204" t="str">
        <f t="shared" si="112"/>
        <v>10Y_I</v>
      </c>
      <c r="P171" s="204" t="str">
        <f t="shared" si="113"/>
        <v>12Y_I</v>
      </c>
    </row>
    <row r="172" spans="1:16" ht="13" x14ac:dyDescent="0.3">
      <c r="A172" s="25"/>
      <c r="B172">
        <v>10</v>
      </c>
      <c r="C172" s="221" t="s">
        <v>788</v>
      </c>
      <c r="D172" s="221" t="s">
        <v>704</v>
      </c>
      <c r="E172" s="221">
        <f>1</f>
        <v>1</v>
      </c>
      <c r="F172" s="204" t="s">
        <v>853</v>
      </c>
      <c r="G172" s="204" t="str">
        <f t="shared" si="107"/>
        <v>10MVANG</v>
      </c>
      <c r="H172" s="204" t="str">
        <f t="shared" si="108"/>
        <v>10MVANG</v>
      </c>
      <c r="I172" s="204" t="str">
        <f t="shared" si="109"/>
        <v>10MVANG</v>
      </c>
      <c r="J172" s="204" t="str">
        <f t="shared" si="110"/>
        <v>10MVANG</v>
      </c>
      <c r="K172" s="204">
        <v>100</v>
      </c>
      <c r="L172" s="204">
        <v>7</v>
      </c>
      <c r="N172" s="204" t="str">
        <f t="shared" si="111"/>
        <v>10MVANG</v>
      </c>
      <c r="O172" s="204" t="str">
        <f t="shared" si="112"/>
        <v>10Y_I</v>
      </c>
      <c r="P172" s="204" t="str">
        <f t="shared" si="113"/>
        <v>12Y_I</v>
      </c>
    </row>
    <row r="173" spans="1:16" ht="13" x14ac:dyDescent="0.3">
      <c r="A173" s="25"/>
      <c r="B173">
        <v>10</v>
      </c>
      <c r="C173" s="221" t="s">
        <v>977</v>
      </c>
      <c r="D173" s="221" t="s">
        <v>704</v>
      </c>
      <c r="E173" s="221">
        <f>1</f>
        <v>1</v>
      </c>
      <c r="F173" s="204" t="s">
        <v>853</v>
      </c>
      <c r="G173" s="204" t="str">
        <f t="shared" ref="G173:G175" si="199">F173</f>
        <v>10MVANG</v>
      </c>
      <c r="H173" s="204" t="str">
        <f t="shared" ref="H173:H175" si="200">G173</f>
        <v>10MVANG</v>
      </c>
      <c r="I173" s="204" t="str">
        <f t="shared" ref="I173:I175" si="201">H173</f>
        <v>10MVANG</v>
      </c>
      <c r="J173" s="204" t="str">
        <f t="shared" ref="J173:J175" si="202">I173</f>
        <v>10MVANG</v>
      </c>
      <c r="K173" s="204">
        <v>100</v>
      </c>
      <c r="L173" s="204">
        <v>7</v>
      </c>
      <c r="N173" s="204" t="str">
        <f t="shared" ref="N173:N175" si="203">F173</f>
        <v>10MVANG</v>
      </c>
      <c r="O173" s="204" t="str">
        <f t="shared" si="112"/>
        <v>10Y_I</v>
      </c>
      <c r="P173" s="204" t="str">
        <f t="shared" si="113"/>
        <v>12Y_I</v>
      </c>
    </row>
    <row r="174" spans="1:16" ht="13" x14ac:dyDescent="0.3">
      <c r="A174" s="25"/>
      <c r="B174">
        <v>10</v>
      </c>
      <c r="C174" s="221" t="s">
        <v>978</v>
      </c>
      <c r="D174" s="221" t="s">
        <v>704</v>
      </c>
      <c r="E174" s="221">
        <f>1</f>
        <v>1</v>
      </c>
      <c r="F174" s="204" t="s">
        <v>853</v>
      </c>
      <c r="G174" s="204" t="str">
        <f t="shared" si="199"/>
        <v>10MVANG</v>
      </c>
      <c r="H174" s="204" t="str">
        <f t="shared" si="200"/>
        <v>10MVANG</v>
      </c>
      <c r="I174" s="204" t="str">
        <f t="shared" si="201"/>
        <v>10MVANG</v>
      </c>
      <c r="J174" s="204" t="str">
        <f t="shared" si="202"/>
        <v>10MVANG</v>
      </c>
      <c r="K174" s="204">
        <v>100</v>
      </c>
      <c r="L174" s="204">
        <v>7</v>
      </c>
      <c r="N174" s="204" t="str">
        <f t="shared" si="203"/>
        <v>10MVANG</v>
      </c>
      <c r="O174" s="204" t="str">
        <f t="shared" si="112"/>
        <v>10Y_I</v>
      </c>
      <c r="P174" s="204" t="str">
        <f t="shared" si="113"/>
        <v>12Y_I</v>
      </c>
    </row>
    <row r="175" spans="1:16" ht="13" x14ac:dyDescent="0.3">
      <c r="A175" s="25"/>
      <c r="B175">
        <v>10</v>
      </c>
      <c r="C175" s="221" t="s">
        <v>979</v>
      </c>
      <c r="D175" s="221" t="s">
        <v>704</v>
      </c>
      <c r="E175" s="221">
        <f>1</f>
        <v>1</v>
      </c>
      <c r="F175" s="204" t="s">
        <v>853</v>
      </c>
      <c r="G175" s="204" t="str">
        <f t="shared" si="199"/>
        <v>10MVANG</v>
      </c>
      <c r="H175" s="204" t="str">
        <f t="shared" si="200"/>
        <v>10MVANG</v>
      </c>
      <c r="I175" s="204" t="str">
        <f t="shared" si="201"/>
        <v>10MVANG</v>
      </c>
      <c r="J175" s="204" t="str">
        <f t="shared" si="202"/>
        <v>10MVANG</v>
      </c>
      <c r="K175" s="204">
        <v>100</v>
      </c>
      <c r="L175" s="204">
        <v>7</v>
      </c>
      <c r="N175" s="204" t="str">
        <f t="shared" si="203"/>
        <v>10MVANG</v>
      </c>
      <c r="O175" s="204" t="str">
        <f t="shared" si="112"/>
        <v>10Y_I</v>
      </c>
      <c r="P175" s="204" t="str">
        <f t="shared" si="113"/>
        <v>12Y_I</v>
      </c>
    </row>
    <row r="176" spans="1:16" ht="13" x14ac:dyDescent="0.3">
      <c r="A176" s="25"/>
      <c r="B176">
        <v>10</v>
      </c>
      <c r="C176" s="221" t="s">
        <v>789</v>
      </c>
      <c r="D176" s="221" t="s">
        <v>704</v>
      </c>
      <c r="E176" s="221">
        <f>1</f>
        <v>1</v>
      </c>
      <c r="F176" s="204" t="s">
        <v>853</v>
      </c>
      <c r="G176" s="204" t="str">
        <f t="shared" si="107"/>
        <v>10MVANG</v>
      </c>
      <c r="H176" s="204" t="str">
        <f t="shared" si="108"/>
        <v>10MVANG</v>
      </c>
      <c r="I176" s="204" t="str">
        <f t="shared" si="109"/>
        <v>10MVANG</v>
      </c>
      <c r="J176" s="204" t="str">
        <f t="shared" si="110"/>
        <v>10MVANG</v>
      </c>
      <c r="K176" s="204">
        <v>100</v>
      </c>
      <c r="L176" s="204">
        <v>7</v>
      </c>
      <c r="N176" s="204" t="str">
        <f t="shared" si="111"/>
        <v>10MVANG</v>
      </c>
      <c r="O176" s="204" t="str">
        <f t="shared" si="112"/>
        <v>10Y_I</v>
      </c>
      <c r="P176" s="204" t="str">
        <f t="shared" si="113"/>
        <v>12Y_I</v>
      </c>
    </row>
    <row r="177" spans="1:16" ht="13" x14ac:dyDescent="0.3">
      <c r="A177" s="25"/>
      <c r="B177">
        <v>10</v>
      </c>
      <c r="C177" s="221" t="s">
        <v>980</v>
      </c>
      <c r="D177" s="221" t="s">
        <v>704</v>
      </c>
      <c r="E177" s="221">
        <f>1</f>
        <v>1</v>
      </c>
      <c r="F177" s="204" t="s">
        <v>853</v>
      </c>
      <c r="G177" s="204" t="str">
        <f t="shared" ref="G177:G179" si="204">F177</f>
        <v>10MVANG</v>
      </c>
      <c r="H177" s="204" t="str">
        <f t="shared" ref="H177:H179" si="205">G177</f>
        <v>10MVANG</v>
      </c>
      <c r="I177" s="204" t="str">
        <f t="shared" ref="I177:I179" si="206">H177</f>
        <v>10MVANG</v>
      </c>
      <c r="J177" s="204" t="str">
        <f t="shared" ref="J177:J179" si="207">I177</f>
        <v>10MVANG</v>
      </c>
      <c r="K177" s="204">
        <v>100</v>
      </c>
      <c r="L177" s="204">
        <v>7</v>
      </c>
      <c r="N177" s="204" t="str">
        <f t="shared" ref="N177:N179" si="208">F177</f>
        <v>10MVANG</v>
      </c>
      <c r="O177" s="204" t="str">
        <f t="shared" si="112"/>
        <v>10Y_I</v>
      </c>
      <c r="P177" s="204" t="str">
        <f t="shared" si="113"/>
        <v>12Y_I</v>
      </c>
    </row>
    <row r="178" spans="1:16" ht="13" x14ac:dyDescent="0.3">
      <c r="A178" s="25"/>
      <c r="B178">
        <v>10</v>
      </c>
      <c r="C178" s="221" t="s">
        <v>981</v>
      </c>
      <c r="D178" s="221" t="s">
        <v>704</v>
      </c>
      <c r="E178" s="221">
        <f>1</f>
        <v>1</v>
      </c>
      <c r="F178" s="204" t="s">
        <v>853</v>
      </c>
      <c r="G178" s="204" t="str">
        <f t="shared" si="204"/>
        <v>10MVANG</v>
      </c>
      <c r="H178" s="204" t="str">
        <f t="shared" si="205"/>
        <v>10MVANG</v>
      </c>
      <c r="I178" s="204" t="str">
        <f t="shared" si="206"/>
        <v>10MVANG</v>
      </c>
      <c r="J178" s="204" t="str">
        <f t="shared" si="207"/>
        <v>10MVANG</v>
      </c>
      <c r="K178" s="204">
        <v>100</v>
      </c>
      <c r="L178" s="204">
        <v>7</v>
      </c>
      <c r="N178" s="204" t="str">
        <f t="shared" si="208"/>
        <v>10MVANG</v>
      </c>
      <c r="O178" s="204" t="str">
        <f t="shared" si="112"/>
        <v>10Y_I</v>
      </c>
      <c r="P178" s="204" t="str">
        <f t="shared" si="113"/>
        <v>12Y_I</v>
      </c>
    </row>
    <row r="179" spans="1:16" ht="13" x14ac:dyDescent="0.3">
      <c r="A179" s="25"/>
      <c r="B179">
        <v>10</v>
      </c>
      <c r="C179" s="221" t="s">
        <v>982</v>
      </c>
      <c r="D179" s="221" t="s">
        <v>704</v>
      </c>
      <c r="E179" s="221">
        <f>1</f>
        <v>1</v>
      </c>
      <c r="F179" s="204" t="s">
        <v>853</v>
      </c>
      <c r="G179" s="204" t="str">
        <f t="shared" si="204"/>
        <v>10MVANG</v>
      </c>
      <c r="H179" s="204" t="str">
        <f t="shared" si="205"/>
        <v>10MVANG</v>
      </c>
      <c r="I179" s="204" t="str">
        <f t="shared" si="206"/>
        <v>10MVANG</v>
      </c>
      <c r="J179" s="204" t="str">
        <f t="shared" si="207"/>
        <v>10MVANG</v>
      </c>
      <c r="K179" s="204">
        <v>100</v>
      </c>
      <c r="L179" s="204">
        <v>7</v>
      </c>
      <c r="N179" s="204" t="str">
        <f t="shared" si="208"/>
        <v>10MVANG</v>
      </c>
      <c r="O179" s="204" t="str">
        <f t="shared" si="112"/>
        <v>10Y_I</v>
      </c>
      <c r="P179" s="204" t="str">
        <f t="shared" si="113"/>
        <v>12Y_I</v>
      </c>
    </row>
    <row r="180" spans="1:16" ht="13" x14ac:dyDescent="0.3">
      <c r="A180" s="25"/>
      <c r="B180">
        <v>10</v>
      </c>
      <c r="C180" s="221" t="s">
        <v>790</v>
      </c>
      <c r="D180" s="221" t="s">
        <v>704</v>
      </c>
      <c r="E180" s="221">
        <f>1</f>
        <v>1</v>
      </c>
      <c r="F180" s="204" t="s">
        <v>853</v>
      </c>
      <c r="G180" s="204" t="str">
        <f t="shared" si="107"/>
        <v>10MVANG</v>
      </c>
      <c r="H180" s="204" t="str">
        <f t="shared" si="108"/>
        <v>10MVANG</v>
      </c>
      <c r="I180" s="204" t="str">
        <f t="shared" si="109"/>
        <v>10MVANG</v>
      </c>
      <c r="J180" s="204" t="str">
        <f t="shared" si="110"/>
        <v>10MVANG</v>
      </c>
      <c r="K180" s="204">
        <v>100</v>
      </c>
      <c r="L180" s="204">
        <v>7</v>
      </c>
      <c r="N180" s="204" t="str">
        <f t="shared" si="111"/>
        <v>10MVANG</v>
      </c>
      <c r="O180" s="204" t="str">
        <f t="shared" si="112"/>
        <v>10Y_I</v>
      </c>
      <c r="P180" s="204" t="str">
        <f t="shared" si="113"/>
        <v>12Y_I</v>
      </c>
    </row>
    <row r="181" spans="1:16" ht="13" x14ac:dyDescent="0.3">
      <c r="A181" s="25"/>
      <c r="B181">
        <v>10</v>
      </c>
      <c r="C181" s="221" t="s">
        <v>983</v>
      </c>
      <c r="D181" s="221" t="s">
        <v>704</v>
      </c>
      <c r="E181" s="221">
        <f>1</f>
        <v>1</v>
      </c>
      <c r="F181" s="204" t="s">
        <v>853</v>
      </c>
      <c r="G181" s="204" t="str">
        <f t="shared" ref="G181:G183" si="209">F181</f>
        <v>10MVANG</v>
      </c>
      <c r="H181" s="204" t="str">
        <f t="shared" ref="H181:H183" si="210">G181</f>
        <v>10MVANG</v>
      </c>
      <c r="I181" s="204" t="str">
        <f t="shared" ref="I181:I183" si="211">H181</f>
        <v>10MVANG</v>
      </c>
      <c r="J181" s="204" t="str">
        <f t="shared" ref="J181:J183" si="212">I181</f>
        <v>10MVANG</v>
      </c>
      <c r="K181" s="204">
        <v>100</v>
      </c>
      <c r="L181" s="204">
        <v>7</v>
      </c>
      <c r="N181" s="204" t="str">
        <f t="shared" ref="N181:N183" si="213">F181</f>
        <v>10MVANG</v>
      </c>
      <c r="O181" s="204" t="str">
        <f t="shared" si="112"/>
        <v>10Y_I</v>
      </c>
      <c r="P181" s="204" t="str">
        <f t="shared" si="113"/>
        <v>12Y_I</v>
      </c>
    </row>
    <row r="182" spans="1:16" ht="13" x14ac:dyDescent="0.3">
      <c r="A182" s="25"/>
      <c r="B182">
        <v>10</v>
      </c>
      <c r="C182" s="221" t="s">
        <v>984</v>
      </c>
      <c r="D182" s="221" t="s">
        <v>704</v>
      </c>
      <c r="E182" s="221">
        <f>1</f>
        <v>1</v>
      </c>
      <c r="F182" s="204" t="s">
        <v>853</v>
      </c>
      <c r="G182" s="204" t="str">
        <f t="shared" si="209"/>
        <v>10MVANG</v>
      </c>
      <c r="H182" s="204" t="str">
        <f t="shared" si="210"/>
        <v>10MVANG</v>
      </c>
      <c r="I182" s="204" t="str">
        <f t="shared" si="211"/>
        <v>10MVANG</v>
      </c>
      <c r="J182" s="204" t="str">
        <f t="shared" si="212"/>
        <v>10MVANG</v>
      </c>
      <c r="K182" s="204">
        <v>100</v>
      </c>
      <c r="L182" s="204">
        <v>7</v>
      </c>
      <c r="N182" s="204" t="str">
        <f t="shared" si="213"/>
        <v>10MVANG</v>
      </c>
      <c r="O182" s="204" t="str">
        <f t="shared" si="112"/>
        <v>10Y_I</v>
      </c>
      <c r="P182" s="204" t="str">
        <f t="shared" si="113"/>
        <v>12Y_I</v>
      </c>
    </row>
    <row r="183" spans="1:16" ht="13" x14ac:dyDescent="0.3">
      <c r="A183" s="25"/>
      <c r="B183">
        <v>10</v>
      </c>
      <c r="C183" s="221" t="s">
        <v>985</v>
      </c>
      <c r="D183" s="221" t="s">
        <v>704</v>
      </c>
      <c r="E183" s="221">
        <f>1</f>
        <v>1</v>
      </c>
      <c r="F183" s="204" t="s">
        <v>853</v>
      </c>
      <c r="G183" s="204" t="str">
        <f t="shared" si="209"/>
        <v>10MVANG</v>
      </c>
      <c r="H183" s="204" t="str">
        <f t="shared" si="210"/>
        <v>10MVANG</v>
      </c>
      <c r="I183" s="204" t="str">
        <f t="shared" si="211"/>
        <v>10MVANG</v>
      </c>
      <c r="J183" s="204" t="str">
        <f t="shared" si="212"/>
        <v>10MVANG</v>
      </c>
      <c r="K183" s="204">
        <v>100</v>
      </c>
      <c r="L183" s="204">
        <v>7</v>
      </c>
      <c r="N183" s="204" t="str">
        <f t="shared" si="213"/>
        <v>10MVANG</v>
      </c>
      <c r="O183" s="204" t="str">
        <f t="shared" si="112"/>
        <v>10Y_I</v>
      </c>
      <c r="P183" s="204" t="str">
        <f t="shared" si="113"/>
        <v>12Y_I</v>
      </c>
    </row>
    <row r="184" spans="1:16" ht="13" x14ac:dyDescent="0.3">
      <c r="A184" s="25"/>
      <c r="B184">
        <v>3</v>
      </c>
      <c r="C184" s="221" t="s">
        <v>791</v>
      </c>
      <c r="D184" s="221" t="s">
        <v>704</v>
      </c>
      <c r="E184" s="221">
        <f>1</f>
        <v>1</v>
      </c>
      <c r="F184" s="204" t="s">
        <v>843</v>
      </c>
      <c r="G184" s="204" t="str">
        <f t="shared" si="107"/>
        <v>3GROP</v>
      </c>
      <c r="H184" s="204" t="str">
        <f t="shared" si="108"/>
        <v>3GROP</v>
      </c>
      <c r="I184" s="204" t="str">
        <f t="shared" si="109"/>
        <v>3GROP</v>
      </c>
      <c r="J184" s="204" t="str">
        <f t="shared" si="110"/>
        <v>3GROP</v>
      </c>
      <c r="K184" s="204">
        <v>100</v>
      </c>
      <c r="L184" s="204">
        <v>7</v>
      </c>
      <c r="N184" s="204" t="str">
        <f t="shared" si="111"/>
        <v>3GROP</v>
      </c>
      <c r="O184" s="204" t="str">
        <f t="shared" si="112"/>
        <v>3Y_I</v>
      </c>
      <c r="P184" s="204" t="str">
        <f t="shared" si="113"/>
        <v>5Y_I</v>
      </c>
    </row>
    <row r="185" spans="1:16" ht="13" x14ac:dyDescent="0.3">
      <c r="A185" s="25"/>
      <c r="B185">
        <v>3</v>
      </c>
      <c r="C185" s="221" t="s">
        <v>992</v>
      </c>
      <c r="D185" s="221" t="s">
        <v>704</v>
      </c>
      <c r="E185" s="221">
        <f>1</f>
        <v>1</v>
      </c>
      <c r="F185" s="204" t="s">
        <v>843</v>
      </c>
      <c r="G185" s="204" t="str">
        <f t="shared" ref="G185:G187" si="214">F185</f>
        <v>3GROP</v>
      </c>
      <c r="H185" s="204" t="str">
        <f t="shared" ref="H185:H187" si="215">G185</f>
        <v>3GROP</v>
      </c>
      <c r="I185" s="204" t="str">
        <f t="shared" ref="I185:I187" si="216">H185</f>
        <v>3GROP</v>
      </c>
      <c r="J185" s="204" t="str">
        <f t="shared" ref="J185:J187" si="217">I185</f>
        <v>3GROP</v>
      </c>
      <c r="K185" s="204">
        <v>100</v>
      </c>
      <c r="L185" s="204">
        <v>7</v>
      </c>
      <c r="N185" s="204" t="str">
        <f t="shared" ref="N185:N187" si="218">F185</f>
        <v>3GROP</v>
      </c>
      <c r="O185" s="204" t="str">
        <f t="shared" si="112"/>
        <v>3Y_I</v>
      </c>
      <c r="P185" s="204" t="str">
        <f t="shared" si="113"/>
        <v>5Y_I</v>
      </c>
    </row>
    <row r="186" spans="1:16" ht="13" x14ac:dyDescent="0.3">
      <c r="A186" s="25"/>
      <c r="B186">
        <v>3</v>
      </c>
      <c r="C186" s="221" t="s">
        <v>993</v>
      </c>
      <c r="D186" s="221" t="s">
        <v>704</v>
      </c>
      <c r="E186" s="221">
        <f>1</f>
        <v>1</v>
      </c>
      <c r="F186" s="204" t="s">
        <v>843</v>
      </c>
      <c r="G186" s="204" t="str">
        <f t="shared" si="214"/>
        <v>3GROP</v>
      </c>
      <c r="H186" s="204" t="str">
        <f t="shared" si="215"/>
        <v>3GROP</v>
      </c>
      <c r="I186" s="204" t="str">
        <f t="shared" si="216"/>
        <v>3GROP</v>
      </c>
      <c r="J186" s="204" t="str">
        <f t="shared" si="217"/>
        <v>3GROP</v>
      </c>
      <c r="K186" s="204">
        <v>100</v>
      </c>
      <c r="L186" s="204">
        <v>7</v>
      </c>
      <c r="N186" s="204" t="str">
        <f t="shared" si="218"/>
        <v>3GROP</v>
      </c>
      <c r="O186" s="204" t="str">
        <f t="shared" si="112"/>
        <v>3Y_I</v>
      </c>
      <c r="P186" s="204" t="str">
        <f t="shared" si="113"/>
        <v>5Y_I</v>
      </c>
    </row>
    <row r="187" spans="1:16" ht="13" x14ac:dyDescent="0.3">
      <c r="A187" s="25"/>
      <c r="B187">
        <v>3</v>
      </c>
      <c r="C187" s="221" t="s">
        <v>994</v>
      </c>
      <c r="D187" s="221" t="s">
        <v>704</v>
      </c>
      <c r="E187" s="221">
        <f>1</f>
        <v>1</v>
      </c>
      <c r="F187" s="204" t="s">
        <v>843</v>
      </c>
      <c r="G187" s="204" t="str">
        <f t="shared" si="214"/>
        <v>3GROP</v>
      </c>
      <c r="H187" s="204" t="str">
        <f t="shared" si="215"/>
        <v>3GROP</v>
      </c>
      <c r="I187" s="204" t="str">
        <f t="shared" si="216"/>
        <v>3GROP</v>
      </c>
      <c r="J187" s="204" t="str">
        <f t="shared" si="217"/>
        <v>3GROP</v>
      </c>
      <c r="K187" s="204">
        <v>100</v>
      </c>
      <c r="L187" s="204">
        <v>7</v>
      </c>
      <c r="N187" s="204" t="str">
        <f t="shared" si="218"/>
        <v>3GROP</v>
      </c>
      <c r="O187" s="204" t="str">
        <f t="shared" si="112"/>
        <v>3Y_I</v>
      </c>
      <c r="P187" s="204" t="str">
        <f t="shared" si="113"/>
        <v>5Y_I</v>
      </c>
    </row>
    <row r="188" spans="1:16" ht="13" x14ac:dyDescent="0.3">
      <c r="A188" s="25"/>
      <c r="B188">
        <v>3</v>
      </c>
      <c r="C188" s="221" t="s">
        <v>792</v>
      </c>
      <c r="D188" s="221" t="s">
        <v>704</v>
      </c>
      <c r="E188" s="221">
        <f>1</f>
        <v>1</v>
      </c>
      <c r="F188" s="204" t="s">
        <v>847</v>
      </c>
      <c r="G188" s="204" t="str">
        <f t="shared" si="107"/>
        <v>3MVANG</v>
      </c>
      <c r="H188" s="204" t="str">
        <f t="shared" si="108"/>
        <v>3MVANG</v>
      </c>
      <c r="I188" s="204" t="str">
        <f t="shared" si="109"/>
        <v>3MVANG</v>
      </c>
      <c r="J188" s="204" t="str">
        <f t="shared" si="110"/>
        <v>3MVANG</v>
      </c>
      <c r="K188" s="204">
        <v>100</v>
      </c>
      <c r="L188" s="204">
        <v>7</v>
      </c>
      <c r="N188" s="204" t="str">
        <f t="shared" si="111"/>
        <v>3MVANG</v>
      </c>
      <c r="O188" s="204" t="str">
        <f t="shared" si="112"/>
        <v>3Y_I</v>
      </c>
      <c r="P188" s="204" t="str">
        <f t="shared" si="113"/>
        <v>5Y_I</v>
      </c>
    </row>
    <row r="189" spans="1:16" ht="13" x14ac:dyDescent="0.3">
      <c r="A189" s="25"/>
      <c r="B189">
        <v>3</v>
      </c>
      <c r="C189" s="221" t="s">
        <v>995</v>
      </c>
      <c r="D189" s="221" t="s">
        <v>704</v>
      </c>
      <c r="E189" s="221">
        <f>1</f>
        <v>1</v>
      </c>
      <c r="F189" s="204" t="s">
        <v>847</v>
      </c>
      <c r="G189" s="204" t="str">
        <f t="shared" ref="G189:G191" si="219">F189</f>
        <v>3MVANG</v>
      </c>
      <c r="H189" s="204" t="str">
        <f t="shared" ref="H189:H191" si="220">G189</f>
        <v>3MVANG</v>
      </c>
      <c r="I189" s="204" t="str">
        <f t="shared" ref="I189:I191" si="221">H189</f>
        <v>3MVANG</v>
      </c>
      <c r="J189" s="204" t="str">
        <f t="shared" ref="J189:J191" si="222">I189</f>
        <v>3MVANG</v>
      </c>
      <c r="K189" s="204">
        <v>100</v>
      </c>
      <c r="L189" s="204">
        <v>7</v>
      </c>
      <c r="N189" s="204" t="str">
        <f t="shared" ref="N189:N191" si="223">F189</f>
        <v>3MVANG</v>
      </c>
      <c r="O189" s="204" t="str">
        <f t="shared" si="112"/>
        <v>3Y_I</v>
      </c>
      <c r="P189" s="204" t="str">
        <f t="shared" si="113"/>
        <v>5Y_I</v>
      </c>
    </row>
    <row r="190" spans="1:16" ht="13" x14ac:dyDescent="0.3">
      <c r="A190" s="25"/>
      <c r="B190">
        <v>3</v>
      </c>
      <c r="C190" s="221" t="s">
        <v>996</v>
      </c>
      <c r="D190" s="221" t="s">
        <v>704</v>
      </c>
      <c r="E190" s="221">
        <f>1</f>
        <v>1</v>
      </c>
      <c r="F190" s="204" t="s">
        <v>847</v>
      </c>
      <c r="G190" s="204" t="str">
        <f t="shared" si="219"/>
        <v>3MVANG</v>
      </c>
      <c r="H190" s="204" t="str">
        <f t="shared" si="220"/>
        <v>3MVANG</v>
      </c>
      <c r="I190" s="204" t="str">
        <f t="shared" si="221"/>
        <v>3MVANG</v>
      </c>
      <c r="J190" s="204" t="str">
        <f t="shared" si="222"/>
        <v>3MVANG</v>
      </c>
      <c r="K190" s="204">
        <v>100</v>
      </c>
      <c r="L190" s="204">
        <v>7</v>
      </c>
      <c r="N190" s="204" t="str">
        <f t="shared" si="223"/>
        <v>3MVANG</v>
      </c>
      <c r="O190" s="204" t="str">
        <f t="shared" si="112"/>
        <v>3Y_I</v>
      </c>
      <c r="P190" s="204" t="str">
        <f t="shared" si="113"/>
        <v>5Y_I</v>
      </c>
    </row>
    <row r="191" spans="1:16" ht="13" x14ac:dyDescent="0.3">
      <c r="A191" s="25"/>
      <c r="B191">
        <v>3</v>
      </c>
      <c r="C191" s="221" t="s">
        <v>997</v>
      </c>
      <c r="D191" s="221" t="s">
        <v>704</v>
      </c>
      <c r="E191" s="221">
        <f>1</f>
        <v>1</v>
      </c>
      <c r="F191" s="204" t="s">
        <v>847</v>
      </c>
      <c r="G191" s="204" t="str">
        <f t="shared" si="219"/>
        <v>3MVANG</v>
      </c>
      <c r="H191" s="204" t="str">
        <f t="shared" si="220"/>
        <v>3MVANG</v>
      </c>
      <c r="I191" s="204" t="str">
        <f t="shared" si="221"/>
        <v>3MVANG</v>
      </c>
      <c r="J191" s="204" t="str">
        <f t="shared" si="222"/>
        <v>3MVANG</v>
      </c>
      <c r="K191" s="204">
        <v>100</v>
      </c>
      <c r="L191" s="204">
        <v>7</v>
      </c>
      <c r="N191" s="204" t="str">
        <f t="shared" si="223"/>
        <v>3MVANG</v>
      </c>
      <c r="O191" s="204" t="str">
        <f t="shared" si="112"/>
        <v>3Y_I</v>
      </c>
      <c r="P191" s="204" t="str">
        <f t="shared" si="113"/>
        <v>5Y_I</v>
      </c>
    </row>
    <row r="192" spans="1:16" ht="13" x14ac:dyDescent="0.3">
      <c r="A192" s="25"/>
      <c r="B192">
        <v>3</v>
      </c>
      <c r="C192" s="221" t="s">
        <v>793</v>
      </c>
      <c r="D192" s="221" t="s">
        <v>704</v>
      </c>
      <c r="E192" s="221">
        <f>1</f>
        <v>1</v>
      </c>
      <c r="F192" s="204" t="s">
        <v>847</v>
      </c>
      <c r="G192" s="204" t="str">
        <f t="shared" si="107"/>
        <v>3MVANG</v>
      </c>
      <c r="H192" s="204" t="str">
        <f t="shared" si="108"/>
        <v>3MVANG</v>
      </c>
      <c r="I192" s="204" t="str">
        <f t="shared" si="109"/>
        <v>3MVANG</v>
      </c>
      <c r="J192" s="204" t="str">
        <f t="shared" si="110"/>
        <v>3MVANG</v>
      </c>
      <c r="K192" s="204">
        <v>100</v>
      </c>
      <c r="L192" s="204">
        <v>7</v>
      </c>
      <c r="N192" s="204" t="str">
        <f t="shared" si="111"/>
        <v>3MVANG</v>
      </c>
      <c r="O192" s="204" t="str">
        <f t="shared" si="112"/>
        <v>3Y_I</v>
      </c>
      <c r="P192" s="204" t="str">
        <f t="shared" si="113"/>
        <v>5Y_I</v>
      </c>
    </row>
    <row r="193" spans="1:16" ht="13" x14ac:dyDescent="0.3">
      <c r="A193" s="25"/>
      <c r="B193">
        <v>3</v>
      </c>
      <c r="C193" s="221" t="s">
        <v>998</v>
      </c>
      <c r="D193" s="221" t="s">
        <v>704</v>
      </c>
      <c r="E193" s="221">
        <f>1</f>
        <v>1</v>
      </c>
      <c r="F193" s="204" t="s">
        <v>847</v>
      </c>
      <c r="G193" s="204" t="str">
        <f t="shared" ref="G193:G195" si="224">F193</f>
        <v>3MVANG</v>
      </c>
      <c r="H193" s="204" t="str">
        <f t="shared" ref="H193:H195" si="225">G193</f>
        <v>3MVANG</v>
      </c>
      <c r="I193" s="204" t="str">
        <f t="shared" ref="I193:I195" si="226">H193</f>
        <v>3MVANG</v>
      </c>
      <c r="J193" s="204" t="str">
        <f t="shared" ref="J193:J195" si="227">I193</f>
        <v>3MVANG</v>
      </c>
      <c r="K193" s="204">
        <v>100</v>
      </c>
      <c r="L193" s="204">
        <v>7</v>
      </c>
      <c r="N193" s="204" t="str">
        <f t="shared" ref="N193:N195" si="228">F193</f>
        <v>3MVANG</v>
      </c>
      <c r="O193" s="204" t="str">
        <f t="shared" si="112"/>
        <v>3Y_I</v>
      </c>
      <c r="P193" s="204" t="str">
        <f t="shared" si="113"/>
        <v>5Y_I</v>
      </c>
    </row>
    <row r="194" spans="1:16" ht="13" x14ac:dyDescent="0.3">
      <c r="A194" s="25"/>
      <c r="B194">
        <v>3</v>
      </c>
      <c r="C194" s="221" t="s">
        <v>999</v>
      </c>
      <c r="D194" s="221" t="s">
        <v>704</v>
      </c>
      <c r="E194" s="221">
        <f>1</f>
        <v>1</v>
      </c>
      <c r="F194" s="204" t="s">
        <v>847</v>
      </c>
      <c r="G194" s="204" t="str">
        <f t="shared" si="224"/>
        <v>3MVANG</v>
      </c>
      <c r="H194" s="204" t="str">
        <f t="shared" si="225"/>
        <v>3MVANG</v>
      </c>
      <c r="I194" s="204" t="str">
        <f t="shared" si="226"/>
        <v>3MVANG</v>
      </c>
      <c r="J194" s="204" t="str">
        <f t="shared" si="227"/>
        <v>3MVANG</v>
      </c>
      <c r="K194" s="204">
        <v>100</v>
      </c>
      <c r="L194" s="204">
        <v>7</v>
      </c>
      <c r="N194" s="204" t="str">
        <f t="shared" si="228"/>
        <v>3MVANG</v>
      </c>
      <c r="O194" s="204" t="str">
        <f t="shared" si="112"/>
        <v>3Y_I</v>
      </c>
      <c r="P194" s="204" t="str">
        <f t="shared" si="113"/>
        <v>5Y_I</v>
      </c>
    </row>
    <row r="195" spans="1:16" ht="13" x14ac:dyDescent="0.3">
      <c r="A195" s="25"/>
      <c r="B195">
        <v>3</v>
      </c>
      <c r="C195" s="221" t="s">
        <v>1000</v>
      </c>
      <c r="D195" s="221" t="s">
        <v>704</v>
      </c>
      <c r="E195" s="221">
        <f>1</f>
        <v>1</v>
      </c>
      <c r="F195" s="204" t="s">
        <v>847</v>
      </c>
      <c r="G195" s="204" t="str">
        <f t="shared" si="224"/>
        <v>3MVANG</v>
      </c>
      <c r="H195" s="204" t="str">
        <f t="shared" si="225"/>
        <v>3MVANG</v>
      </c>
      <c r="I195" s="204" t="str">
        <f t="shared" si="226"/>
        <v>3MVANG</v>
      </c>
      <c r="J195" s="204" t="str">
        <f t="shared" si="227"/>
        <v>3MVANG</v>
      </c>
      <c r="K195" s="204">
        <v>100</v>
      </c>
      <c r="L195" s="204">
        <v>7</v>
      </c>
      <c r="N195" s="204" t="str">
        <f t="shared" si="228"/>
        <v>3MVANG</v>
      </c>
      <c r="O195" s="204" t="str">
        <f t="shared" si="112"/>
        <v>3Y_I</v>
      </c>
      <c r="P195" s="204" t="str">
        <f t="shared" si="113"/>
        <v>5Y_I</v>
      </c>
    </row>
    <row r="196" spans="1:16" ht="13" x14ac:dyDescent="0.3">
      <c r="A196" s="25"/>
      <c r="B196">
        <v>3</v>
      </c>
      <c r="C196" s="221" t="s">
        <v>794</v>
      </c>
      <c r="D196" s="221" t="s">
        <v>704</v>
      </c>
      <c r="E196" s="221">
        <f>1</f>
        <v>1</v>
      </c>
      <c r="F196" s="204" t="s">
        <v>847</v>
      </c>
      <c r="G196" s="204" t="str">
        <f t="shared" si="107"/>
        <v>3MVANG</v>
      </c>
      <c r="H196" s="204" t="str">
        <f t="shared" si="108"/>
        <v>3MVANG</v>
      </c>
      <c r="I196" s="204" t="str">
        <f t="shared" si="109"/>
        <v>3MVANG</v>
      </c>
      <c r="J196" s="204" t="str">
        <f t="shared" si="110"/>
        <v>3MVANG</v>
      </c>
      <c r="K196" s="204">
        <v>100</v>
      </c>
      <c r="L196" s="204">
        <v>7</v>
      </c>
      <c r="N196" s="204" t="str">
        <f t="shared" si="111"/>
        <v>3MVANG</v>
      </c>
      <c r="O196" s="204" t="str">
        <f t="shared" si="112"/>
        <v>3Y_I</v>
      </c>
      <c r="P196" s="204" t="str">
        <f t="shared" si="113"/>
        <v>5Y_I</v>
      </c>
    </row>
    <row r="197" spans="1:16" ht="13" x14ac:dyDescent="0.3">
      <c r="A197" s="25"/>
      <c r="B197">
        <v>3</v>
      </c>
      <c r="C197" s="221" t="s">
        <v>1001</v>
      </c>
      <c r="D197" s="221" t="s">
        <v>704</v>
      </c>
      <c r="E197" s="221">
        <f>1</f>
        <v>1</v>
      </c>
      <c r="F197" s="204" t="s">
        <v>847</v>
      </c>
      <c r="G197" s="204" t="str">
        <f t="shared" ref="G197:G199" si="229">F197</f>
        <v>3MVANG</v>
      </c>
      <c r="H197" s="204" t="str">
        <f t="shared" ref="H197:H199" si="230">G197</f>
        <v>3MVANG</v>
      </c>
      <c r="I197" s="204" t="str">
        <f t="shared" ref="I197:I199" si="231">H197</f>
        <v>3MVANG</v>
      </c>
      <c r="J197" s="204" t="str">
        <f t="shared" ref="J197:J199" si="232">I197</f>
        <v>3MVANG</v>
      </c>
      <c r="K197" s="204">
        <v>100</v>
      </c>
      <c r="L197" s="204">
        <v>7</v>
      </c>
      <c r="N197" s="204" t="str">
        <f t="shared" ref="N197:N199" si="233">F197</f>
        <v>3MVANG</v>
      </c>
      <c r="O197" s="204" t="str">
        <f t="shared" si="112"/>
        <v>3Y_I</v>
      </c>
      <c r="P197" s="204" t="str">
        <f t="shared" si="113"/>
        <v>5Y_I</v>
      </c>
    </row>
    <row r="198" spans="1:16" ht="13" x14ac:dyDescent="0.3">
      <c r="A198" s="25"/>
      <c r="B198">
        <v>3</v>
      </c>
      <c r="C198" s="221" t="s">
        <v>1002</v>
      </c>
      <c r="D198" s="221" t="s">
        <v>704</v>
      </c>
      <c r="E198" s="221">
        <f>1</f>
        <v>1</v>
      </c>
      <c r="F198" s="204" t="s">
        <v>847</v>
      </c>
      <c r="G198" s="204" t="str">
        <f t="shared" si="229"/>
        <v>3MVANG</v>
      </c>
      <c r="H198" s="204" t="str">
        <f t="shared" si="230"/>
        <v>3MVANG</v>
      </c>
      <c r="I198" s="204" t="str">
        <f t="shared" si="231"/>
        <v>3MVANG</v>
      </c>
      <c r="J198" s="204" t="str">
        <f t="shared" si="232"/>
        <v>3MVANG</v>
      </c>
      <c r="K198" s="204">
        <v>100</v>
      </c>
      <c r="L198" s="204">
        <v>7</v>
      </c>
      <c r="N198" s="204" t="str">
        <f t="shared" si="233"/>
        <v>3MVANG</v>
      </c>
      <c r="O198" s="204" t="str">
        <f t="shared" si="112"/>
        <v>3Y_I</v>
      </c>
      <c r="P198" s="204" t="str">
        <f t="shared" si="113"/>
        <v>5Y_I</v>
      </c>
    </row>
    <row r="199" spans="1:16" ht="13" x14ac:dyDescent="0.3">
      <c r="A199" s="25"/>
      <c r="B199">
        <v>3</v>
      </c>
      <c r="C199" s="221" t="s">
        <v>1003</v>
      </c>
      <c r="D199" s="221" t="s">
        <v>704</v>
      </c>
      <c r="E199" s="221">
        <f>1</f>
        <v>1</v>
      </c>
      <c r="F199" s="204" t="s">
        <v>847</v>
      </c>
      <c r="G199" s="204" t="str">
        <f t="shared" si="229"/>
        <v>3MVANG</v>
      </c>
      <c r="H199" s="204" t="str">
        <f t="shared" si="230"/>
        <v>3MVANG</v>
      </c>
      <c r="I199" s="204" t="str">
        <f t="shared" si="231"/>
        <v>3MVANG</v>
      </c>
      <c r="J199" s="204" t="str">
        <f t="shared" si="232"/>
        <v>3MVANG</v>
      </c>
      <c r="K199" s="204">
        <v>100</v>
      </c>
      <c r="L199" s="204">
        <v>7</v>
      </c>
      <c r="N199" s="204" t="str">
        <f t="shared" si="233"/>
        <v>3MVANG</v>
      </c>
      <c r="O199" s="204" t="str">
        <f t="shared" si="112"/>
        <v>3Y_I</v>
      </c>
      <c r="P199" s="204" t="str">
        <f t="shared" si="113"/>
        <v>5Y_I</v>
      </c>
    </row>
    <row r="200" spans="1:16" ht="13" x14ac:dyDescent="0.3">
      <c r="A200" s="25"/>
      <c r="B200">
        <v>4</v>
      </c>
      <c r="C200" s="221" t="s">
        <v>795</v>
      </c>
      <c r="D200" s="221" t="s">
        <v>704</v>
      </c>
      <c r="E200" s="221">
        <f>1</f>
        <v>1</v>
      </c>
      <c r="F200" s="204" t="s">
        <v>844</v>
      </c>
      <c r="G200" s="204" t="str">
        <f t="shared" si="107"/>
        <v>4GROP</v>
      </c>
      <c r="H200" s="204" t="str">
        <f t="shared" si="108"/>
        <v>4GROP</v>
      </c>
      <c r="I200" s="204" t="str">
        <f t="shared" si="109"/>
        <v>4GROP</v>
      </c>
      <c r="J200" s="204" t="str">
        <f t="shared" si="110"/>
        <v>4GROP</v>
      </c>
      <c r="K200" s="204">
        <v>100</v>
      </c>
      <c r="L200" s="204">
        <v>7</v>
      </c>
      <c r="N200" s="204" t="str">
        <f t="shared" si="111"/>
        <v>4GROP</v>
      </c>
      <c r="O200" s="204" t="str">
        <f t="shared" si="112"/>
        <v>4Y_I</v>
      </c>
      <c r="P200" s="204" t="str">
        <f t="shared" si="113"/>
        <v>6Y_I</v>
      </c>
    </row>
    <row r="201" spans="1:16" ht="13" x14ac:dyDescent="0.3">
      <c r="A201" s="25"/>
      <c r="B201">
        <v>4</v>
      </c>
      <c r="C201" s="221" t="s">
        <v>1004</v>
      </c>
      <c r="D201" s="221" t="s">
        <v>704</v>
      </c>
      <c r="E201" s="221">
        <f>1</f>
        <v>1</v>
      </c>
      <c r="F201" s="204" t="s">
        <v>844</v>
      </c>
      <c r="G201" s="204" t="str">
        <f t="shared" ref="G201:G203" si="234">F201</f>
        <v>4GROP</v>
      </c>
      <c r="H201" s="204" t="str">
        <f t="shared" ref="H201:H203" si="235">G201</f>
        <v>4GROP</v>
      </c>
      <c r="I201" s="204" t="str">
        <f t="shared" ref="I201:I203" si="236">H201</f>
        <v>4GROP</v>
      </c>
      <c r="J201" s="204" t="str">
        <f t="shared" ref="J201:J203" si="237">I201</f>
        <v>4GROP</v>
      </c>
      <c r="K201" s="204">
        <v>100</v>
      </c>
      <c r="L201" s="204">
        <v>7</v>
      </c>
      <c r="N201" s="204" t="str">
        <f t="shared" ref="N201:N203" si="238">F201</f>
        <v>4GROP</v>
      </c>
      <c r="O201" s="204" t="str">
        <f t="shared" si="112"/>
        <v>4Y_I</v>
      </c>
      <c r="P201" s="204" t="str">
        <f t="shared" si="113"/>
        <v>6Y_I</v>
      </c>
    </row>
    <row r="202" spans="1:16" ht="13" x14ac:dyDescent="0.3">
      <c r="A202" s="25"/>
      <c r="B202">
        <v>4</v>
      </c>
      <c r="C202" s="221" t="s">
        <v>1005</v>
      </c>
      <c r="D202" s="221" t="s">
        <v>704</v>
      </c>
      <c r="E202" s="221">
        <f>1</f>
        <v>1</v>
      </c>
      <c r="F202" s="204" t="s">
        <v>844</v>
      </c>
      <c r="G202" s="204" t="str">
        <f t="shared" si="234"/>
        <v>4GROP</v>
      </c>
      <c r="H202" s="204" t="str">
        <f t="shared" si="235"/>
        <v>4GROP</v>
      </c>
      <c r="I202" s="204" t="str">
        <f t="shared" si="236"/>
        <v>4GROP</v>
      </c>
      <c r="J202" s="204" t="str">
        <f t="shared" si="237"/>
        <v>4GROP</v>
      </c>
      <c r="K202" s="204">
        <v>100</v>
      </c>
      <c r="L202" s="204">
        <v>7</v>
      </c>
      <c r="N202" s="204" t="str">
        <f t="shared" si="238"/>
        <v>4GROP</v>
      </c>
      <c r="O202" s="204" t="str">
        <f t="shared" si="112"/>
        <v>4Y_I</v>
      </c>
      <c r="P202" s="204" t="str">
        <f t="shared" si="113"/>
        <v>6Y_I</v>
      </c>
    </row>
    <row r="203" spans="1:16" ht="13" x14ac:dyDescent="0.3">
      <c r="A203" s="25"/>
      <c r="B203">
        <v>4</v>
      </c>
      <c r="C203" s="221" t="s">
        <v>1006</v>
      </c>
      <c r="D203" s="221" t="s">
        <v>704</v>
      </c>
      <c r="E203" s="221">
        <f>1</f>
        <v>1</v>
      </c>
      <c r="F203" s="204" t="s">
        <v>844</v>
      </c>
      <c r="G203" s="204" t="str">
        <f t="shared" si="234"/>
        <v>4GROP</v>
      </c>
      <c r="H203" s="204" t="str">
        <f t="shared" si="235"/>
        <v>4GROP</v>
      </c>
      <c r="I203" s="204" t="str">
        <f t="shared" si="236"/>
        <v>4GROP</v>
      </c>
      <c r="J203" s="204" t="str">
        <f t="shared" si="237"/>
        <v>4GROP</v>
      </c>
      <c r="K203" s="204">
        <v>100</v>
      </c>
      <c r="L203" s="204">
        <v>7</v>
      </c>
      <c r="N203" s="204" t="str">
        <f t="shared" si="238"/>
        <v>4GROP</v>
      </c>
      <c r="O203" s="204" t="str">
        <f t="shared" si="112"/>
        <v>4Y_I</v>
      </c>
      <c r="P203" s="204" t="str">
        <f t="shared" si="113"/>
        <v>6Y_I</v>
      </c>
    </row>
    <row r="204" spans="1:16" ht="13" x14ac:dyDescent="0.3">
      <c r="A204" s="25"/>
      <c r="B204">
        <v>4</v>
      </c>
      <c r="C204" s="221" t="s">
        <v>796</v>
      </c>
      <c r="D204" s="221" t="s">
        <v>704</v>
      </c>
      <c r="E204" s="221">
        <f>1</f>
        <v>1</v>
      </c>
      <c r="F204" s="204" t="s">
        <v>848</v>
      </c>
      <c r="G204" s="204" t="str">
        <f t="shared" si="107"/>
        <v>4MVANG</v>
      </c>
      <c r="H204" s="204" t="str">
        <f t="shared" si="108"/>
        <v>4MVANG</v>
      </c>
      <c r="I204" s="204" t="str">
        <f t="shared" si="109"/>
        <v>4MVANG</v>
      </c>
      <c r="J204" s="204" t="str">
        <f t="shared" si="110"/>
        <v>4MVANG</v>
      </c>
      <c r="K204" s="204">
        <v>100</v>
      </c>
      <c r="L204" s="204">
        <v>7</v>
      </c>
      <c r="N204" s="204" t="str">
        <f t="shared" si="111"/>
        <v>4MVANG</v>
      </c>
      <c r="O204" s="204" t="str">
        <f t="shared" si="112"/>
        <v>4Y_I</v>
      </c>
      <c r="P204" s="204" t="str">
        <f t="shared" si="113"/>
        <v>6Y_I</v>
      </c>
    </row>
    <row r="205" spans="1:16" ht="13" x14ac:dyDescent="0.3">
      <c r="A205" s="25"/>
      <c r="B205">
        <v>4</v>
      </c>
      <c r="C205" s="221" t="s">
        <v>1007</v>
      </c>
      <c r="D205" s="221" t="s">
        <v>704</v>
      </c>
      <c r="E205" s="221">
        <f>1</f>
        <v>1</v>
      </c>
      <c r="F205" s="204" t="s">
        <v>848</v>
      </c>
      <c r="G205" s="204" t="str">
        <f t="shared" ref="G205:G207" si="239">F205</f>
        <v>4MVANG</v>
      </c>
      <c r="H205" s="204" t="str">
        <f t="shared" ref="H205:H207" si="240">G205</f>
        <v>4MVANG</v>
      </c>
      <c r="I205" s="204" t="str">
        <f t="shared" ref="I205:I207" si="241">H205</f>
        <v>4MVANG</v>
      </c>
      <c r="J205" s="204" t="str">
        <f t="shared" ref="J205:J207" si="242">I205</f>
        <v>4MVANG</v>
      </c>
      <c r="K205" s="204">
        <v>100</v>
      </c>
      <c r="L205" s="204">
        <v>7</v>
      </c>
      <c r="N205" s="204" t="str">
        <f t="shared" ref="N205:N207" si="243">F205</f>
        <v>4MVANG</v>
      </c>
      <c r="O205" s="204" t="str">
        <f t="shared" si="112"/>
        <v>4Y_I</v>
      </c>
      <c r="P205" s="204" t="str">
        <f t="shared" si="113"/>
        <v>6Y_I</v>
      </c>
    </row>
    <row r="206" spans="1:16" ht="13" x14ac:dyDescent="0.3">
      <c r="A206" s="25"/>
      <c r="B206">
        <v>4</v>
      </c>
      <c r="C206" s="221" t="s">
        <v>1008</v>
      </c>
      <c r="D206" s="221" t="s">
        <v>704</v>
      </c>
      <c r="E206" s="221">
        <f>1</f>
        <v>1</v>
      </c>
      <c r="F206" s="204" t="s">
        <v>848</v>
      </c>
      <c r="G206" s="204" t="str">
        <f t="shared" si="239"/>
        <v>4MVANG</v>
      </c>
      <c r="H206" s="204" t="str">
        <f t="shared" si="240"/>
        <v>4MVANG</v>
      </c>
      <c r="I206" s="204" t="str">
        <f t="shared" si="241"/>
        <v>4MVANG</v>
      </c>
      <c r="J206" s="204" t="str">
        <f t="shared" si="242"/>
        <v>4MVANG</v>
      </c>
      <c r="K206" s="204">
        <v>100</v>
      </c>
      <c r="L206" s="204">
        <v>7</v>
      </c>
      <c r="N206" s="204" t="str">
        <f t="shared" si="243"/>
        <v>4MVANG</v>
      </c>
      <c r="O206" s="204" t="str">
        <f t="shared" si="112"/>
        <v>4Y_I</v>
      </c>
      <c r="P206" s="204" t="str">
        <f t="shared" si="113"/>
        <v>6Y_I</v>
      </c>
    </row>
    <row r="207" spans="1:16" ht="13" x14ac:dyDescent="0.3">
      <c r="A207" s="25"/>
      <c r="B207">
        <v>4</v>
      </c>
      <c r="C207" s="221" t="s">
        <v>1009</v>
      </c>
      <c r="D207" s="221" t="s">
        <v>704</v>
      </c>
      <c r="E207" s="221">
        <f>1</f>
        <v>1</v>
      </c>
      <c r="F207" s="204" t="s">
        <v>848</v>
      </c>
      <c r="G207" s="204" t="str">
        <f t="shared" si="239"/>
        <v>4MVANG</v>
      </c>
      <c r="H207" s="204" t="str">
        <f t="shared" si="240"/>
        <v>4MVANG</v>
      </c>
      <c r="I207" s="204" t="str">
        <f t="shared" si="241"/>
        <v>4MVANG</v>
      </c>
      <c r="J207" s="204" t="str">
        <f t="shared" si="242"/>
        <v>4MVANG</v>
      </c>
      <c r="K207" s="204">
        <v>100</v>
      </c>
      <c r="L207" s="204">
        <v>7</v>
      </c>
      <c r="N207" s="204" t="str">
        <f t="shared" si="243"/>
        <v>4MVANG</v>
      </c>
      <c r="O207" s="204" t="str">
        <f t="shared" si="112"/>
        <v>4Y_I</v>
      </c>
      <c r="P207" s="204" t="str">
        <f t="shared" si="113"/>
        <v>6Y_I</v>
      </c>
    </row>
    <row r="208" spans="1:16" ht="13" x14ac:dyDescent="0.3">
      <c r="A208" s="25"/>
      <c r="B208">
        <v>4</v>
      </c>
      <c r="C208" s="221" t="s">
        <v>797</v>
      </c>
      <c r="D208" s="221" t="s">
        <v>704</v>
      </c>
      <c r="E208" s="221">
        <f>1</f>
        <v>1</v>
      </c>
      <c r="F208" s="204" t="s">
        <v>848</v>
      </c>
      <c r="G208" s="204" t="str">
        <f t="shared" si="107"/>
        <v>4MVANG</v>
      </c>
      <c r="H208" s="204" t="str">
        <f t="shared" si="108"/>
        <v>4MVANG</v>
      </c>
      <c r="I208" s="204" t="str">
        <f t="shared" si="109"/>
        <v>4MVANG</v>
      </c>
      <c r="J208" s="204" t="str">
        <f t="shared" si="110"/>
        <v>4MVANG</v>
      </c>
      <c r="K208" s="204">
        <v>100</v>
      </c>
      <c r="L208" s="204">
        <v>7</v>
      </c>
      <c r="N208" s="204" t="str">
        <f t="shared" si="111"/>
        <v>4MVANG</v>
      </c>
      <c r="O208" s="204" t="str">
        <f t="shared" si="112"/>
        <v>4Y_I</v>
      </c>
      <c r="P208" s="204" t="str">
        <f t="shared" si="113"/>
        <v>6Y_I</v>
      </c>
    </row>
    <row r="209" spans="1:16" ht="13" x14ac:dyDescent="0.3">
      <c r="A209" s="25"/>
      <c r="B209">
        <v>4</v>
      </c>
      <c r="C209" s="221" t="s">
        <v>1010</v>
      </c>
      <c r="D209" s="221" t="s">
        <v>704</v>
      </c>
      <c r="E209" s="221">
        <f>1</f>
        <v>1</v>
      </c>
      <c r="F209" s="204" t="s">
        <v>848</v>
      </c>
      <c r="G209" s="204" t="str">
        <f t="shared" ref="G209:G211" si="244">F209</f>
        <v>4MVANG</v>
      </c>
      <c r="H209" s="204" t="str">
        <f t="shared" ref="H209:H211" si="245">G209</f>
        <v>4MVANG</v>
      </c>
      <c r="I209" s="204" t="str">
        <f t="shared" ref="I209:I211" si="246">H209</f>
        <v>4MVANG</v>
      </c>
      <c r="J209" s="204" t="str">
        <f t="shared" ref="J209:J211" si="247">I209</f>
        <v>4MVANG</v>
      </c>
      <c r="K209" s="204">
        <v>100</v>
      </c>
      <c r="L209" s="204">
        <v>7</v>
      </c>
      <c r="N209" s="204" t="str">
        <f t="shared" ref="N209:N211" si="248">F209</f>
        <v>4MVANG</v>
      </c>
      <c r="O209" s="204" t="str">
        <f t="shared" si="112"/>
        <v>4Y_I</v>
      </c>
      <c r="P209" s="204" t="str">
        <f t="shared" si="113"/>
        <v>6Y_I</v>
      </c>
    </row>
    <row r="210" spans="1:16" ht="13" x14ac:dyDescent="0.3">
      <c r="A210" s="25"/>
      <c r="B210">
        <v>4</v>
      </c>
      <c r="C210" s="221" t="s">
        <v>1011</v>
      </c>
      <c r="D210" s="221" t="s">
        <v>704</v>
      </c>
      <c r="E210" s="221">
        <f>1</f>
        <v>1</v>
      </c>
      <c r="F210" s="204" t="s">
        <v>848</v>
      </c>
      <c r="G210" s="204" t="str">
        <f t="shared" si="244"/>
        <v>4MVANG</v>
      </c>
      <c r="H210" s="204" t="str">
        <f t="shared" si="245"/>
        <v>4MVANG</v>
      </c>
      <c r="I210" s="204" t="str">
        <f t="shared" si="246"/>
        <v>4MVANG</v>
      </c>
      <c r="J210" s="204" t="str">
        <f t="shared" si="247"/>
        <v>4MVANG</v>
      </c>
      <c r="K210" s="204">
        <v>100</v>
      </c>
      <c r="L210" s="204">
        <v>7</v>
      </c>
      <c r="N210" s="204" t="str">
        <f t="shared" si="248"/>
        <v>4MVANG</v>
      </c>
      <c r="O210" s="204" t="str">
        <f t="shared" si="112"/>
        <v>4Y_I</v>
      </c>
      <c r="P210" s="204" t="str">
        <f t="shared" si="113"/>
        <v>6Y_I</v>
      </c>
    </row>
    <row r="211" spans="1:16" ht="13" x14ac:dyDescent="0.3">
      <c r="A211" s="25"/>
      <c r="B211">
        <v>4</v>
      </c>
      <c r="C211" s="221" t="s">
        <v>1012</v>
      </c>
      <c r="D211" s="221" t="s">
        <v>704</v>
      </c>
      <c r="E211" s="221">
        <f>1</f>
        <v>1</v>
      </c>
      <c r="F211" s="204" t="s">
        <v>848</v>
      </c>
      <c r="G211" s="204" t="str">
        <f t="shared" si="244"/>
        <v>4MVANG</v>
      </c>
      <c r="H211" s="204" t="str">
        <f t="shared" si="245"/>
        <v>4MVANG</v>
      </c>
      <c r="I211" s="204" t="str">
        <f t="shared" si="246"/>
        <v>4MVANG</v>
      </c>
      <c r="J211" s="204" t="str">
        <f t="shared" si="247"/>
        <v>4MVANG</v>
      </c>
      <c r="K211" s="204">
        <v>100</v>
      </c>
      <c r="L211" s="204">
        <v>7</v>
      </c>
      <c r="N211" s="204" t="str">
        <f t="shared" si="248"/>
        <v>4MVANG</v>
      </c>
      <c r="O211" s="204" t="str">
        <f t="shared" si="112"/>
        <v>4Y_I</v>
      </c>
      <c r="P211" s="204" t="str">
        <f t="shared" si="113"/>
        <v>6Y_I</v>
      </c>
    </row>
    <row r="212" spans="1:16" ht="13" x14ac:dyDescent="0.3">
      <c r="A212" s="25"/>
      <c r="B212">
        <v>4</v>
      </c>
      <c r="C212" s="221" t="s">
        <v>798</v>
      </c>
      <c r="D212" s="221" t="s">
        <v>704</v>
      </c>
      <c r="E212" s="221">
        <f>1</f>
        <v>1</v>
      </c>
      <c r="F212" s="204" t="s">
        <v>848</v>
      </c>
      <c r="G212" s="204" t="str">
        <f t="shared" si="107"/>
        <v>4MVANG</v>
      </c>
      <c r="H212" s="204" t="str">
        <f t="shared" si="108"/>
        <v>4MVANG</v>
      </c>
      <c r="I212" s="204" t="str">
        <f t="shared" si="109"/>
        <v>4MVANG</v>
      </c>
      <c r="J212" s="204" t="str">
        <f t="shared" si="110"/>
        <v>4MVANG</v>
      </c>
      <c r="K212" s="204">
        <v>100</v>
      </c>
      <c r="L212" s="204">
        <v>7</v>
      </c>
      <c r="N212" s="204" t="str">
        <f t="shared" si="111"/>
        <v>4MVANG</v>
      </c>
      <c r="O212" s="204" t="str">
        <f t="shared" si="112"/>
        <v>4Y_I</v>
      </c>
      <c r="P212" s="204" t="str">
        <f t="shared" si="113"/>
        <v>6Y_I</v>
      </c>
    </row>
    <row r="213" spans="1:16" ht="13" x14ac:dyDescent="0.3">
      <c r="A213" s="25"/>
      <c r="B213">
        <v>4</v>
      </c>
      <c r="C213" s="221" t="s">
        <v>1013</v>
      </c>
      <c r="D213" s="221" t="s">
        <v>704</v>
      </c>
      <c r="E213" s="221">
        <f>1</f>
        <v>1</v>
      </c>
      <c r="F213" s="204" t="s">
        <v>848</v>
      </c>
      <c r="G213" s="204" t="str">
        <f t="shared" ref="G213:G215" si="249">F213</f>
        <v>4MVANG</v>
      </c>
      <c r="H213" s="204" t="str">
        <f t="shared" ref="H213:H215" si="250">G213</f>
        <v>4MVANG</v>
      </c>
      <c r="I213" s="204" t="str">
        <f t="shared" ref="I213:I215" si="251">H213</f>
        <v>4MVANG</v>
      </c>
      <c r="J213" s="204" t="str">
        <f t="shared" ref="J213:J215" si="252">I213</f>
        <v>4MVANG</v>
      </c>
      <c r="K213" s="204">
        <v>100</v>
      </c>
      <c r="L213" s="204">
        <v>7</v>
      </c>
      <c r="N213" s="204" t="str">
        <f t="shared" ref="N213:N215" si="253">F213</f>
        <v>4MVANG</v>
      </c>
      <c r="O213" s="204" t="str">
        <f t="shared" si="112"/>
        <v>4Y_I</v>
      </c>
      <c r="P213" s="204" t="str">
        <f t="shared" si="113"/>
        <v>6Y_I</v>
      </c>
    </row>
    <row r="214" spans="1:16" ht="13" x14ac:dyDescent="0.3">
      <c r="A214" s="25"/>
      <c r="B214">
        <v>4</v>
      </c>
      <c r="C214" s="221" t="s">
        <v>1014</v>
      </c>
      <c r="D214" s="221" t="s">
        <v>704</v>
      </c>
      <c r="E214" s="221">
        <f>1</f>
        <v>1</v>
      </c>
      <c r="F214" s="204" t="s">
        <v>848</v>
      </c>
      <c r="G214" s="204" t="str">
        <f t="shared" si="249"/>
        <v>4MVANG</v>
      </c>
      <c r="H214" s="204" t="str">
        <f t="shared" si="250"/>
        <v>4MVANG</v>
      </c>
      <c r="I214" s="204" t="str">
        <f t="shared" si="251"/>
        <v>4MVANG</v>
      </c>
      <c r="J214" s="204" t="str">
        <f t="shared" si="252"/>
        <v>4MVANG</v>
      </c>
      <c r="K214" s="204">
        <v>100</v>
      </c>
      <c r="L214" s="204">
        <v>7</v>
      </c>
      <c r="N214" s="204" t="str">
        <f t="shared" si="253"/>
        <v>4MVANG</v>
      </c>
      <c r="O214" s="204" t="str">
        <f t="shared" si="112"/>
        <v>4Y_I</v>
      </c>
      <c r="P214" s="204" t="str">
        <f t="shared" si="113"/>
        <v>6Y_I</v>
      </c>
    </row>
    <row r="215" spans="1:16" ht="13" x14ac:dyDescent="0.3">
      <c r="A215" s="25"/>
      <c r="B215">
        <v>4</v>
      </c>
      <c r="C215" s="221" t="s">
        <v>1015</v>
      </c>
      <c r="D215" s="221" t="s">
        <v>704</v>
      </c>
      <c r="E215" s="221">
        <f>1</f>
        <v>1</v>
      </c>
      <c r="F215" s="204" t="s">
        <v>848</v>
      </c>
      <c r="G215" s="204" t="str">
        <f t="shared" si="249"/>
        <v>4MVANG</v>
      </c>
      <c r="H215" s="204" t="str">
        <f t="shared" si="250"/>
        <v>4MVANG</v>
      </c>
      <c r="I215" s="204" t="str">
        <f t="shared" si="251"/>
        <v>4MVANG</v>
      </c>
      <c r="J215" s="204" t="str">
        <f t="shared" si="252"/>
        <v>4MVANG</v>
      </c>
      <c r="K215" s="204">
        <v>100</v>
      </c>
      <c r="L215" s="204">
        <v>7</v>
      </c>
      <c r="N215" s="204" t="str">
        <f t="shared" si="253"/>
        <v>4MVANG</v>
      </c>
      <c r="O215" s="204" t="str">
        <f t="shared" si="112"/>
        <v>4Y_I</v>
      </c>
      <c r="P215" s="204" t="str">
        <f t="shared" si="113"/>
        <v>6Y_I</v>
      </c>
    </row>
    <row r="216" spans="1:16" ht="13" x14ac:dyDescent="0.3">
      <c r="A216" s="25"/>
      <c r="B216">
        <v>5</v>
      </c>
      <c r="C216" s="221" t="s">
        <v>799</v>
      </c>
      <c r="D216" s="221" t="s">
        <v>704</v>
      </c>
      <c r="E216" s="221">
        <f>1</f>
        <v>1</v>
      </c>
      <c r="F216" s="204" t="s">
        <v>845</v>
      </c>
      <c r="G216" s="204" t="str">
        <f t="shared" si="107"/>
        <v>5GROP</v>
      </c>
      <c r="H216" s="204" t="str">
        <f t="shared" si="108"/>
        <v>5GROP</v>
      </c>
      <c r="I216" s="204" t="str">
        <f t="shared" si="109"/>
        <v>5GROP</v>
      </c>
      <c r="J216" s="204" t="str">
        <f t="shared" si="110"/>
        <v>5GROP</v>
      </c>
      <c r="K216" s="204">
        <v>100</v>
      </c>
      <c r="L216" s="204">
        <v>7</v>
      </c>
      <c r="N216" s="204" t="str">
        <f t="shared" si="111"/>
        <v>5GROP</v>
      </c>
      <c r="O216" s="204" t="str">
        <f t="shared" si="112"/>
        <v>5Y_I</v>
      </c>
      <c r="P216" s="204" t="str">
        <f t="shared" si="113"/>
        <v>7Y_I</v>
      </c>
    </row>
    <row r="217" spans="1:16" ht="13" x14ac:dyDescent="0.3">
      <c r="A217" s="25"/>
      <c r="B217">
        <v>5</v>
      </c>
      <c r="C217" s="221" t="s">
        <v>1016</v>
      </c>
      <c r="D217" s="221" t="s">
        <v>704</v>
      </c>
      <c r="E217" s="221">
        <f>1</f>
        <v>1</v>
      </c>
      <c r="F217" s="204" t="s">
        <v>845</v>
      </c>
      <c r="G217" s="204" t="str">
        <f t="shared" ref="G217:G219" si="254">F217</f>
        <v>5GROP</v>
      </c>
      <c r="H217" s="204" t="str">
        <f t="shared" ref="H217:H219" si="255">G217</f>
        <v>5GROP</v>
      </c>
      <c r="I217" s="204" t="str">
        <f t="shared" ref="I217:I219" si="256">H217</f>
        <v>5GROP</v>
      </c>
      <c r="J217" s="204" t="str">
        <f t="shared" ref="J217:J219" si="257">I217</f>
        <v>5GROP</v>
      </c>
      <c r="K217" s="204">
        <v>100</v>
      </c>
      <c r="L217" s="204">
        <v>7</v>
      </c>
      <c r="N217" s="204" t="str">
        <f t="shared" ref="N217:N219" si="258">F217</f>
        <v>5GROP</v>
      </c>
      <c r="O217" s="204" t="str">
        <f t="shared" si="112"/>
        <v>5Y_I</v>
      </c>
      <c r="P217" s="204" t="str">
        <f t="shared" si="113"/>
        <v>7Y_I</v>
      </c>
    </row>
    <row r="218" spans="1:16" ht="13" x14ac:dyDescent="0.3">
      <c r="A218" s="25"/>
      <c r="B218">
        <v>5</v>
      </c>
      <c r="C218" s="221" t="s">
        <v>1017</v>
      </c>
      <c r="D218" s="221" t="s">
        <v>704</v>
      </c>
      <c r="E218" s="221">
        <f>1</f>
        <v>1</v>
      </c>
      <c r="F218" s="204" t="s">
        <v>845</v>
      </c>
      <c r="G218" s="204" t="str">
        <f t="shared" si="254"/>
        <v>5GROP</v>
      </c>
      <c r="H218" s="204" t="str">
        <f t="shared" si="255"/>
        <v>5GROP</v>
      </c>
      <c r="I218" s="204" t="str">
        <f t="shared" si="256"/>
        <v>5GROP</v>
      </c>
      <c r="J218" s="204" t="str">
        <f t="shared" si="257"/>
        <v>5GROP</v>
      </c>
      <c r="K218" s="204">
        <v>100</v>
      </c>
      <c r="L218" s="204">
        <v>7</v>
      </c>
      <c r="N218" s="204" t="str">
        <f t="shared" si="258"/>
        <v>5GROP</v>
      </c>
      <c r="O218" s="204" t="str">
        <f t="shared" si="112"/>
        <v>5Y_I</v>
      </c>
      <c r="P218" s="204" t="str">
        <f t="shared" si="113"/>
        <v>7Y_I</v>
      </c>
    </row>
    <row r="219" spans="1:16" ht="13" x14ac:dyDescent="0.3">
      <c r="A219" s="25"/>
      <c r="B219">
        <v>5</v>
      </c>
      <c r="C219" s="221" t="s">
        <v>1018</v>
      </c>
      <c r="D219" s="221" t="s">
        <v>704</v>
      </c>
      <c r="E219" s="221">
        <f>1</f>
        <v>1</v>
      </c>
      <c r="F219" s="204" t="s">
        <v>845</v>
      </c>
      <c r="G219" s="204" t="str">
        <f t="shared" si="254"/>
        <v>5GROP</v>
      </c>
      <c r="H219" s="204" t="str">
        <f t="shared" si="255"/>
        <v>5GROP</v>
      </c>
      <c r="I219" s="204" t="str">
        <f t="shared" si="256"/>
        <v>5GROP</v>
      </c>
      <c r="J219" s="204" t="str">
        <f t="shared" si="257"/>
        <v>5GROP</v>
      </c>
      <c r="K219" s="204">
        <v>100</v>
      </c>
      <c r="L219" s="204">
        <v>7</v>
      </c>
      <c r="N219" s="204" t="str">
        <f t="shared" si="258"/>
        <v>5GROP</v>
      </c>
      <c r="O219" s="204" t="str">
        <f t="shared" si="112"/>
        <v>5Y_I</v>
      </c>
      <c r="P219" s="204" t="str">
        <f t="shared" si="113"/>
        <v>7Y_I</v>
      </c>
    </row>
    <row r="220" spans="1:16" ht="13" x14ac:dyDescent="0.3">
      <c r="A220" s="25"/>
      <c r="B220">
        <v>5</v>
      </c>
      <c r="C220" s="221" t="s">
        <v>800</v>
      </c>
      <c r="D220" s="221" t="s">
        <v>704</v>
      </c>
      <c r="E220" s="221">
        <f>1</f>
        <v>1</v>
      </c>
      <c r="F220" s="204" t="s">
        <v>850</v>
      </c>
      <c r="G220" s="204" t="str">
        <f t="shared" si="107"/>
        <v>5MVANG</v>
      </c>
      <c r="H220" s="204" t="str">
        <f t="shared" si="108"/>
        <v>5MVANG</v>
      </c>
      <c r="I220" s="204" t="str">
        <f t="shared" si="109"/>
        <v>5MVANG</v>
      </c>
      <c r="J220" s="204" t="str">
        <f t="shared" si="110"/>
        <v>5MVANG</v>
      </c>
      <c r="K220" s="204">
        <v>100</v>
      </c>
      <c r="L220" s="204">
        <v>7</v>
      </c>
      <c r="N220" s="204" t="str">
        <f t="shared" si="111"/>
        <v>5MVANG</v>
      </c>
      <c r="O220" s="204" t="str">
        <f t="shared" si="112"/>
        <v>5Y_I</v>
      </c>
      <c r="P220" s="204" t="str">
        <f t="shared" si="113"/>
        <v>7Y_I</v>
      </c>
    </row>
    <row r="221" spans="1:16" ht="13" x14ac:dyDescent="0.3">
      <c r="A221" s="25"/>
      <c r="B221">
        <v>5</v>
      </c>
      <c r="C221" s="221" t="s">
        <v>1019</v>
      </c>
      <c r="D221" s="221" t="s">
        <v>704</v>
      </c>
      <c r="E221" s="221">
        <f>1</f>
        <v>1</v>
      </c>
      <c r="F221" s="204" t="s">
        <v>850</v>
      </c>
      <c r="G221" s="204" t="str">
        <f t="shared" ref="G221:G223" si="259">F221</f>
        <v>5MVANG</v>
      </c>
      <c r="H221" s="204" t="str">
        <f t="shared" ref="H221:H223" si="260">G221</f>
        <v>5MVANG</v>
      </c>
      <c r="I221" s="204" t="str">
        <f t="shared" ref="I221:I223" si="261">H221</f>
        <v>5MVANG</v>
      </c>
      <c r="J221" s="204" t="str">
        <f t="shared" ref="J221:J223" si="262">I221</f>
        <v>5MVANG</v>
      </c>
      <c r="K221" s="204">
        <v>100</v>
      </c>
      <c r="L221" s="204">
        <v>7</v>
      </c>
      <c r="N221" s="204" t="str">
        <f t="shared" ref="N221:N223" si="263">F221</f>
        <v>5MVANG</v>
      </c>
      <c r="O221" s="204" t="str">
        <f t="shared" si="112"/>
        <v>5Y_I</v>
      </c>
      <c r="P221" s="204" t="str">
        <f t="shared" si="113"/>
        <v>7Y_I</v>
      </c>
    </row>
    <row r="222" spans="1:16" ht="13" x14ac:dyDescent="0.3">
      <c r="A222" s="25"/>
      <c r="B222">
        <v>5</v>
      </c>
      <c r="C222" s="221" t="s">
        <v>1020</v>
      </c>
      <c r="D222" s="221" t="s">
        <v>704</v>
      </c>
      <c r="E222" s="221">
        <f>1</f>
        <v>1</v>
      </c>
      <c r="F222" s="204" t="s">
        <v>850</v>
      </c>
      <c r="G222" s="204" t="str">
        <f t="shared" si="259"/>
        <v>5MVANG</v>
      </c>
      <c r="H222" s="204" t="str">
        <f t="shared" si="260"/>
        <v>5MVANG</v>
      </c>
      <c r="I222" s="204" t="str">
        <f t="shared" si="261"/>
        <v>5MVANG</v>
      </c>
      <c r="J222" s="204" t="str">
        <f t="shared" si="262"/>
        <v>5MVANG</v>
      </c>
      <c r="K222" s="204">
        <v>100</v>
      </c>
      <c r="L222" s="204">
        <v>7</v>
      </c>
      <c r="N222" s="204" t="str">
        <f t="shared" si="263"/>
        <v>5MVANG</v>
      </c>
      <c r="O222" s="204" t="str">
        <f t="shared" si="112"/>
        <v>5Y_I</v>
      </c>
      <c r="P222" s="204" t="str">
        <f t="shared" si="113"/>
        <v>7Y_I</v>
      </c>
    </row>
    <row r="223" spans="1:16" ht="13" x14ac:dyDescent="0.3">
      <c r="A223" s="25"/>
      <c r="B223">
        <v>5</v>
      </c>
      <c r="C223" s="221" t="s">
        <v>1021</v>
      </c>
      <c r="D223" s="221" t="s">
        <v>704</v>
      </c>
      <c r="E223" s="221">
        <f>1</f>
        <v>1</v>
      </c>
      <c r="F223" s="204" t="s">
        <v>850</v>
      </c>
      <c r="G223" s="204" t="str">
        <f t="shared" si="259"/>
        <v>5MVANG</v>
      </c>
      <c r="H223" s="204" t="str">
        <f t="shared" si="260"/>
        <v>5MVANG</v>
      </c>
      <c r="I223" s="204" t="str">
        <f t="shared" si="261"/>
        <v>5MVANG</v>
      </c>
      <c r="J223" s="204" t="str">
        <f t="shared" si="262"/>
        <v>5MVANG</v>
      </c>
      <c r="K223" s="204">
        <v>100</v>
      </c>
      <c r="L223" s="204">
        <v>7</v>
      </c>
      <c r="N223" s="204" t="str">
        <f t="shared" si="263"/>
        <v>5MVANG</v>
      </c>
      <c r="O223" s="204" t="str">
        <f t="shared" si="112"/>
        <v>5Y_I</v>
      </c>
      <c r="P223" s="204" t="str">
        <f t="shared" si="113"/>
        <v>7Y_I</v>
      </c>
    </row>
    <row r="224" spans="1:16" ht="13" x14ac:dyDescent="0.3">
      <c r="A224" s="25"/>
      <c r="B224">
        <v>5</v>
      </c>
      <c r="C224" s="221" t="s">
        <v>801</v>
      </c>
      <c r="D224" s="221" t="s">
        <v>704</v>
      </c>
      <c r="E224" s="221">
        <f>1</f>
        <v>1</v>
      </c>
      <c r="F224" s="204" t="s">
        <v>849</v>
      </c>
      <c r="G224" s="204" t="str">
        <f t="shared" si="107"/>
        <v>5NGROP</v>
      </c>
      <c r="H224" s="204" t="str">
        <f t="shared" si="108"/>
        <v>5NGROP</v>
      </c>
      <c r="I224" s="204" t="str">
        <f t="shared" si="109"/>
        <v>5NGROP</v>
      </c>
      <c r="J224" s="204" t="str">
        <f t="shared" si="110"/>
        <v>5NGROP</v>
      </c>
      <c r="K224" s="204">
        <v>100</v>
      </c>
      <c r="L224" s="204">
        <v>7</v>
      </c>
      <c r="N224" s="204" t="str">
        <f t="shared" si="111"/>
        <v>5NGROP</v>
      </c>
      <c r="O224" s="204" t="str">
        <f t="shared" si="112"/>
        <v>5Y_I</v>
      </c>
      <c r="P224" s="204" t="str">
        <f t="shared" si="113"/>
        <v>7Y_I</v>
      </c>
    </row>
    <row r="225" spans="1:16" ht="13" x14ac:dyDescent="0.3">
      <c r="A225" s="25"/>
      <c r="B225">
        <v>5</v>
      </c>
      <c r="C225" s="221" t="s">
        <v>1022</v>
      </c>
      <c r="D225" s="221" t="s">
        <v>704</v>
      </c>
      <c r="E225" s="221">
        <f>1</f>
        <v>1</v>
      </c>
      <c r="F225" s="204" t="s">
        <v>849</v>
      </c>
      <c r="G225" s="204" t="str">
        <f t="shared" ref="G225:G227" si="264">F225</f>
        <v>5NGROP</v>
      </c>
      <c r="H225" s="204" t="str">
        <f t="shared" ref="H225:H227" si="265">G225</f>
        <v>5NGROP</v>
      </c>
      <c r="I225" s="204" t="str">
        <f t="shared" ref="I225:I227" si="266">H225</f>
        <v>5NGROP</v>
      </c>
      <c r="J225" s="204" t="str">
        <f t="shared" ref="J225:J227" si="267">I225</f>
        <v>5NGROP</v>
      </c>
      <c r="K225" s="204">
        <v>100</v>
      </c>
      <c r="L225" s="204">
        <v>7</v>
      </c>
      <c r="N225" s="204" t="str">
        <f t="shared" ref="N225:N227" si="268">F225</f>
        <v>5NGROP</v>
      </c>
      <c r="O225" s="204" t="str">
        <f t="shared" si="112"/>
        <v>5Y_I</v>
      </c>
      <c r="P225" s="204" t="str">
        <f t="shared" si="113"/>
        <v>7Y_I</v>
      </c>
    </row>
    <row r="226" spans="1:16" ht="13" x14ac:dyDescent="0.3">
      <c r="A226" s="25"/>
      <c r="B226">
        <v>5</v>
      </c>
      <c r="C226" s="221" t="s">
        <v>1023</v>
      </c>
      <c r="D226" s="221" t="s">
        <v>704</v>
      </c>
      <c r="E226" s="221">
        <f>1</f>
        <v>1</v>
      </c>
      <c r="F226" s="204" t="s">
        <v>849</v>
      </c>
      <c r="G226" s="204" t="str">
        <f t="shared" si="264"/>
        <v>5NGROP</v>
      </c>
      <c r="H226" s="204" t="str">
        <f t="shared" si="265"/>
        <v>5NGROP</v>
      </c>
      <c r="I226" s="204" t="str">
        <f t="shared" si="266"/>
        <v>5NGROP</v>
      </c>
      <c r="J226" s="204" t="str">
        <f t="shared" si="267"/>
        <v>5NGROP</v>
      </c>
      <c r="K226" s="204">
        <v>100</v>
      </c>
      <c r="L226" s="204">
        <v>7</v>
      </c>
      <c r="N226" s="204" t="str">
        <f t="shared" si="268"/>
        <v>5NGROP</v>
      </c>
      <c r="O226" s="204" t="str">
        <f t="shared" si="112"/>
        <v>5Y_I</v>
      </c>
      <c r="P226" s="204" t="str">
        <f t="shared" si="113"/>
        <v>7Y_I</v>
      </c>
    </row>
    <row r="227" spans="1:16" ht="13" x14ac:dyDescent="0.3">
      <c r="A227" s="25"/>
      <c r="B227">
        <v>5</v>
      </c>
      <c r="C227" s="221" t="s">
        <v>1024</v>
      </c>
      <c r="D227" s="221" t="s">
        <v>704</v>
      </c>
      <c r="E227" s="221">
        <f>1</f>
        <v>1</v>
      </c>
      <c r="F227" s="204" t="s">
        <v>849</v>
      </c>
      <c r="G227" s="204" t="str">
        <f t="shared" si="264"/>
        <v>5NGROP</v>
      </c>
      <c r="H227" s="204" t="str">
        <f t="shared" si="265"/>
        <v>5NGROP</v>
      </c>
      <c r="I227" s="204" t="str">
        <f t="shared" si="266"/>
        <v>5NGROP</v>
      </c>
      <c r="J227" s="204" t="str">
        <f t="shared" si="267"/>
        <v>5NGROP</v>
      </c>
      <c r="K227" s="204">
        <v>100</v>
      </c>
      <c r="L227" s="204">
        <v>7</v>
      </c>
      <c r="N227" s="204" t="str">
        <f t="shared" si="268"/>
        <v>5NGROP</v>
      </c>
      <c r="O227" s="204" t="str">
        <f t="shared" si="112"/>
        <v>5Y_I</v>
      </c>
      <c r="P227" s="204" t="str">
        <f t="shared" si="113"/>
        <v>7Y_I</v>
      </c>
    </row>
    <row r="228" spans="1:16" ht="13" x14ac:dyDescent="0.3">
      <c r="A228" s="25"/>
      <c r="B228">
        <v>5</v>
      </c>
      <c r="C228" s="221" t="s">
        <v>802</v>
      </c>
      <c r="D228" s="221" t="s">
        <v>704</v>
      </c>
      <c r="E228" s="221">
        <f>1</f>
        <v>1</v>
      </c>
      <c r="F228" s="204" t="s">
        <v>850</v>
      </c>
      <c r="G228" s="204" t="str">
        <f t="shared" si="107"/>
        <v>5MVANG</v>
      </c>
      <c r="H228" s="204" t="str">
        <f t="shared" si="108"/>
        <v>5MVANG</v>
      </c>
      <c r="I228" s="204" t="str">
        <f t="shared" si="109"/>
        <v>5MVANG</v>
      </c>
      <c r="J228" s="204" t="str">
        <f t="shared" si="110"/>
        <v>5MVANG</v>
      </c>
      <c r="K228" s="204">
        <v>100</v>
      </c>
      <c r="L228" s="204">
        <v>7</v>
      </c>
      <c r="N228" s="204" t="str">
        <f t="shared" si="111"/>
        <v>5MVANG</v>
      </c>
      <c r="O228" s="204" t="str">
        <f t="shared" si="112"/>
        <v>5Y_I</v>
      </c>
      <c r="P228" s="204" t="str">
        <f t="shared" si="113"/>
        <v>7Y_I</v>
      </c>
    </row>
    <row r="229" spans="1:16" ht="13" x14ac:dyDescent="0.3">
      <c r="A229" s="25"/>
      <c r="B229">
        <v>5</v>
      </c>
      <c r="C229" s="221" t="s">
        <v>1025</v>
      </c>
      <c r="D229" s="221" t="s">
        <v>704</v>
      </c>
      <c r="E229" s="221">
        <f>1</f>
        <v>1</v>
      </c>
      <c r="F229" s="204" t="s">
        <v>850</v>
      </c>
      <c r="G229" s="204" t="str">
        <f t="shared" ref="G229:G231" si="269">F229</f>
        <v>5MVANG</v>
      </c>
      <c r="H229" s="204" t="str">
        <f t="shared" ref="H229:H231" si="270">G229</f>
        <v>5MVANG</v>
      </c>
      <c r="I229" s="204" t="str">
        <f t="shared" ref="I229:I231" si="271">H229</f>
        <v>5MVANG</v>
      </c>
      <c r="J229" s="204" t="str">
        <f t="shared" ref="J229:J231" si="272">I229</f>
        <v>5MVANG</v>
      </c>
      <c r="K229" s="204">
        <v>100</v>
      </c>
      <c r="L229" s="204">
        <v>7</v>
      </c>
      <c r="N229" s="204" t="str">
        <f t="shared" ref="N229:N231" si="273">F229</f>
        <v>5MVANG</v>
      </c>
      <c r="O229" s="204" t="str">
        <f t="shared" si="112"/>
        <v>5Y_I</v>
      </c>
      <c r="P229" s="204" t="str">
        <f t="shared" si="113"/>
        <v>7Y_I</v>
      </c>
    </row>
    <row r="230" spans="1:16" ht="13" x14ac:dyDescent="0.3">
      <c r="A230" s="25"/>
      <c r="B230">
        <v>5</v>
      </c>
      <c r="C230" s="221" t="s">
        <v>1026</v>
      </c>
      <c r="D230" s="221" t="s">
        <v>704</v>
      </c>
      <c r="E230" s="221">
        <f>1</f>
        <v>1</v>
      </c>
      <c r="F230" s="204" t="s">
        <v>850</v>
      </c>
      <c r="G230" s="204" t="str">
        <f t="shared" si="269"/>
        <v>5MVANG</v>
      </c>
      <c r="H230" s="204" t="str">
        <f t="shared" si="270"/>
        <v>5MVANG</v>
      </c>
      <c r="I230" s="204" t="str">
        <f t="shared" si="271"/>
        <v>5MVANG</v>
      </c>
      <c r="J230" s="204" t="str">
        <f t="shared" si="272"/>
        <v>5MVANG</v>
      </c>
      <c r="K230" s="204">
        <v>100</v>
      </c>
      <c r="L230" s="204">
        <v>7</v>
      </c>
      <c r="N230" s="204" t="str">
        <f t="shared" si="273"/>
        <v>5MVANG</v>
      </c>
      <c r="O230" s="204" t="str">
        <f t="shared" si="112"/>
        <v>5Y_I</v>
      </c>
      <c r="P230" s="204" t="str">
        <f t="shared" si="113"/>
        <v>7Y_I</v>
      </c>
    </row>
    <row r="231" spans="1:16" ht="13" x14ac:dyDescent="0.3">
      <c r="A231" s="25"/>
      <c r="B231">
        <v>5</v>
      </c>
      <c r="C231" s="221" t="s">
        <v>1027</v>
      </c>
      <c r="D231" s="221" t="s">
        <v>704</v>
      </c>
      <c r="E231" s="221">
        <f>1</f>
        <v>1</v>
      </c>
      <c r="F231" s="204" t="s">
        <v>850</v>
      </c>
      <c r="G231" s="204" t="str">
        <f t="shared" si="269"/>
        <v>5MVANG</v>
      </c>
      <c r="H231" s="204" t="str">
        <f t="shared" si="270"/>
        <v>5MVANG</v>
      </c>
      <c r="I231" s="204" t="str">
        <f t="shared" si="271"/>
        <v>5MVANG</v>
      </c>
      <c r="J231" s="204" t="str">
        <f t="shared" si="272"/>
        <v>5MVANG</v>
      </c>
      <c r="K231" s="204">
        <v>100</v>
      </c>
      <c r="L231" s="204">
        <v>7</v>
      </c>
      <c r="N231" s="204" t="str">
        <f t="shared" si="273"/>
        <v>5MVANG</v>
      </c>
      <c r="O231" s="204" t="str">
        <f t="shared" si="112"/>
        <v>5Y_I</v>
      </c>
      <c r="P231" s="204" t="str">
        <f t="shared" si="113"/>
        <v>7Y_I</v>
      </c>
    </row>
    <row r="232" spans="1:16" ht="13" x14ac:dyDescent="0.3">
      <c r="A232" s="25"/>
      <c r="B232">
        <v>7</v>
      </c>
      <c r="C232" s="221" t="s">
        <v>803</v>
      </c>
      <c r="D232" s="221" t="s">
        <v>704</v>
      </c>
      <c r="E232" s="221">
        <f>1</f>
        <v>1</v>
      </c>
      <c r="F232" s="204" t="s">
        <v>846</v>
      </c>
      <c r="G232" s="204" t="str">
        <f t="shared" si="107"/>
        <v>7GROP</v>
      </c>
      <c r="H232" s="204" t="str">
        <f t="shared" si="108"/>
        <v>7GROP</v>
      </c>
      <c r="I232" s="204" t="str">
        <f t="shared" si="109"/>
        <v>7GROP</v>
      </c>
      <c r="J232" s="204" t="str">
        <f t="shared" si="110"/>
        <v>7GROP</v>
      </c>
      <c r="K232" s="204">
        <v>100</v>
      </c>
      <c r="L232" s="204">
        <v>7</v>
      </c>
      <c r="N232" s="204" t="str">
        <f t="shared" si="111"/>
        <v>7GROP</v>
      </c>
      <c r="O232" s="204" t="str">
        <f t="shared" si="112"/>
        <v>7Y_I</v>
      </c>
      <c r="P232" s="204" t="str">
        <f t="shared" si="113"/>
        <v>9Y_I</v>
      </c>
    </row>
    <row r="233" spans="1:16" ht="13" x14ac:dyDescent="0.3">
      <c r="A233" s="25"/>
      <c r="B233">
        <v>7</v>
      </c>
      <c r="C233" s="221" t="s">
        <v>1028</v>
      </c>
      <c r="D233" s="221" t="s">
        <v>704</v>
      </c>
      <c r="E233" s="221">
        <f>1</f>
        <v>1</v>
      </c>
      <c r="F233" s="204" t="s">
        <v>846</v>
      </c>
      <c r="G233" s="204" t="str">
        <f t="shared" ref="G233:G235" si="274">F233</f>
        <v>7GROP</v>
      </c>
      <c r="H233" s="204" t="str">
        <f t="shared" ref="H233:H235" si="275">G233</f>
        <v>7GROP</v>
      </c>
      <c r="I233" s="204" t="str">
        <f t="shared" ref="I233:I235" si="276">H233</f>
        <v>7GROP</v>
      </c>
      <c r="J233" s="204" t="str">
        <f t="shared" ref="J233:J235" si="277">I233</f>
        <v>7GROP</v>
      </c>
      <c r="K233" s="204">
        <v>100</v>
      </c>
      <c r="L233" s="204">
        <v>7</v>
      </c>
      <c r="N233" s="204" t="str">
        <f t="shared" ref="N233:N235" si="278">F233</f>
        <v>7GROP</v>
      </c>
      <c r="O233" s="204" t="str">
        <f t="shared" si="112"/>
        <v>7Y_I</v>
      </c>
      <c r="P233" s="204" t="str">
        <f t="shared" si="113"/>
        <v>9Y_I</v>
      </c>
    </row>
    <row r="234" spans="1:16" ht="13" x14ac:dyDescent="0.3">
      <c r="A234" s="25"/>
      <c r="B234">
        <v>7</v>
      </c>
      <c r="C234" s="221" t="s">
        <v>1029</v>
      </c>
      <c r="D234" s="221" t="s">
        <v>704</v>
      </c>
      <c r="E234" s="221">
        <f>1</f>
        <v>1</v>
      </c>
      <c r="F234" s="204" t="s">
        <v>846</v>
      </c>
      <c r="G234" s="204" t="str">
        <f t="shared" si="274"/>
        <v>7GROP</v>
      </c>
      <c r="H234" s="204" t="str">
        <f t="shared" si="275"/>
        <v>7GROP</v>
      </c>
      <c r="I234" s="204" t="str">
        <f t="shared" si="276"/>
        <v>7GROP</v>
      </c>
      <c r="J234" s="204" t="str">
        <f t="shared" si="277"/>
        <v>7GROP</v>
      </c>
      <c r="K234" s="204">
        <v>100</v>
      </c>
      <c r="L234" s="204">
        <v>7</v>
      </c>
      <c r="N234" s="204" t="str">
        <f t="shared" si="278"/>
        <v>7GROP</v>
      </c>
      <c r="O234" s="204" t="str">
        <f t="shared" si="112"/>
        <v>7Y_I</v>
      </c>
      <c r="P234" s="204" t="str">
        <f t="shared" si="113"/>
        <v>9Y_I</v>
      </c>
    </row>
    <row r="235" spans="1:16" ht="13" x14ac:dyDescent="0.3">
      <c r="A235" s="25"/>
      <c r="B235">
        <v>7</v>
      </c>
      <c r="C235" s="221" t="s">
        <v>1030</v>
      </c>
      <c r="D235" s="221" t="s">
        <v>704</v>
      </c>
      <c r="E235" s="221">
        <f>1</f>
        <v>1</v>
      </c>
      <c r="F235" s="204" t="s">
        <v>846</v>
      </c>
      <c r="G235" s="204" t="str">
        <f t="shared" si="274"/>
        <v>7GROP</v>
      </c>
      <c r="H235" s="204" t="str">
        <f t="shared" si="275"/>
        <v>7GROP</v>
      </c>
      <c r="I235" s="204" t="str">
        <f t="shared" si="276"/>
        <v>7GROP</v>
      </c>
      <c r="J235" s="204" t="str">
        <f t="shared" si="277"/>
        <v>7GROP</v>
      </c>
      <c r="K235" s="204">
        <v>100</v>
      </c>
      <c r="L235" s="204">
        <v>7</v>
      </c>
      <c r="N235" s="204" t="str">
        <f t="shared" si="278"/>
        <v>7GROP</v>
      </c>
      <c r="O235" s="204" t="str">
        <f t="shared" si="112"/>
        <v>7Y_I</v>
      </c>
      <c r="P235" s="204" t="str">
        <f t="shared" si="113"/>
        <v>9Y_I</v>
      </c>
    </row>
    <row r="236" spans="1:16" ht="13" x14ac:dyDescent="0.3">
      <c r="A236" s="25"/>
      <c r="B236">
        <v>7</v>
      </c>
      <c r="C236" s="221" t="s">
        <v>804</v>
      </c>
      <c r="D236" s="221" t="s">
        <v>704</v>
      </c>
      <c r="E236" s="221">
        <f>1</f>
        <v>1</v>
      </c>
      <c r="F236" s="204" t="s">
        <v>852</v>
      </c>
      <c r="G236" s="204" t="str">
        <f t="shared" si="107"/>
        <v>7MVANG</v>
      </c>
      <c r="H236" s="204" t="str">
        <f t="shared" si="108"/>
        <v>7MVANG</v>
      </c>
      <c r="I236" s="204" t="str">
        <f t="shared" si="109"/>
        <v>7MVANG</v>
      </c>
      <c r="J236" s="204" t="str">
        <f t="shared" si="110"/>
        <v>7MVANG</v>
      </c>
      <c r="K236" s="204">
        <v>100</v>
      </c>
      <c r="L236" s="204">
        <v>7</v>
      </c>
      <c r="N236" s="204" t="str">
        <f t="shared" si="111"/>
        <v>7MVANG</v>
      </c>
      <c r="O236" s="204" t="str">
        <f t="shared" si="112"/>
        <v>7Y_I</v>
      </c>
      <c r="P236" s="204" t="str">
        <f t="shared" si="113"/>
        <v>9Y_I</v>
      </c>
    </row>
    <row r="237" spans="1:16" ht="13" x14ac:dyDescent="0.3">
      <c r="A237" s="25"/>
      <c r="B237">
        <v>7</v>
      </c>
      <c r="C237" s="221" t="s">
        <v>1031</v>
      </c>
      <c r="D237" s="221" t="s">
        <v>704</v>
      </c>
      <c r="E237" s="221">
        <f>1</f>
        <v>1</v>
      </c>
      <c r="F237" s="204" t="s">
        <v>852</v>
      </c>
      <c r="G237" s="204" t="str">
        <f t="shared" ref="G237:G239" si="279">F237</f>
        <v>7MVANG</v>
      </c>
      <c r="H237" s="204" t="str">
        <f t="shared" ref="H237:H239" si="280">G237</f>
        <v>7MVANG</v>
      </c>
      <c r="I237" s="204" t="str">
        <f t="shared" ref="I237:I239" si="281">H237</f>
        <v>7MVANG</v>
      </c>
      <c r="J237" s="204" t="str">
        <f t="shared" ref="J237:J239" si="282">I237</f>
        <v>7MVANG</v>
      </c>
      <c r="K237" s="204">
        <v>100</v>
      </c>
      <c r="L237" s="204">
        <v>7</v>
      </c>
      <c r="N237" s="204" t="str">
        <f t="shared" ref="N237:N239" si="283">F237</f>
        <v>7MVANG</v>
      </c>
      <c r="O237" s="204" t="str">
        <f t="shared" si="112"/>
        <v>7Y_I</v>
      </c>
      <c r="P237" s="204" t="str">
        <f t="shared" si="113"/>
        <v>9Y_I</v>
      </c>
    </row>
    <row r="238" spans="1:16" ht="13" x14ac:dyDescent="0.3">
      <c r="A238" s="25"/>
      <c r="B238">
        <v>7</v>
      </c>
      <c r="C238" s="221" t="s">
        <v>1032</v>
      </c>
      <c r="D238" s="221" t="s">
        <v>704</v>
      </c>
      <c r="E238" s="221">
        <f>1</f>
        <v>1</v>
      </c>
      <c r="F238" s="204" t="s">
        <v>852</v>
      </c>
      <c r="G238" s="204" t="str">
        <f t="shared" si="279"/>
        <v>7MVANG</v>
      </c>
      <c r="H238" s="204" t="str">
        <f t="shared" si="280"/>
        <v>7MVANG</v>
      </c>
      <c r="I238" s="204" t="str">
        <f t="shared" si="281"/>
        <v>7MVANG</v>
      </c>
      <c r="J238" s="204" t="str">
        <f t="shared" si="282"/>
        <v>7MVANG</v>
      </c>
      <c r="K238" s="204">
        <v>100</v>
      </c>
      <c r="L238" s="204">
        <v>7</v>
      </c>
      <c r="N238" s="204" t="str">
        <f t="shared" si="283"/>
        <v>7MVANG</v>
      </c>
      <c r="O238" s="204" t="str">
        <f t="shared" si="112"/>
        <v>7Y_I</v>
      </c>
      <c r="P238" s="204" t="str">
        <f t="shared" si="113"/>
        <v>9Y_I</v>
      </c>
    </row>
    <row r="239" spans="1:16" ht="13" x14ac:dyDescent="0.3">
      <c r="A239" s="25"/>
      <c r="B239">
        <v>7</v>
      </c>
      <c r="C239" s="221" t="s">
        <v>1033</v>
      </c>
      <c r="D239" s="221" t="s">
        <v>704</v>
      </c>
      <c r="E239" s="221">
        <f>1</f>
        <v>1</v>
      </c>
      <c r="F239" s="204" t="s">
        <v>852</v>
      </c>
      <c r="G239" s="204" t="str">
        <f t="shared" si="279"/>
        <v>7MVANG</v>
      </c>
      <c r="H239" s="204" t="str">
        <f t="shared" si="280"/>
        <v>7MVANG</v>
      </c>
      <c r="I239" s="204" t="str">
        <f t="shared" si="281"/>
        <v>7MVANG</v>
      </c>
      <c r="J239" s="204" t="str">
        <f t="shared" si="282"/>
        <v>7MVANG</v>
      </c>
      <c r="K239" s="204">
        <v>100</v>
      </c>
      <c r="L239" s="204">
        <v>7</v>
      </c>
      <c r="N239" s="204" t="str">
        <f t="shared" si="283"/>
        <v>7MVANG</v>
      </c>
      <c r="O239" s="204" t="str">
        <f t="shared" si="112"/>
        <v>7Y_I</v>
      </c>
      <c r="P239" s="204" t="str">
        <f t="shared" si="113"/>
        <v>9Y_I</v>
      </c>
    </row>
    <row r="240" spans="1:16" ht="13" x14ac:dyDescent="0.3">
      <c r="A240" s="25"/>
      <c r="B240">
        <v>7</v>
      </c>
      <c r="C240" s="221" t="s">
        <v>805</v>
      </c>
      <c r="D240" s="221" t="s">
        <v>704</v>
      </c>
      <c r="E240" s="221">
        <f>1</f>
        <v>1</v>
      </c>
      <c r="F240" s="204" t="s">
        <v>851</v>
      </c>
      <c r="G240" s="204" t="str">
        <f t="shared" si="107"/>
        <v>7NGROP</v>
      </c>
      <c r="H240" s="204" t="str">
        <f t="shared" si="108"/>
        <v>7NGROP</v>
      </c>
      <c r="I240" s="204" t="str">
        <f t="shared" si="109"/>
        <v>7NGROP</v>
      </c>
      <c r="J240" s="204" t="str">
        <f t="shared" si="110"/>
        <v>7NGROP</v>
      </c>
      <c r="K240" s="204">
        <v>100</v>
      </c>
      <c r="L240" s="204">
        <v>7</v>
      </c>
      <c r="N240" s="204" t="str">
        <f t="shared" si="111"/>
        <v>7NGROP</v>
      </c>
      <c r="O240" s="204" t="str">
        <f t="shared" si="112"/>
        <v>7Y_I</v>
      </c>
      <c r="P240" s="204" t="str">
        <f t="shared" si="113"/>
        <v>9Y_I</v>
      </c>
    </row>
    <row r="241" spans="1:16" ht="13" x14ac:dyDescent="0.3">
      <c r="A241" s="25"/>
      <c r="B241">
        <v>7</v>
      </c>
      <c r="C241" s="221" t="s">
        <v>1034</v>
      </c>
      <c r="D241" s="221" t="s">
        <v>704</v>
      </c>
      <c r="E241" s="221">
        <f>1</f>
        <v>1</v>
      </c>
      <c r="F241" s="204" t="s">
        <v>851</v>
      </c>
      <c r="G241" s="204" t="str">
        <f t="shared" ref="G241:G243" si="284">F241</f>
        <v>7NGROP</v>
      </c>
      <c r="H241" s="204" t="str">
        <f t="shared" ref="H241:H243" si="285">G241</f>
        <v>7NGROP</v>
      </c>
      <c r="I241" s="204" t="str">
        <f t="shared" ref="I241:I243" si="286">H241</f>
        <v>7NGROP</v>
      </c>
      <c r="J241" s="204" t="str">
        <f t="shared" ref="J241:J243" si="287">I241</f>
        <v>7NGROP</v>
      </c>
      <c r="K241" s="204">
        <v>100</v>
      </c>
      <c r="L241" s="204">
        <v>7</v>
      </c>
      <c r="N241" s="204" t="str">
        <f t="shared" ref="N241:N243" si="288">F241</f>
        <v>7NGROP</v>
      </c>
      <c r="O241" s="204" t="str">
        <f t="shared" si="112"/>
        <v>7Y_I</v>
      </c>
      <c r="P241" s="204" t="str">
        <f t="shared" si="113"/>
        <v>9Y_I</v>
      </c>
    </row>
    <row r="242" spans="1:16" ht="13" x14ac:dyDescent="0.3">
      <c r="A242" s="25"/>
      <c r="B242">
        <v>7</v>
      </c>
      <c r="C242" s="221" t="s">
        <v>1035</v>
      </c>
      <c r="D242" s="221" t="s">
        <v>704</v>
      </c>
      <c r="E242" s="221">
        <f>1</f>
        <v>1</v>
      </c>
      <c r="F242" s="204" t="s">
        <v>851</v>
      </c>
      <c r="G242" s="204" t="str">
        <f t="shared" si="284"/>
        <v>7NGROP</v>
      </c>
      <c r="H242" s="204" t="str">
        <f t="shared" si="285"/>
        <v>7NGROP</v>
      </c>
      <c r="I242" s="204" t="str">
        <f t="shared" si="286"/>
        <v>7NGROP</v>
      </c>
      <c r="J242" s="204" t="str">
        <f t="shared" si="287"/>
        <v>7NGROP</v>
      </c>
      <c r="K242" s="204">
        <v>100</v>
      </c>
      <c r="L242" s="204">
        <v>7</v>
      </c>
      <c r="N242" s="204" t="str">
        <f t="shared" si="288"/>
        <v>7NGROP</v>
      </c>
      <c r="O242" s="204" t="str">
        <f t="shared" si="112"/>
        <v>7Y_I</v>
      </c>
      <c r="P242" s="204" t="str">
        <f t="shared" si="113"/>
        <v>9Y_I</v>
      </c>
    </row>
    <row r="243" spans="1:16" ht="13" x14ac:dyDescent="0.3">
      <c r="A243" s="25"/>
      <c r="B243">
        <v>7</v>
      </c>
      <c r="C243" s="221" t="s">
        <v>1036</v>
      </c>
      <c r="D243" s="221" t="s">
        <v>704</v>
      </c>
      <c r="E243" s="221">
        <f>1</f>
        <v>1</v>
      </c>
      <c r="F243" s="204" t="s">
        <v>851</v>
      </c>
      <c r="G243" s="204" t="str">
        <f t="shared" si="284"/>
        <v>7NGROP</v>
      </c>
      <c r="H243" s="204" t="str">
        <f t="shared" si="285"/>
        <v>7NGROP</v>
      </c>
      <c r="I243" s="204" t="str">
        <f t="shared" si="286"/>
        <v>7NGROP</v>
      </c>
      <c r="J243" s="204" t="str">
        <f t="shared" si="287"/>
        <v>7NGROP</v>
      </c>
      <c r="K243" s="204">
        <v>100</v>
      </c>
      <c r="L243" s="204">
        <v>7</v>
      </c>
      <c r="N243" s="204" t="str">
        <f t="shared" si="288"/>
        <v>7NGROP</v>
      </c>
      <c r="O243" s="204" t="str">
        <f t="shared" si="112"/>
        <v>7Y_I</v>
      </c>
      <c r="P243" s="204" t="str">
        <f t="shared" si="113"/>
        <v>9Y_I</v>
      </c>
    </row>
    <row r="244" spans="1:16" ht="13" x14ac:dyDescent="0.3">
      <c r="A244" s="25"/>
      <c r="B244">
        <v>7</v>
      </c>
      <c r="C244" s="221" t="s">
        <v>806</v>
      </c>
      <c r="D244" s="221" t="s">
        <v>704</v>
      </c>
      <c r="E244" s="221">
        <f>1</f>
        <v>1</v>
      </c>
      <c r="F244" s="204" t="s">
        <v>852</v>
      </c>
      <c r="G244" s="204" t="str">
        <f t="shared" si="107"/>
        <v>7MVANG</v>
      </c>
      <c r="H244" s="204" t="str">
        <f t="shared" si="108"/>
        <v>7MVANG</v>
      </c>
      <c r="I244" s="204" t="str">
        <f t="shared" si="109"/>
        <v>7MVANG</v>
      </c>
      <c r="J244" s="204" t="str">
        <f t="shared" si="110"/>
        <v>7MVANG</v>
      </c>
      <c r="K244" s="204">
        <v>100</v>
      </c>
      <c r="L244" s="204">
        <v>7</v>
      </c>
      <c r="N244" s="204" t="str">
        <f t="shared" si="111"/>
        <v>7MVANG</v>
      </c>
      <c r="O244" s="204" t="str">
        <f t="shared" si="112"/>
        <v>7Y_I</v>
      </c>
      <c r="P244" s="204" t="str">
        <f t="shared" si="113"/>
        <v>9Y_I</v>
      </c>
    </row>
    <row r="245" spans="1:16" ht="13" x14ac:dyDescent="0.3">
      <c r="A245" s="25"/>
      <c r="B245">
        <v>7</v>
      </c>
      <c r="C245" s="221" t="s">
        <v>1037</v>
      </c>
      <c r="D245" s="221" t="s">
        <v>704</v>
      </c>
      <c r="E245" s="221">
        <f>1</f>
        <v>1</v>
      </c>
      <c r="F245" s="204" t="s">
        <v>852</v>
      </c>
      <c r="G245" s="204" t="str">
        <f t="shared" ref="G245:G247" si="289">F245</f>
        <v>7MVANG</v>
      </c>
      <c r="H245" s="204" t="str">
        <f t="shared" ref="H245:H247" si="290">G245</f>
        <v>7MVANG</v>
      </c>
      <c r="I245" s="204" t="str">
        <f t="shared" ref="I245:I247" si="291">H245</f>
        <v>7MVANG</v>
      </c>
      <c r="J245" s="204" t="str">
        <f t="shared" ref="J245:J247" si="292">I245</f>
        <v>7MVANG</v>
      </c>
      <c r="K245" s="204">
        <v>100</v>
      </c>
      <c r="L245" s="204">
        <v>7</v>
      </c>
      <c r="N245" s="204" t="str">
        <f t="shared" ref="N245:N247" si="293">F245</f>
        <v>7MVANG</v>
      </c>
      <c r="O245" s="204" t="str">
        <f t="shared" si="112"/>
        <v>7Y_I</v>
      </c>
      <c r="P245" s="204" t="str">
        <f t="shared" si="113"/>
        <v>9Y_I</v>
      </c>
    </row>
    <row r="246" spans="1:16" ht="13" x14ac:dyDescent="0.3">
      <c r="A246" s="25"/>
      <c r="B246">
        <v>7</v>
      </c>
      <c r="C246" s="221" t="s">
        <v>1038</v>
      </c>
      <c r="D246" s="221" t="s">
        <v>704</v>
      </c>
      <c r="E246" s="221">
        <f>1</f>
        <v>1</v>
      </c>
      <c r="F246" s="204" t="s">
        <v>852</v>
      </c>
      <c r="G246" s="204" t="str">
        <f t="shared" si="289"/>
        <v>7MVANG</v>
      </c>
      <c r="H246" s="204" t="str">
        <f t="shared" si="290"/>
        <v>7MVANG</v>
      </c>
      <c r="I246" s="204" t="str">
        <f t="shared" si="291"/>
        <v>7MVANG</v>
      </c>
      <c r="J246" s="204" t="str">
        <f t="shared" si="292"/>
        <v>7MVANG</v>
      </c>
      <c r="K246" s="204">
        <v>100</v>
      </c>
      <c r="L246" s="204">
        <v>7</v>
      </c>
      <c r="N246" s="204" t="str">
        <f t="shared" si="293"/>
        <v>7MVANG</v>
      </c>
      <c r="O246" s="204" t="str">
        <f t="shared" si="112"/>
        <v>7Y_I</v>
      </c>
      <c r="P246" s="204" t="str">
        <f t="shared" si="113"/>
        <v>9Y_I</v>
      </c>
    </row>
    <row r="247" spans="1:16" ht="13" x14ac:dyDescent="0.3">
      <c r="A247" s="25"/>
      <c r="B247">
        <v>7</v>
      </c>
      <c r="C247" s="221" t="s">
        <v>1039</v>
      </c>
      <c r="D247" s="221" t="s">
        <v>704</v>
      </c>
      <c r="E247" s="221">
        <f>1</f>
        <v>1</v>
      </c>
      <c r="F247" s="204" t="s">
        <v>852</v>
      </c>
      <c r="G247" s="204" t="str">
        <f t="shared" si="289"/>
        <v>7MVANG</v>
      </c>
      <c r="H247" s="204" t="str">
        <f t="shared" si="290"/>
        <v>7MVANG</v>
      </c>
      <c r="I247" s="204" t="str">
        <f t="shared" si="291"/>
        <v>7MVANG</v>
      </c>
      <c r="J247" s="204" t="str">
        <f t="shared" si="292"/>
        <v>7MVANG</v>
      </c>
      <c r="K247" s="204">
        <v>100</v>
      </c>
      <c r="L247" s="204">
        <v>7</v>
      </c>
      <c r="N247" s="204" t="str">
        <f t="shared" si="293"/>
        <v>7MVANG</v>
      </c>
      <c r="O247" s="204" t="str">
        <f t="shared" si="112"/>
        <v>7Y_I</v>
      </c>
      <c r="P247" s="204" t="str">
        <f t="shared" si="113"/>
        <v>9Y_I</v>
      </c>
    </row>
    <row r="248" spans="1:16" ht="13" x14ac:dyDescent="0.3">
      <c r="A248" s="25"/>
      <c r="B248">
        <v>3</v>
      </c>
      <c r="C248" s="221" t="s">
        <v>807</v>
      </c>
      <c r="D248" s="221" t="s">
        <v>704</v>
      </c>
      <c r="E248" s="221">
        <f>1</f>
        <v>1</v>
      </c>
      <c r="F248" s="204" t="s">
        <v>843</v>
      </c>
      <c r="G248" s="204" t="str">
        <f t="shared" si="107"/>
        <v>3GROP</v>
      </c>
      <c r="H248" s="204" t="str">
        <f t="shared" si="108"/>
        <v>3GROP</v>
      </c>
      <c r="I248" s="204" t="str">
        <f t="shared" si="109"/>
        <v>3GROP</v>
      </c>
      <c r="J248" s="204" t="str">
        <f t="shared" si="110"/>
        <v>3GROP</v>
      </c>
      <c r="K248" s="204">
        <v>100</v>
      </c>
      <c r="L248" s="204">
        <v>7</v>
      </c>
      <c r="N248" s="204" t="str">
        <f t="shared" si="111"/>
        <v>3GROP</v>
      </c>
      <c r="O248" s="204" t="str">
        <f t="shared" si="112"/>
        <v>3Y_I</v>
      </c>
      <c r="P248" s="204" t="str">
        <f t="shared" si="113"/>
        <v>5Y_I</v>
      </c>
    </row>
    <row r="249" spans="1:16" ht="13" x14ac:dyDescent="0.3">
      <c r="A249" s="25"/>
      <c r="B249">
        <v>3</v>
      </c>
      <c r="C249" s="221" t="s">
        <v>1040</v>
      </c>
      <c r="D249" s="221" t="s">
        <v>704</v>
      </c>
      <c r="E249" s="221">
        <f>1</f>
        <v>1</v>
      </c>
      <c r="F249" s="204" t="s">
        <v>843</v>
      </c>
      <c r="G249" s="204" t="str">
        <f t="shared" ref="G249:G251" si="294">F249</f>
        <v>3GROP</v>
      </c>
      <c r="H249" s="204" t="str">
        <f t="shared" ref="H249:H251" si="295">G249</f>
        <v>3GROP</v>
      </c>
      <c r="I249" s="204" t="str">
        <f t="shared" ref="I249:I251" si="296">H249</f>
        <v>3GROP</v>
      </c>
      <c r="J249" s="204" t="str">
        <f t="shared" ref="J249:J251" si="297">I249</f>
        <v>3GROP</v>
      </c>
      <c r="K249" s="204">
        <v>100</v>
      </c>
      <c r="L249" s="204">
        <v>7</v>
      </c>
      <c r="N249" s="204" t="str">
        <f t="shared" ref="N249:N251" si="298">F249</f>
        <v>3GROP</v>
      </c>
      <c r="O249" s="204" t="str">
        <f t="shared" si="112"/>
        <v>3Y_I</v>
      </c>
      <c r="P249" s="204" t="str">
        <f t="shared" si="113"/>
        <v>5Y_I</v>
      </c>
    </row>
    <row r="250" spans="1:16" ht="13" x14ac:dyDescent="0.3">
      <c r="A250" s="25"/>
      <c r="B250">
        <v>3</v>
      </c>
      <c r="C250" s="221" t="s">
        <v>1041</v>
      </c>
      <c r="D250" s="221" t="s">
        <v>704</v>
      </c>
      <c r="E250" s="221">
        <f>1</f>
        <v>1</v>
      </c>
      <c r="F250" s="204" t="s">
        <v>843</v>
      </c>
      <c r="G250" s="204" t="str">
        <f t="shared" si="294"/>
        <v>3GROP</v>
      </c>
      <c r="H250" s="204" t="str">
        <f t="shared" si="295"/>
        <v>3GROP</v>
      </c>
      <c r="I250" s="204" t="str">
        <f t="shared" si="296"/>
        <v>3GROP</v>
      </c>
      <c r="J250" s="204" t="str">
        <f t="shared" si="297"/>
        <v>3GROP</v>
      </c>
      <c r="K250" s="204">
        <v>100</v>
      </c>
      <c r="L250" s="204">
        <v>7</v>
      </c>
      <c r="N250" s="204" t="str">
        <f t="shared" si="298"/>
        <v>3GROP</v>
      </c>
      <c r="O250" s="204" t="str">
        <f t="shared" si="112"/>
        <v>3Y_I</v>
      </c>
      <c r="P250" s="204" t="str">
        <f t="shared" si="113"/>
        <v>5Y_I</v>
      </c>
    </row>
    <row r="251" spans="1:16" ht="13" x14ac:dyDescent="0.3">
      <c r="A251" s="25"/>
      <c r="B251">
        <v>3</v>
      </c>
      <c r="C251" s="221" t="s">
        <v>1042</v>
      </c>
      <c r="D251" s="221" t="s">
        <v>704</v>
      </c>
      <c r="E251" s="221">
        <f>1</f>
        <v>1</v>
      </c>
      <c r="F251" s="204" t="s">
        <v>843</v>
      </c>
      <c r="G251" s="204" t="str">
        <f t="shared" si="294"/>
        <v>3GROP</v>
      </c>
      <c r="H251" s="204" t="str">
        <f t="shared" si="295"/>
        <v>3GROP</v>
      </c>
      <c r="I251" s="204" t="str">
        <f t="shared" si="296"/>
        <v>3GROP</v>
      </c>
      <c r="J251" s="204" t="str">
        <f t="shared" si="297"/>
        <v>3GROP</v>
      </c>
      <c r="K251" s="204">
        <v>100</v>
      </c>
      <c r="L251" s="204">
        <v>7</v>
      </c>
      <c r="N251" s="204" t="str">
        <f t="shared" si="298"/>
        <v>3GROP</v>
      </c>
      <c r="O251" s="204" t="str">
        <f t="shared" si="112"/>
        <v>3Y_I</v>
      </c>
      <c r="P251" s="204" t="str">
        <f t="shared" si="113"/>
        <v>5Y_I</v>
      </c>
    </row>
    <row r="252" spans="1:16" ht="13" x14ac:dyDescent="0.3">
      <c r="A252" s="25"/>
      <c r="B252">
        <v>3</v>
      </c>
      <c r="C252" s="221" t="s">
        <v>808</v>
      </c>
      <c r="D252" s="221" t="s">
        <v>704</v>
      </c>
      <c r="E252" s="221">
        <f>1</f>
        <v>1</v>
      </c>
      <c r="F252" s="204" t="s">
        <v>847</v>
      </c>
      <c r="G252" s="204" t="str">
        <f t="shared" si="107"/>
        <v>3MVANG</v>
      </c>
      <c r="H252" s="204" t="str">
        <f t="shared" si="108"/>
        <v>3MVANG</v>
      </c>
      <c r="I252" s="204" t="str">
        <f t="shared" si="109"/>
        <v>3MVANG</v>
      </c>
      <c r="J252" s="204" t="str">
        <f t="shared" si="110"/>
        <v>3MVANG</v>
      </c>
      <c r="K252" s="204">
        <v>100</v>
      </c>
      <c r="L252" s="204">
        <v>7</v>
      </c>
      <c r="N252" s="204" t="str">
        <f t="shared" si="111"/>
        <v>3MVANG</v>
      </c>
      <c r="O252" s="204" t="str">
        <f t="shared" si="112"/>
        <v>3Y_I</v>
      </c>
      <c r="P252" s="204" t="str">
        <f t="shared" si="113"/>
        <v>5Y_I</v>
      </c>
    </row>
    <row r="253" spans="1:16" ht="13" x14ac:dyDescent="0.3">
      <c r="A253" s="25"/>
      <c r="B253">
        <v>3</v>
      </c>
      <c r="C253" s="221" t="s">
        <v>1043</v>
      </c>
      <c r="D253" s="221" t="s">
        <v>704</v>
      </c>
      <c r="E253" s="221">
        <f>1</f>
        <v>1</v>
      </c>
      <c r="F253" s="204" t="s">
        <v>847</v>
      </c>
      <c r="G253" s="204" t="str">
        <f t="shared" ref="G253:G255" si="299">F253</f>
        <v>3MVANG</v>
      </c>
      <c r="H253" s="204" t="str">
        <f t="shared" ref="H253:H255" si="300">G253</f>
        <v>3MVANG</v>
      </c>
      <c r="I253" s="204" t="str">
        <f t="shared" ref="I253:I255" si="301">H253</f>
        <v>3MVANG</v>
      </c>
      <c r="J253" s="204" t="str">
        <f t="shared" ref="J253:J255" si="302">I253</f>
        <v>3MVANG</v>
      </c>
      <c r="K253" s="204">
        <v>100</v>
      </c>
      <c r="L253" s="204">
        <v>7</v>
      </c>
      <c r="N253" s="204" t="str">
        <f t="shared" ref="N253:N255" si="303">F253</f>
        <v>3MVANG</v>
      </c>
      <c r="O253" s="204" t="str">
        <f t="shared" si="112"/>
        <v>3Y_I</v>
      </c>
      <c r="P253" s="204" t="str">
        <f t="shared" si="113"/>
        <v>5Y_I</v>
      </c>
    </row>
    <row r="254" spans="1:16" ht="13" x14ac:dyDescent="0.3">
      <c r="A254" s="25"/>
      <c r="B254">
        <v>3</v>
      </c>
      <c r="C254" s="221" t="s">
        <v>1044</v>
      </c>
      <c r="D254" s="221" t="s">
        <v>704</v>
      </c>
      <c r="E254" s="221">
        <f>1</f>
        <v>1</v>
      </c>
      <c r="F254" s="204" t="s">
        <v>847</v>
      </c>
      <c r="G254" s="204" t="str">
        <f t="shared" si="299"/>
        <v>3MVANG</v>
      </c>
      <c r="H254" s="204" t="str">
        <f t="shared" si="300"/>
        <v>3MVANG</v>
      </c>
      <c r="I254" s="204" t="str">
        <f t="shared" si="301"/>
        <v>3MVANG</v>
      </c>
      <c r="J254" s="204" t="str">
        <f t="shared" si="302"/>
        <v>3MVANG</v>
      </c>
      <c r="K254" s="204">
        <v>100</v>
      </c>
      <c r="L254" s="204">
        <v>7</v>
      </c>
      <c r="N254" s="204" t="str">
        <f t="shared" si="303"/>
        <v>3MVANG</v>
      </c>
      <c r="O254" s="204" t="str">
        <f t="shared" si="112"/>
        <v>3Y_I</v>
      </c>
      <c r="P254" s="204" t="str">
        <f t="shared" si="113"/>
        <v>5Y_I</v>
      </c>
    </row>
    <row r="255" spans="1:16" ht="13" x14ac:dyDescent="0.3">
      <c r="A255" s="25"/>
      <c r="B255">
        <v>3</v>
      </c>
      <c r="C255" s="221" t="s">
        <v>1045</v>
      </c>
      <c r="D255" s="221" t="s">
        <v>704</v>
      </c>
      <c r="E255" s="221">
        <f>1</f>
        <v>1</v>
      </c>
      <c r="F255" s="204" t="s">
        <v>847</v>
      </c>
      <c r="G255" s="204" t="str">
        <f t="shared" si="299"/>
        <v>3MVANG</v>
      </c>
      <c r="H255" s="204" t="str">
        <f t="shared" si="300"/>
        <v>3MVANG</v>
      </c>
      <c r="I255" s="204" t="str">
        <f t="shared" si="301"/>
        <v>3MVANG</v>
      </c>
      <c r="J255" s="204" t="str">
        <f t="shared" si="302"/>
        <v>3MVANG</v>
      </c>
      <c r="K255" s="204">
        <v>100</v>
      </c>
      <c r="L255" s="204">
        <v>7</v>
      </c>
      <c r="N255" s="204" t="str">
        <f t="shared" si="303"/>
        <v>3MVANG</v>
      </c>
      <c r="O255" s="204" t="str">
        <f t="shared" si="112"/>
        <v>3Y_I</v>
      </c>
      <c r="P255" s="204" t="str">
        <f t="shared" si="113"/>
        <v>5Y_I</v>
      </c>
    </row>
    <row r="256" spans="1:16" ht="13" x14ac:dyDescent="0.3">
      <c r="A256" s="25"/>
      <c r="B256">
        <v>3</v>
      </c>
      <c r="C256" s="221" t="s">
        <v>809</v>
      </c>
      <c r="D256" s="221" t="s">
        <v>704</v>
      </c>
      <c r="E256" s="221">
        <f>1</f>
        <v>1</v>
      </c>
      <c r="F256" s="204" t="s">
        <v>847</v>
      </c>
      <c r="G256" s="204" t="str">
        <f t="shared" si="107"/>
        <v>3MVANG</v>
      </c>
      <c r="H256" s="204" t="str">
        <f t="shared" si="108"/>
        <v>3MVANG</v>
      </c>
      <c r="I256" s="204" t="str">
        <f t="shared" si="109"/>
        <v>3MVANG</v>
      </c>
      <c r="J256" s="204" t="str">
        <f t="shared" si="110"/>
        <v>3MVANG</v>
      </c>
      <c r="K256" s="204">
        <v>100</v>
      </c>
      <c r="L256" s="204">
        <v>7</v>
      </c>
      <c r="N256" s="204" t="str">
        <f t="shared" si="111"/>
        <v>3MVANG</v>
      </c>
      <c r="O256" s="204" t="str">
        <f t="shared" si="112"/>
        <v>3Y_I</v>
      </c>
      <c r="P256" s="204" t="str">
        <f t="shared" si="113"/>
        <v>5Y_I</v>
      </c>
    </row>
    <row r="257" spans="1:16" ht="13" x14ac:dyDescent="0.3">
      <c r="A257" s="25"/>
      <c r="B257">
        <v>3</v>
      </c>
      <c r="C257" s="221" t="s">
        <v>1046</v>
      </c>
      <c r="D257" s="221" t="s">
        <v>704</v>
      </c>
      <c r="E257" s="221">
        <f>1</f>
        <v>1</v>
      </c>
      <c r="F257" s="204" t="s">
        <v>847</v>
      </c>
      <c r="G257" s="204" t="str">
        <f t="shared" ref="G257:G259" si="304">F257</f>
        <v>3MVANG</v>
      </c>
      <c r="H257" s="204" t="str">
        <f t="shared" ref="H257:H259" si="305">G257</f>
        <v>3MVANG</v>
      </c>
      <c r="I257" s="204" t="str">
        <f t="shared" ref="I257:I259" si="306">H257</f>
        <v>3MVANG</v>
      </c>
      <c r="J257" s="204" t="str">
        <f t="shared" ref="J257:J259" si="307">I257</f>
        <v>3MVANG</v>
      </c>
      <c r="K257" s="204">
        <v>100</v>
      </c>
      <c r="L257" s="204">
        <v>7</v>
      </c>
      <c r="N257" s="204" t="str">
        <f t="shared" ref="N257:N259" si="308">F257</f>
        <v>3MVANG</v>
      </c>
      <c r="O257" s="204" t="str">
        <f t="shared" si="112"/>
        <v>3Y_I</v>
      </c>
      <c r="P257" s="204" t="str">
        <f t="shared" si="113"/>
        <v>5Y_I</v>
      </c>
    </row>
    <row r="258" spans="1:16" ht="13" x14ac:dyDescent="0.3">
      <c r="A258" s="25"/>
      <c r="B258">
        <v>3</v>
      </c>
      <c r="C258" s="221" t="s">
        <v>1047</v>
      </c>
      <c r="D258" s="221" t="s">
        <v>704</v>
      </c>
      <c r="E258" s="221">
        <f>1</f>
        <v>1</v>
      </c>
      <c r="F258" s="204" t="s">
        <v>847</v>
      </c>
      <c r="G258" s="204" t="str">
        <f t="shared" si="304"/>
        <v>3MVANG</v>
      </c>
      <c r="H258" s="204" t="str">
        <f t="shared" si="305"/>
        <v>3MVANG</v>
      </c>
      <c r="I258" s="204" t="str">
        <f t="shared" si="306"/>
        <v>3MVANG</v>
      </c>
      <c r="J258" s="204" t="str">
        <f t="shared" si="307"/>
        <v>3MVANG</v>
      </c>
      <c r="K258" s="204">
        <v>100</v>
      </c>
      <c r="L258" s="204">
        <v>7</v>
      </c>
      <c r="N258" s="204" t="str">
        <f t="shared" si="308"/>
        <v>3MVANG</v>
      </c>
      <c r="O258" s="204" t="str">
        <f t="shared" si="112"/>
        <v>3Y_I</v>
      </c>
      <c r="P258" s="204" t="str">
        <f t="shared" si="113"/>
        <v>5Y_I</v>
      </c>
    </row>
    <row r="259" spans="1:16" ht="13" x14ac:dyDescent="0.3">
      <c r="A259" s="25"/>
      <c r="B259">
        <v>3</v>
      </c>
      <c r="C259" s="221" t="s">
        <v>1048</v>
      </c>
      <c r="D259" s="221" t="s">
        <v>704</v>
      </c>
      <c r="E259" s="221">
        <f>1</f>
        <v>1</v>
      </c>
      <c r="F259" s="204" t="s">
        <v>847</v>
      </c>
      <c r="G259" s="204" t="str">
        <f t="shared" si="304"/>
        <v>3MVANG</v>
      </c>
      <c r="H259" s="204" t="str">
        <f t="shared" si="305"/>
        <v>3MVANG</v>
      </c>
      <c r="I259" s="204" t="str">
        <f t="shared" si="306"/>
        <v>3MVANG</v>
      </c>
      <c r="J259" s="204" t="str">
        <f t="shared" si="307"/>
        <v>3MVANG</v>
      </c>
      <c r="K259" s="204">
        <v>100</v>
      </c>
      <c r="L259" s="204">
        <v>7</v>
      </c>
      <c r="N259" s="204" t="str">
        <f t="shared" si="308"/>
        <v>3MVANG</v>
      </c>
      <c r="O259" s="204" t="str">
        <f t="shared" si="112"/>
        <v>3Y_I</v>
      </c>
      <c r="P259" s="204" t="str">
        <f t="shared" si="113"/>
        <v>5Y_I</v>
      </c>
    </row>
    <row r="260" spans="1:16" ht="13" x14ac:dyDescent="0.3">
      <c r="A260" s="25"/>
      <c r="B260">
        <v>3</v>
      </c>
      <c r="C260" s="221" t="s">
        <v>810</v>
      </c>
      <c r="D260" s="221" t="s">
        <v>704</v>
      </c>
      <c r="E260" s="221">
        <f>1</f>
        <v>1</v>
      </c>
      <c r="F260" s="204" t="s">
        <v>847</v>
      </c>
      <c r="G260" s="204" t="str">
        <f t="shared" si="107"/>
        <v>3MVANG</v>
      </c>
      <c r="H260" s="204" t="str">
        <f t="shared" si="108"/>
        <v>3MVANG</v>
      </c>
      <c r="I260" s="204" t="str">
        <f t="shared" si="109"/>
        <v>3MVANG</v>
      </c>
      <c r="J260" s="204" t="str">
        <f t="shared" si="110"/>
        <v>3MVANG</v>
      </c>
      <c r="K260" s="204">
        <v>100</v>
      </c>
      <c r="L260" s="204">
        <v>7</v>
      </c>
      <c r="N260" s="204" t="str">
        <f t="shared" si="111"/>
        <v>3MVANG</v>
      </c>
      <c r="O260" s="204" t="str">
        <f t="shared" si="112"/>
        <v>3Y_I</v>
      </c>
      <c r="P260" s="204" t="str">
        <f t="shared" si="113"/>
        <v>5Y_I</v>
      </c>
    </row>
    <row r="261" spans="1:16" ht="13" x14ac:dyDescent="0.3">
      <c r="A261" s="25"/>
      <c r="B261">
        <v>3</v>
      </c>
      <c r="C261" s="221" t="s">
        <v>1049</v>
      </c>
      <c r="D261" s="221" t="s">
        <v>704</v>
      </c>
      <c r="E261" s="221">
        <f>1</f>
        <v>1</v>
      </c>
      <c r="F261" s="204" t="s">
        <v>847</v>
      </c>
      <c r="G261" s="204" t="str">
        <f t="shared" ref="G261:G263" si="309">F261</f>
        <v>3MVANG</v>
      </c>
      <c r="H261" s="204" t="str">
        <f t="shared" ref="H261:H263" si="310">G261</f>
        <v>3MVANG</v>
      </c>
      <c r="I261" s="204" t="str">
        <f t="shared" ref="I261:I263" si="311">H261</f>
        <v>3MVANG</v>
      </c>
      <c r="J261" s="204" t="str">
        <f t="shared" ref="J261:J263" si="312">I261</f>
        <v>3MVANG</v>
      </c>
      <c r="K261" s="204">
        <v>100</v>
      </c>
      <c r="L261" s="204">
        <v>7</v>
      </c>
      <c r="N261" s="204" t="str">
        <f t="shared" ref="N261:N263" si="313">F261</f>
        <v>3MVANG</v>
      </c>
      <c r="O261" s="204" t="str">
        <f t="shared" si="112"/>
        <v>3Y_I</v>
      </c>
      <c r="P261" s="204" t="str">
        <f t="shared" si="113"/>
        <v>5Y_I</v>
      </c>
    </row>
    <row r="262" spans="1:16" ht="13" x14ac:dyDescent="0.3">
      <c r="A262" s="25"/>
      <c r="B262">
        <v>3</v>
      </c>
      <c r="C262" s="221" t="s">
        <v>1050</v>
      </c>
      <c r="D262" s="221" t="s">
        <v>704</v>
      </c>
      <c r="E262" s="221">
        <f>1</f>
        <v>1</v>
      </c>
      <c r="F262" s="204" t="s">
        <v>847</v>
      </c>
      <c r="G262" s="204" t="str">
        <f t="shared" si="309"/>
        <v>3MVANG</v>
      </c>
      <c r="H262" s="204" t="str">
        <f t="shared" si="310"/>
        <v>3MVANG</v>
      </c>
      <c r="I262" s="204" t="str">
        <f t="shared" si="311"/>
        <v>3MVANG</v>
      </c>
      <c r="J262" s="204" t="str">
        <f t="shared" si="312"/>
        <v>3MVANG</v>
      </c>
      <c r="K262" s="204">
        <v>100</v>
      </c>
      <c r="L262" s="204">
        <v>7</v>
      </c>
      <c r="N262" s="204" t="str">
        <f t="shared" si="313"/>
        <v>3MVANG</v>
      </c>
      <c r="O262" s="204" t="str">
        <f t="shared" si="112"/>
        <v>3Y_I</v>
      </c>
      <c r="P262" s="204" t="str">
        <f t="shared" si="113"/>
        <v>5Y_I</v>
      </c>
    </row>
    <row r="263" spans="1:16" ht="13" x14ac:dyDescent="0.3">
      <c r="A263" s="25"/>
      <c r="B263">
        <v>3</v>
      </c>
      <c r="C263" s="221" t="s">
        <v>1051</v>
      </c>
      <c r="D263" s="221" t="s">
        <v>704</v>
      </c>
      <c r="E263" s="221">
        <f>1</f>
        <v>1</v>
      </c>
      <c r="F263" s="204" t="s">
        <v>847</v>
      </c>
      <c r="G263" s="204" t="str">
        <f t="shared" si="309"/>
        <v>3MVANG</v>
      </c>
      <c r="H263" s="204" t="str">
        <f t="shared" si="310"/>
        <v>3MVANG</v>
      </c>
      <c r="I263" s="204" t="str">
        <f t="shared" si="311"/>
        <v>3MVANG</v>
      </c>
      <c r="J263" s="204" t="str">
        <f t="shared" si="312"/>
        <v>3MVANG</v>
      </c>
      <c r="K263" s="204">
        <v>100</v>
      </c>
      <c r="L263" s="204">
        <v>7</v>
      </c>
      <c r="N263" s="204" t="str">
        <f t="shared" si="313"/>
        <v>3MVANG</v>
      </c>
      <c r="O263" s="204" t="str">
        <f t="shared" si="112"/>
        <v>3Y_I</v>
      </c>
      <c r="P263" s="204" t="str">
        <f t="shared" si="113"/>
        <v>5Y_I</v>
      </c>
    </row>
    <row r="264" spans="1:16" ht="13" x14ac:dyDescent="0.3">
      <c r="A264" s="25"/>
      <c r="B264">
        <v>4</v>
      </c>
      <c r="C264" s="221" t="s">
        <v>811</v>
      </c>
      <c r="D264" s="221" t="s">
        <v>704</v>
      </c>
      <c r="E264" s="221">
        <f>1</f>
        <v>1</v>
      </c>
      <c r="F264" s="204" t="s">
        <v>844</v>
      </c>
      <c r="G264" s="204" t="str">
        <f t="shared" si="107"/>
        <v>4GROP</v>
      </c>
      <c r="H264" s="204" t="str">
        <f t="shared" si="108"/>
        <v>4GROP</v>
      </c>
      <c r="I264" s="204" t="str">
        <f t="shared" si="109"/>
        <v>4GROP</v>
      </c>
      <c r="J264" s="204" t="str">
        <f t="shared" si="110"/>
        <v>4GROP</v>
      </c>
      <c r="K264" s="204">
        <v>100</v>
      </c>
      <c r="L264" s="204">
        <v>7</v>
      </c>
      <c r="N264" s="204" t="str">
        <f t="shared" si="111"/>
        <v>4GROP</v>
      </c>
      <c r="O264" s="204" t="str">
        <f t="shared" si="112"/>
        <v>4Y_I</v>
      </c>
      <c r="P264" s="204" t="str">
        <f t="shared" si="113"/>
        <v>6Y_I</v>
      </c>
    </row>
    <row r="265" spans="1:16" ht="13" x14ac:dyDescent="0.3">
      <c r="A265" s="25"/>
      <c r="B265">
        <v>4</v>
      </c>
      <c r="C265" s="221" t="s">
        <v>1052</v>
      </c>
      <c r="D265" s="221" t="s">
        <v>704</v>
      </c>
      <c r="E265" s="221">
        <f>1</f>
        <v>1</v>
      </c>
      <c r="F265" s="204" t="s">
        <v>844</v>
      </c>
      <c r="G265" s="204" t="str">
        <f t="shared" ref="G265:G267" si="314">F265</f>
        <v>4GROP</v>
      </c>
      <c r="H265" s="204" t="str">
        <f t="shared" ref="H265:H267" si="315">G265</f>
        <v>4GROP</v>
      </c>
      <c r="I265" s="204" t="str">
        <f t="shared" ref="I265:I267" si="316">H265</f>
        <v>4GROP</v>
      </c>
      <c r="J265" s="204" t="str">
        <f t="shared" ref="J265:J267" si="317">I265</f>
        <v>4GROP</v>
      </c>
      <c r="K265" s="204">
        <v>100</v>
      </c>
      <c r="L265" s="204">
        <v>7</v>
      </c>
      <c r="N265" s="204" t="str">
        <f t="shared" ref="N265:N267" si="318">F265</f>
        <v>4GROP</v>
      </c>
      <c r="O265" s="204" t="str">
        <f t="shared" si="112"/>
        <v>4Y_I</v>
      </c>
      <c r="P265" s="204" t="str">
        <f t="shared" si="113"/>
        <v>6Y_I</v>
      </c>
    </row>
    <row r="266" spans="1:16" ht="13" x14ac:dyDescent="0.3">
      <c r="A266" s="25"/>
      <c r="B266">
        <v>4</v>
      </c>
      <c r="C266" s="221" t="s">
        <v>1053</v>
      </c>
      <c r="D266" s="221" t="s">
        <v>704</v>
      </c>
      <c r="E266" s="221">
        <f>1</f>
        <v>1</v>
      </c>
      <c r="F266" s="204" t="s">
        <v>844</v>
      </c>
      <c r="G266" s="204" t="str">
        <f t="shared" si="314"/>
        <v>4GROP</v>
      </c>
      <c r="H266" s="204" t="str">
        <f t="shared" si="315"/>
        <v>4GROP</v>
      </c>
      <c r="I266" s="204" t="str">
        <f t="shared" si="316"/>
        <v>4GROP</v>
      </c>
      <c r="J266" s="204" t="str">
        <f t="shared" si="317"/>
        <v>4GROP</v>
      </c>
      <c r="K266" s="204">
        <v>100</v>
      </c>
      <c r="L266" s="204">
        <v>7</v>
      </c>
      <c r="N266" s="204" t="str">
        <f t="shared" si="318"/>
        <v>4GROP</v>
      </c>
      <c r="O266" s="204" t="str">
        <f t="shared" si="112"/>
        <v>4Y_I</v>
      </c>
      <c r="P266" s="204" t="str">
        <f t="shared" si="113"/>
        <v>6Y_I</v>
      </c>
    </row>
    <row r="267" spans="1:16" ht="13" x14ac:dyDescent="0.3">
      <c r="A267" s="25"/>
      <c r="B267">
        <v>4</v>
      </c>
      <c r="C267" s="221" t="s">
        <v>1054</v>
      </c>
      <c r="D267" s="221" t="s">
        <v>704</v>
      </c>
      <c r="E267" s="221">
        <f>1</f>
        <v>1</v>
      </c>
      <c r="F267" s="204" t="s">
        <v>844</v>
      </c>
      <c r="G267" s="204" t="str">
        <f t="shared" si="314"/>
        <v>4GROP</v>
      </c>
      <c r="H267" s="204" t="str">
        <f t="shared" si="315"/>
        <v>4GROP</v>
      </c>
      <c r="I267" s="204" t="str">
        <f t="shared" si="316"/>
        <v>4GROP</v>
      </c>
      <c r="J267" s="204" t="str">
        <f t="shared" si="317"/>
        <v>4GROP</v>
      </c>
      <c r="K267" s="204">
        <v>100</v>
      </c>
      <c r="L267" s="204">
        <v>7</v>
      </c>
      <c r="N267" s="204" t="str">
        <f t="shared" si="318"/>
        <v>4GROP</v>
      </c>
      <c r="O267" s="204" t="str">
        <f t="shared" si="112"/>
        <v>4Y_I</v>
      </c>
      <c r="P267" s="204" t="str">
        <f t="shared" si="113"/>
        <v>6Y_I</v>
      </c>
    </row>
    <row r="268" spans="1:16" ht="13" x14ac:dyDescent="0.3">
      <c r="A268" s="25"/>
      <c r="B268">
        <v>4</v>
      </c>
      <c r="C268" s="221" t="s">
        <v>812</v>
      </c>
      <c r="D268" s="221" t="s">
        <v>704</v>
      </c>
      <c r="E268" s="221">
        <f>1</f>
        <v>1</v>
      </c>
      <c r="F268" s="204" t="s">
        <v>848</v>
      </c>
      <c r="G268" s="204" t="str">
        <f t="shared" si="107"/>
        <v>4MVANG</v>
      </c>
      <c r="H268" s="204" t="str">
        <f t="shared" si="108"/>
        <v>4MVANG</v>
      </c>
      <c r="I268" s="204" t="str">
        <f t="shared" si="109"/>
        <v>4MVANG</v>
      </c>
      <c r="J268" s="204" t="str">
        <f t="shared" si="110"/>
        <v>4MVANG</v>
      </c>
      <c r="K268" s="204">
        <v>100</v>
      </c>
      <c r="L268" s="204">
        <v>7</v>
      </c>
      <c r="N268" s="204" t="str">
        <f t="shared" si="111"/>
        <v>4MVANG</v>
      </c>
      <c r="O268" s="204" t="str">
        <f t="shared" si="112"/>
        <v>4Y_I</v>
      </c>
      <c r="P268" s="204" t="str">
        <f t="shared" si="113"/>
        <v>6Y_I</v>
      </c>
    </row>
    <row r="269" spans="1:16" ht="13" x14ac:dyDescent="0.3">
      <c r="A269" s="25"/>
      <c r="B269">
        <v>4</v>
      </c>
      <c r="C269" s="221" t="s">
        <v>1055</v>
      </c>
      <c r="D269" s="221" t="s">
        <v>704</v>
      </c>
      <c r="E269" s="221">
        <f>1</f>
        <v>1</v>
      </c>
      <c r="F269" s="204" t="s">
        <v>848</v>
      </c>
      <c r="G269" s="204" t="str">
        <f t="shared" ref="G269:G271" si="319">F269</f>
        <v>4MVANG</v>
      </c>
      <c r="H269" s="204" t="str">
        <f t="shared" ref="H269:H271" si="320">G269</f>
        <v>4MVANG</v>
      </c>
      <c r="I269" s="204" t="str">
        <f t="shared" ref="I269:I271" si="321">H269</f>
        <v>4MVANG</v>
      </c>
      <c r="J269" s="204" t="str">
        <f t="shared" ref="J269:J271" si="322">I269</f>
        <v>4MVANG</v>
      </c>
      <c r="K269" s="204">
        <v>100</v>
      </c>
      <c r="L269" s="204">
        <v>7</v>
      </c>
      <c r="N269" s="204" t="str">
        <f t="shared" ref="N269:N271" si="323">F269</f>
        <v>4MVANG</v>
      </c>
      <c r="O269" s="204" t="str">
        <f t="shared" si="112"/>
        <v>4Y_I</v>
      </c>
      <c r="P269" s="204" t="str">
        <f t="shared" si="113"/>
        <v>6Y_I</v>
      </c>
    </row>
    <row r="270" spans="1:16" ht="13" x14ac:dyDescent="0.3">
      <c r="A270" s="25"/>
      <c r="B270">
        <v>4</v>
      </c>
      <c r="C270" s="221" t="s">
        <v>1056</v>
      </c>
      <c r="D270" s="221" t="s">
        <v>704</v>
      </c>
      <c r="E270" s="221">
        <f>1</f>
        <v>1</v>
      </c>
      <c r="F270" s="204" t="s">
        <v>848</v>
      </c>
      <c r="G270" s="204" t="str">
        <f t="shared" si="319"/>
        <v>4MVANG</v>
      </c>
      <c r="H270" s="204" t="str">
        <f t="shared" si="320"/>
        <v>4MVANG</v>
      </c>
      <c r="I270" s="204" t="str">
        <f t="shared" si="321"/>
        <v>4MVANG</v>
      </c>
      <c r="J270" s="204" t="str">
        <f t="shared" si="322"/>
        <v>4MVANG</v>
      </c>
      <c r="K270" s="204">
        <v>100</v>
      </c>
      <c r="L270" s="204">
        <v>7</v>
      </c>
      <c r="N270" s="204" t="str">
        <f t="shared" si="323"/>
        <v>4MVANG</v>
      </c>
      <c r="O270" s="204" t="str">
        <f t="shared" si="112"/>
        <v>4Y_I</v>
      </c>
      <c r="P270" s="204" t="str">
        <f t="shared" si="113"/>
        <v>6Y_I</v>
      </c>
    </row>
    <row r="271" spans="1:16" ht="13" x14ac:dyDescent="0.3">
      <c r="A271" s="25"/>
      <c r="B271">
        <v>4</v>
      </c>
      <c r="C271" s="221" t="s">
        <v>1057</v>
      </c>
      <c r="D271" s="221" t="s">
        <v>704</v>
      </c>
      <c r="E271" s="221">
        <f>1</f>
        <v>1</v>
      </c>
      <c r="F271" s="204" t="s">
        <v>848</v>
      </c>
      <c r="G271" s="204" t="str">
        <f t="shared" si="319"/>
        <v>4MVANG</v>
      </c>
      <c r="H271" s="204" t="str">
        <f t="shared" si="320"/>
        <v>4MVANG</v>
      </c>
      <c r="I271" s="204" t="str">
        <f t="shared" si="321"/>
        <v>4MVANG</v>
      </c>
      <c r="J271" s="204" t="str">
        <f t="shared" si="322"/>
        <v>4MVANG</v>
      </c>
      <c r="K271" s="204">
        <v>100</v>
      </c>
      <c r="L271" s="204">
        <v>7</v>
      </c>
      <c r="N271" s="204" t="str">
        <f t="shared" si="323"/>
        <v>4MVANG</v>
      </c>
      <c r="O271" s="204" t="str">
        <f t="shared" si="112"/>
        <v>4Y_I</v>
      </c>
      <c r="P271" s="204" t="str">
        <f t="shared" si="113"/>
        <v>6Y_I</v>
      </c>
    </row>
    <row r="272" spans="1:16" ht="13" x14ac:dyDescent="0.3">
      <c r="A272" s="25"/>
      <c r="B272">
        <v>4</v>
      </c>
      <c r="C272" s="221" t="s">
        <v>813</v>
      </c>
      <c r="D272" s="221" t="s">
        <v>704</v>
      </c>
      <c r="E272" s="221">
        <f>1</f>
        <v>1</v>
      </c>
      <c r="F272" s="204" t="s">
        <v>848</v>
      </c>
      <c r="G272" s="204" t="str">
        <f t="shared" si="107"/>
        <v>4MVANG</v>
      </c>
      <c r="H272" s="204" t="str">
        <f t="shared" si="108"/>
        <v>4MVANG</v>
      </c>
      <c r="I272" s="204" t="str">
        <f t="shared" si="109"/>
        <v>4MVANG</v>
      </c>
      <c r="J272" s="204" t="str">
        <f t="shared" si="110"/>
        <v>4MVANG</v>
      </c>
      <c r="K272" s="204">
        <v>100</v>
      </c>
      <c r="L272" s="204">
        <v>7</v>
      </c>
      <c r="N272" s="204" t="str">
        <f t="shared" si="111"/>
        <v>4MVANG</v>
      </c>
      <c r="O272" s="204" t="str">
        <f t="shared" si="112"/>
        <v>4Y_I</v>
      </c>
      <c r="P272" s="204" t="str">
        <f t="shared" si="113"/>
        <v>6Y_I</v>
      </c>
    </row>
    <row r="273" spans="1:16" ht="13" x14ac:dyDescent="0.3">
      <c r="A273" s="25"/>
      <c r="B273">
        <v>4</v>
      </c>
      <c r="C273" s="221" t="s">
        <v>1058</v>
      </c>
      <c r="D273" s="221" t="s">
        <v>704</v>
      </c>
      <c r="E273" s="221">
        <f>1</f>
        <v>1</v>
      </c>
      <c r="F273" s="204" t="s">
        <v>848</v>
      </c>
      <c r="G273" s="204" t="str">
        <f t="shared" ref="G273:G275" si="324">F273</f>
        <v>4MVANG</v>
      </c>
      <c r="H273" s="204" t="str">
        <f t="shared" ref="H273:H275" si="325">G273</f>
        <v>4MVANG</v>
      </c>
      <c r="I273" s="204" t="str">
        <f t="shared" ref="I273:I275" si="326">H273</f>
        <v>4MVANG</v>
      </c>
      <c r="J273" s="204" t="str">
        <f t="shared" ref="J273:J275" si="327">I273</f>
        <v>4MVANG</v>
      </c>
      <c r="K273" s="204">
        <v>100</v>
      </c>
      <c r="L273" s="204">
        <v>7</v>
      </c>
      <c r="N273" s="204" t="str">
        <f t="shared" ref="N273:N275" si="328">F273</f>
        <v>4MVANG</v>
      </c>
      <c r="O273" s="204" t="str">
        <f t="shared" si="112"/>
        <v>4Y_I</v>
      </c>
      <c r="P273" s="204" t="str">
        <f t="shared" si="113"/>
        <v>6Y_I</v>
      </c>
    </row>
    <row r="274" spans="1:16" ht="13" x14ac:dyDescent="0.3">
      <c r="A274" s="25"/>
      <c r="B274">
        <v>4</v>
      </c>
      <c r="C274" s="221" t="s">
        <v>1059</v>
      </c>
      <c r="D274" s="221" t="s">
        <v>704</v>
      </c>
      <c r="E274" s="221">
        <f>1</f>
        <v>1</v>
      </c>
      <c r="F274" s="204" t="s">
        <v>848</v>
      </c>
      <c r="G274" s="204" t="str">
        <f t="shared" si="324"/>
        <v>4MVANG</v>
      </c>
      <c r="H274" s="204" t="str">
        <f t="shared" si="325"/>
        <v>4MVANG</v>
      </c>
      <c r="I274" s="204" t="str">
        <f t="shared" si="326"/>
        <v>4MVANG</v>
      </c>
      <c r="J274" s="204" t="str">
        <f t="shared" si="327"/>
        <v>4MVANG</v>
      </c>
      <c r="K274" s="204">
        <v>100</v>
      </c>
      <c r="L274" s="204">
        <v>7</v>
      </c>
      <c r="N274" s="204" t="str">
        <f t="shared" si="328"/>
        <v>4MVANG</v>
      </c>
      <c r="O274" s="204" t="str">
        <f t="shared" si="112"/>
        <v>4Y_I</v>
      </c>
      <c r="P274" s="204" t="str">
        <f t="shared" si="113"/>
        <v>6Y_I</v>
      </c>
    </row>
    <row r="275" spans="1:16" ht="13" x14ac:dyDescent="0.3">
      <c r="A275" s="25"/>
      <c r="B275">
        <v>4</v>
      </c>
      <c r="C275" s="221" t="s">
        <v>1060</v>
      </c>
      <c r="D275" s="221" t="s">
        <v>704</v>
      </c>
      <c r="E275" s="221">
        <f>1</f>
        <v>1</v>
      </c>
      <c r="F275" s="204" t="s">
        <v>848</v>
      </c>
      <c r="G275" s="204" t="str">
        <f t="shared" si="324"/>
        <v>4MVANG</v>
      </c>
      <c r="H275" s="204" t="str">
        <f t="shared" si="325"/>
        <v>4MVANG</v>
      </c>
      <c r="I275" s="204" t="str">
        <f t="shared" si="326"/>
        <v>4MVANG</v>
      </c>
      <c r="J275" s="204" t="str">
        <f t="shared" si="327"/>
        <v>4MVANG</v>
      </c>
      <c r="K275" s="204">
        <v>100</v>
      </c>
      <c r="L275" s="204">
        <v>7</v>
      </c>
      <c r="N275" s="204" t="str">
        <f t="shared" si="328"/>
        <v>4MVANG</v>
      </c>
      <c r="O275" s="204" t="str">
        <f t="shared" si="112"/>
        <v>4Y_I</v>
      </c>
      <c r="P275" s="204" t="str">
        <f t="shared" si="113"/>
        <v>6Y_I</v>
      </c>
    </row>
    <row r="276" spans="1:16" ht="13" x14ac:dyDescent="0.3">
      <c r="A276" s="25"/>
      <c r="B276">
        <v>4</v>
      </c>
      <c r="C276" s="221" t="s">
        <v>814</v>
      </c>
      <c r="D276" s="221" t="s">
        <v>704</v>
      </c>
      <c r="E276" s="221">
        <f>1</f>
        <v>1</v>
      </c>
      <c r="F276" s="204" t="s">
        <v>848</v>
      </c>
      <c r="G276" s="204" t="str">
        <f t="shared" si="107"/>
        <v>4MVANG</v>
      </c>
      <c r="H276" s="204" t="str">
        <f t="shared" si="108"/>
        <v>4MVANG</v>
      </c>
      <c r="I276" s="204" t="str">
        <f t="shared" si="109"/>
        <v>4MVANG</v>
      </c>
      <c r="J276" s="204" t="str">
        <f t="shared" si="110"/>
        <v>4MVANG</v>
      </c>
      <c r="K276" s="204">
        <v>100</v>
      </c>
      <c r="L276" s="204">
        <v>7</v>
      </c>
      <c r="N276" s="204" t="str">
        <f t="shared" si="111"/>
        <v>4MVANG</v>
      </c>
      <c r="O276" s="204" t="str">
        <f t="shared" si="112"/>
        <v>4Y_I</v>
      </c>
      <c r="P276" s="204" t="str">
        <f t="shared" si="113"/>
        <v>6Y_I</v>
      </c>
    </row>
    <row r="277" spans="1:16" ht="13" x14ac:dyDescent="0.3">
      <c r="A277" s="25"/>
      <c r="B277">
        <v>4</v>
      </c>
      <c r="C277" s="221" t="s">
        <v>1061</v>
      </c>
      <c r="D277" s="221" t="s">
        <v>704</v>
      </c>
      <c r="E277" s="221">
        <f>1</f>
        <v>1</v>
      </c>
      <c r="F277" s="204" t="s">
        <v>848</v>
      </c>
      <c r="G277" s="204" t="str">
        <f t="shared" ref="G277:G279" si="329">F277</f>
        <v>4MVANG</v>
      </c>
      <c r="H277" s="204" t="str">
        <f t="shared" ref="H277:H279" si="330">G277</f>
        <v>4MVANG</v>
      </c>
      <c r="I277" s="204" t="str">
        <f t="shared" ref="I277:I279" si="331">H277</f>
        <v>4MVANG</v>
      </c>
      <c r="J277" s="204" t="str">
        <f t="shared" ref="J277:J279" si="332">I277</f>
        <v>4MVANG</v>
      </c>
      <c r="K277" s="204">
        <v>100</v>
      </c>
      <c r="L277" s="204">
        <v>7</v>
      </c>
      <c r="N277" s="204" t="str">
        <f t="shared" ref="N277:N279" si="333">F277</f>
        <v>4MVANG</v>
      </c>
      <c r="O277" s="204" t="str">
        <f t="shared" si="112"/>
        <v>4Y_I</v>
      </c>
      <c r="P277" s="204" t="str">
        <f t="shared" si="113"/>
        <v>6Y_I</v>
      </c>
    </row>
    <row r="278" spans="1:16" ht="13" x14ac:dyDescent="0.3">
      <c r="A278" s="25"/>
      <c r="B278">
        <v>4</v>
      </c>
      <c r="C278" s="221" t="s">
        <v>1062</v>
      </c>
      <c r="D278" s="221" t="s">
        <v>704</v>
      </c>
      <c r="E278" s="221">
        <f>1</f>
        <v>1</v>
      </c>
      <c r="F278" s="204" t="s">
        <v>848</v>
      </c>
      <c r="G278" s="204" t="str">
        <f t="shared" si="329"/>
        <v>4MVANG</v>
      </c>
      <c r="H278" s="204" t="str">
        <f t="shared" si="330"/>
        <v>4MVANG</v>
      </c>
      <c r="I278" s="204" t="str">
        <f t="shared" si="331"/>
        <v>4MVANG</v>
      </c>
      <c r="J278" s="204" t="str">
        <f t="shared" si="332"/>
        <v>4MVANG</v>
      </c>
      <c r="K278" s="204">
        <v>100</v>
      </c>
      <c r="L278" s="204">
        <v>7</v>
      </c>
      <c r="N278" s="204" t="str">
        <f t="shared" si="333"/>
        <v>4MVANG</v>
      </c>
      <c r="O278" s="204" t="str">
        <f t="shared" si="112"/>
        <v>4Y_I</v>
      </c>
      <c r="P278" s="204" t="str">
        <f t="shared" si="113"/>
        <v>6Y_I</v>
      </c>
    </row>
    <row r="279" spans="1:16" ht="13" x14ac:dyDescent="0.3">
      <c r="A279" s="25"/>
      <c r="B279">
        <v>4</v>
      </c>
      <c r="C279" s="221" t="s">
        <v>1063</v>
      </c>
      <c r="D279" s="221" t="s">
        <v>704</v>
      </c>
      <c r="E279" s="221">
        <f>1</f>
        <v>1</v>
      </c>
      <c r="F279" s="204" t="s">
        <v>848</v>
      </c>
      <c r="G279" s="204" t="str">
        <f t="shared" si="329"/>
        <v>4MVANG</v>
      </c>
      <c r="H279" s="204" t="str">
        <f t="shared" si="330"/>
        <v>4MVANG</v>
      </c>
      <c r="I279" s="204" t="str">
        <f t="shared" si="331"/>
        <v>4MVANG</v>
      </c>
      <c r="J279" s="204" t="str">
        <f t="shared" si="332"/>
        <v>4MVANG</v>
      </c>
      <c r="K279" s="204">
        <v>100</v>
      </c>
      <c r="L279" s="204">
        <v>7</v>
      </c>
      <c r="N279" s="204" t="str">
        <f t="shared" si="333"/>
        <v>4MVANG</v>
      </c>
      <c r="O279" s="204" t="str">
        <f t="shared" si="112"/>
        <v>4Y_I</v>
      </c>
      <c r="P279" s="204" t="str">
        <f t="shared" si="113"/>
        <v>6Y_I</v>
      </c>
    </row>
    <row r="280" spans="1:16" ht="13" x14ac:dyDescent="0.3">
      <c r="A280" s="25"/>
      <c r="B280">
        <v>5</v>
      </c>
      <c r="C280" s="221" t="s">
        <v>815</v>
      </c>
      <c r="D280" s="221" t="s">
        <v>704</v>
      </c>
      <c r="E280" s="221">
        <f>1</f>
        <v>1</v>
      </c>
      <c r="F280" s="204" t="s">
        <v>845</v>
      </c>
      <c r="G280" s="204" t="str">
        <f t="shared" si="107"/>
        <v>5GROP</v>
      </c>
      <c r="H280" s="204" t="str">
        <f t="shared" si="108"/>
        <v>5GROP</v>
      </c>
      <c r="I280" s="204" t="str">
        <f t="shared" si="109"/>
        <v>5GROP</v>
      </c>
      <c r="J280" s="204" t="str">
        <f t="shared" si="110"/>
        <v>5GROP</v>
      </c>
      <c r="K280" s="204">
        <v>100</v>
      </c>
      <c r="L280" s="204">
        <v>7</v>
      </c>
      <c r="N280" s="204" t="str">
        <f t="shared" si="111"/>
        <v>5GROP</v>
      </c>
      <c r="O280" s="204" t="str">
        <f t="shared" si="112"/>
        <v>5Y_I</v>
      </c>
      <c r="P280" s="204" t="str">
        <f t="shared" si="113"/>
        <v>7Y_I</v>
      </c>
    </row>
    <row r="281" spans="1:16" ht="13" x14ac:dyDescent="0.3">
      <c r="A281" s="25"/>
      <c r="B281">
        <v>5</v>
      </c>
      <c r="C281" s="221" t="s">
        <v>1064</v>
      </c>
      <c r="D281" s="221" t="s">
        <v>704</v>
      </c>
      <c r="E281" s="221">
        <f>1</f>
        <v>1</v>
      </c>
      <c r="F281" s="204" t="s">
        <v>845</v>
      </c>
      <c r="G281" s="204" t="str">
        <f t="shared" ref="G281:G283" si="334">F281</f>
        <v>5GROP</v>
      </c>
      <c r="H281" s="204" t="str">
        <f t="shared" ref="H281:H283" si="335">G281</f>
        <v>5GROP</v>
      </c>
      <c r="I281" s="204" t="str">
        <f t="shared" ref="I281:I283" si="336">H281</f>
        <v>5GROP</v>
      </c>
      <c r="J281" s="204" t="str">
        <f t="shared" ref="J281:J283" si="337">I281</f>
        <v>5GROP</v>
      </c>
      <c r="K281" s="204">
        <v>100</v>
      </c>
      <c r="L281" s="204">
        <v>7</v>
      </c>
      <c r="N281" s="204" t="str">
        <f t="shared" ref="N281:N283" si="338">F281</f>
        <v>5GROP</v>
      </c>
      <c r="O281" s="204" t="str">
        <f t="shared" si="112"/>
        <v>5Y_I</v>
      </c>
      <c r="P281" s="204" t="str">
        <f t="shared" si="113"/>
        <v>7Y_I</v>
      </c>
    </row>
    <row r="282" spans="1:16" ht="13" x14ac:dyDescent="0.3">
      <c r="A282" s="25"/>
      <c r="B282">
        <v>5</v>
      </c>
      <c r="C282" s="221" t="s">
        <v>1065</v>
      </c>
      <c r="D282" s="221" t="s">
        <v>704</v>
      </c>
      <c r="E282" s="221">
        <f>1</f>
        <v>1</v>
      </c>
      <c r="F282" s="204" t="s">
        <v>845</v>
      </c>
      <c r="G282" s="204" t="str">
        <f t="shared" si="334"/>
        <v>5GROP</v>
      </c>
      <c r="H282" s="204" t="str">
        <f t="shared" si="335"/>
        <v>5GROP</v>
      </c>
      <c r="I282" s="204" t="str">
        <f t="shared" si="336"/>
        <v>5GROP</v>
      </c>
      <c r="J282" s="204" t="str">
        <f t="shared" si="337"/>
        <v>5GROP</v>
      </c>
      <c r="K282" s="204">
        <v>100</v>
      </c>
      <c r="L282" s="204">
        <v>7</v>
      </c>
      <c r="N282" s="204" t="str">
        <f t="shared" si="338"/>
        <v>5GROP</v>
      </c>
      <c r="O282" s="204" t="str">
        <f t="shared" si="112"/>
        <v>5Y_I</v>
      </c>
      <c r="P282" s="204" t="str">
        <f t="shared" si="113"/>
        <v>7Y_I</v>
      </c>
    </row>
    <row r="283" spans="1:16" ht="13" x14ac:dyDescent="0.3">
      <c r="A283" s="25"/>
      <c r="B283">
        <v>5</v>
      </c>
      <c r="C283" s="221" t="s">
        <v>1066</v>
      </c>
      <c r="D283" s="221" t="s">
        <v>704</v>
      </c>
      <c r="E283" s="221">
        <f>1</f>
        <v>1</v>
      </c>
      <c r="F283" s="204" t="s">
        <v>845</v>
      </c>
      <c r="G283" s="204" t="str">
        <f t="shared" si="334"/>
        <v>5GROP</v>
      </c>
      <c r="H283" s="204" t="str">
        <f t="shared" si="335"/>
        <v>5GROP</v>
      </c>
      <c r="I283" s="204" t="str">
        <f t="shared" si="336"/>
        <v>5GROP</v>
      </c>
      <c r="J283" s="204" t="str">
        <f t="shared" si="337"/>
        <v>5GROP</v>
      </c>
      <c r="K283" s="204">
        <v>100</v>
      </c>
      <c r="L283" s="204">
        <v>7</v>
      </c>
      <c r="N283" s="204" t="str">
        <f t="shared" si="338"/>
        <v>5GROP</v>
      </c>
      <c r="O283" s="204" t="str">
        <f t="shared" si="112"/>
        <v>5Y_I</v>
      </c>
      <c r="P283" s="204" t="str">
        <f t="shared" si="113"/>
        <v>7Y_I</v>
      </c>
    </row>
    <row r="284" spans="1:16" ht="13" x14ac:dyDescent="0.3">
      <c r="A284" s="25"/>
      <c r="B284">
        <v>5</v>
      </c>
      <c r="C284" s="221" t="s">
        <v>816</v>
      </c>
      <c r="D284" s="221" t="s">
        <v>704</v>
      </c>
      <c r="E284" s="221">
        <f>1</f>
        <v>1</v>
      </c>
      <c r="F284" s="204" t="s">
        <v>850</v>
      </c>
      <c r="G284" s="204" t="str">
        <f t="shared" si="107"/>
        <v>5MVANG</v>
      </c>
      <c r="H284" s="204" t="str">
        <f t="shared" si="108"/>
        <v>5MVANG</v>
      </c>
      <c r="I284" s="204" t="str">
        <f t="shared" si="109"/>
        <v>5MVANG</v>
      </c>
      <c r="J284" s="204" t="str">
        <f t="shared" si="110"/>
        <v>5MVANG</v>
      </c>
      <c r="K284" s="204">
        <v>100</v>
      </c>
      <c r="L284" s="204">
        <v>7</v>
      </c>
      <c r="N284" s="204" t="str">
        <f t="shared" si="111"/>
        <v>5MVANG</v>
      </c>
      <c r="O284" s="204" t="str">
        <f t="shared" si="112"/>
        <v>5Y_I</v>
      </c>
      <c r="P284" s="204" t="str">
        <f t="shared" si="113"/>
        <v>7Y_I</v>
      </c>
    </row>
    <row r="285" spans="1:16" ht="13" x14ac:dyDescent="0.3">
      <c r="A285" s="25"/>
      <c r="B285">
        <v>5</v>
      </c>
      <c r="C285" s="221" t="s">
        <v>1067</v>
      </c>
      <c r="D285" s="221" t="s">
        <v>704</v>
      </c>
      <c r="E285" s="221">
        <f>1</f>
        <v>1</v>
      </c>
      <c r="F285" s="204" t="s">
        <v>850</v>
      </c>
      <c r="G285" s="204" t="str">
        <f t="shared" ref="G285:G287" si="339">F285</f>
        <v>5MVANG</v>
      </c>
      <c r="H285" s="204" t="str">
        <f t="shared" ref="H285:H287" si="340">G285</f>
        <v>5MVANG</v>
      </c>
      <c r="I285" s="204" t="str">
        <f t="shared" ref="I285:I287" si="341">H285</f>
        <v>5MVANG</v>
      </c>
      <c r="J285" s="204" t="str">
        <f t="shared" ref="J285:J287" si="342">I285</f>
        <v>5MVANG</v>
      </c>
      <c r="K285" s="204">
        <v>100</v>
      </c>
      <c r="L285" s="204">
        <v>7</v>
      </c>
      <c r="N285" s="204" t="str">
        <f t="shared" ref="N285:N287" si="343">F285</f>
        <v>5MVANG</v>
      </c>
      <c r="O285" s="204" t="str">
        <f t="shared" si="112"/>
        <v>5Y_I</v>
      </c>
      <c r="P285" s="204" t="str">
        <f t="shared" si="113"/>
        <v>7Y_I</v>
      </c>
    </row>
    <row r="286" spans="1:16" ht="13" x14ac:dyDescent="0.3">
      <c r="A286" s="25"/>
      <c r="B286">
        <v>5</v>
      </c>
      <c r="C286" s="221" t="s">
        <v>1068</v>
      </c>
      <c r="D286" s="221" t="s">
        <v>704</v>
      </c>
      <c r="E286" s="221">
        <f>1</f>
        <v>1</v>
      </c>
      <c r="F286" s="204" t="s">
        <v>850</v>
      </c>
      <c r="G286" s="204" t="str">
        <f t="shared" si="339"/>
        <v>5MVANG</v>
      </c>
      <c r="H286" s="204" t="str">
        <f t="shared" si="340"/>
        <v>5MVANG</v>
      </c>
      <c r="I286" s="204" t="str">
        <f t="shared" si="341"/>
        <v>5MVANG</v>
      </c>
      <c r="J286" s="204" t="str">
        <f t="shared" si="342"/>
        <v>5MVANG</v>
      </c>
      <c r="K286" s="204">
        <v>100</v>
      </c>
      <c r="L286" s="204">
        <v>7</v>
      </c>
      <c r="N286" s="204" t="str">
        <f t="shared" si="343"/>
        <v>5MVANG</v>
      </c>
      <c r="O286" s="204" t="str">
        <f t="shared" si="112"/>
        <v>5Y_I</v>
      </c>
      <c r="P286" s="204" t="str">
        <f t="shared" si="113"/>
        <v>7Y_I</v>
      </c>
    </row>
    <row r="287" spans="1:16" ht="13" x14ac:dyDescent="0.3">
      <c r="A287" s="25"/>
      <c r="B287">
        <v>5</v>
      </c>
      <c r="C287" s="221" t="s">
        <v>1069</v>
      </c>
      <c r="D287" s="221" t="s">
        <v>704</v>
      </c>
      <c r="E287" s="221">
        <f>1</f>
        <v>1</v>
      </c>
      <c r="F287" s="204" t="s">
        <v>850</v>
      </c>
      <c r="G287" s="204" t="str">
        <f t="shared" si="339"/>
        <v>5MVANG</v>
      </c>
      <c r="H287" s="204" t="str">
        <f t="shared" si="340"/>
        <v>5MVANG</v>
      </c>
      <c r="I287" s="204" t="str">
        <f t="shared" si="341"/>
        <v>5MVANG</v>
      </c>
      <c r="J287" s="204" t="str">
        <f t="shared" si="342"/>
        <v>5MVANG</v>
      </c>
      <c r="K287" s="204">
        <v>100</v>
      </c>
      <c r="L287" s="204">
        <v>7</v>
      </c>
      <c r="N287" s="204" t="str">
        <f t="shared" si="343"/>
        <v>5MVANG</v>
      </c>
      <c r="O287" s="204" t="str">
        <f t="shared" si="112"/>
        <v>5Y_I</v>
      </c>
      <c r="P287" s="204" t="str">
        <f t="shared" si="113"/>
        <v>7Y_I</v>
      </c>
    </row>
    <row r="288" spans="1:16" ht="13" x14ac:dyDescent="0.3">
      <c r="A288" s="25"/>
      <c r="B288">
        <v>5</v>
      </c>
      <c r="C288" s="221" t="s">
        <v>817</v>
      </c>
      <c r="D288" s="221" t="s">
        <v>704</v>
      </c>
      <c r="E288" s="221">
        <f>1</f>
        <v>1</v>
      </c>
      <c r="F288" s="204" t="s">
        <v>849</v>
      </c>
      <c r="G288" s="204" t="str">
        <f t="shared" si="107"/>
        <v>5NGROP</v>
      </c>
      <c r="H288" s="204" t="str">
        <f t="shared" si="108"/>
        <v>5NGROP</v>
      </c>
      <c r="I288" s="204" t="str">
        <f t="shared" si="109"/>
        <v>5NGROP</v>
      </c>
      <c r="J288" s="204" t="str">
        <f t="shared" si="110"/>
        <v>5NGROP</v>
      </c>
      <c r="K288" s="204">
        <v>100</v>
      </c>
      <c r="L288" s="204">
        <v>7</v>
      </c>
      <c r="N288" s="204" t="str">
        <f t="shared" si="111"/>
        <v>5NGROP</v>
      </c>
      <c r="O288" s="204" t="str">
        <f t="shared" si="112"/>
        <v>5Y_I</v>
      </c>
      <c r="P288" s="204" t="str">
        <f t="shared" si="113"/>
        <v>7Y_I</v>
      </c>
    </row>
    <row r="289" spans="1:16" ht="13" x14ac:dyDescent="0.3">
      <c r="A289" s="25"/>
      <c r="B289">
        <v>5</v>
      </c>
      <c r="C289" s="221" t="s">
        <v>1070</v>
      </c>
      <c r="D289" s="221" t="s">
        <v>704</v>
      </c>
      <c r="E289" s="221">
        <f>1</f>
        <v>1</v>
      </c>
      <c r="F289" s="204" t="s">
        <v>849</v>
      </c>
      <c r="G289" s="204" t="str">
        <f t="shared" ref="G289:G291" si="344">F289</f>
        <v>5NGROP</v>
      </c>
      <c r="H289" s="204" t="str">
        <f t="shared" ref="H289:H291" si="345">G289</f>
        <v>5NGROP</v>
      </c>
      <c r="I289" s="204" t="str">
        <f t="shared" ref="I289:I291" si="346">H289</f>
        <v>5NGROP</v>
      </c>
      <c r="J289" s="204" t="str">
        <f t="shared" ref="J289:J291" si="347">I289</f>
        <v>5NGROP</v>
      </c>
      <c r="K289" s="204">
        <v>100</v>
      </c>
      <c r="L289" s="204">
        <v>7</v>
      </c>
      <c r="N289" s="204" t="str">
        <f t="shared" ref="N289:N291" si="348">F289</f>
        <v>5NGROP</v>
      </c>
      <c r="O289" s="204" t="str">
        <f t="shared" si="112"/>
        <v>5Y_I</v>
      </c>
      <c r="P289" s="204" t="str">
        <f t="shared" si="113"/>
        <v>7Y_I</v>
      </c>
    </row>
    <row r="290" spans="1:16" ht="13" x14ac:dyDescent="0.3">
      <c r="A290" s="25"/>
      <c r="B290">
        <v>5</v>
      </c>
      <c r="C290" s="221" t="s">
        <v>1071</v>
      </c>
      <c r="D290" s="221" t="s">
        <v>704</v>
      </c>
      <c r="E290" s="221">
        <f>1</f>
        <v>1</v>
      </c>
      <c r="F290" s="204" t="s">
        <v>849</v>
      </c>
      <c r="G290" s="204" t="str">
        <f t="shared" si="344"/>
        <v>5NGROP</v>
      </c>
      <c r="H290" s="204" t="str">
        <f t="shared" si="345"/>
        <v>5NGROP</v>
      </c>
      <c r="I290" s="204" t="str">
        <f t="shared" si="346"/>
        <v>5NGROP</v>
      </c>
      <c r="J290" s="204" t="str">
        <f t="shared" si="347"/>
        <v>5NGROP</v>
      </c>
      <c r="K290" s="204">
        <v>100</v>
      </c>
      <c r="L290" s="204">
        <v>7</v>
      </c>
      <c r="N290" s="204" t="str">
        <f t="shared" si="348"/>
        <v>5NGROP</v>
      </c>
      <c r="O290" s="204" t="str">
        <f t="shared" si="112"/>
        <v>5Y_I</v>
      </c>
      <c r="P290" s="204" t="str">
        <f t="shared" si="113"/>
        <v>7Y_I</v>
      </c>
    </row>
    <row r="291" spans="1:16" ht="13" x14ac:dyDescent="0.3">
      <c r="A291" s="25"/>
      <c r="B291">
        <v>5</v>
      </c>
      <c r="C291" s="221" t="s">
        <v>1072</v>
      </c>
      <c r="D291" s="221" t="s">
        <v>704</v>
      </c>
      <c r="E291" s="221">
        <f>1</f>
        <v>1</v>
      </c>
      <c r="F291" s="204" t="s">
        <v>849</v>
      </c>
      <c r="G291" s="204" t="str">
        <f t="shared" si="344"/>
        <v>5NGROP</v>
      </c>
      <c r="H291" s="204" t="str">
        <f t="shared" si="345"/>
        <v>5NGROP</v>
      </c>
      <c r="I291" s="204" t="str">
        <f t="shared" si="346"/>
        <v>5NGROP</v>
      </c>
      <c r="J291" s="204" t="str">
        <f t="shared" si="347"/>
        <v>5NGROP</v>
      </c>
      <c r="K291" s="204">
        <v>100</v>
      </c>
      <c r="L291" s="204">
        <v>7</v>
      </c>
      <c r="N291" s="204" t="str">
        <f t="shared" si="348"/>
        <v>5NGROP</v>
      </c>
      <c r="O291" s="204" t="str">
        <f t="shared" si="112"/>
        <v>5Y_I</v>
      </c>
      <c r="P291" s="204" t="str">
        <f t="shared" si="113"/>
        <v>7Y_I</v>
      </c>
    </row>
    <row r="292" spans="1:16" ht="13" x14ac:dyDescent="0.3">
      <c r="A292" s="25"/>
      <c r="B292">
        <v>5</v>
      </c>
      <c r="C292" s="221" t="s">
        <v>818</v>
      </c>
      <c r="D292" s="221" t="s">
        <v>704</v>
      </c>
      <c r="E292" s="221">
        <f>1</f>
        <v>1</v>
      </c>
      <c r="F292" s="204" t="s">
        <v>850</v>
      </c>
      <c r="G292" s="204" t="str">
        <f t="shared" si="107"/>
        <v>5MVANG</v>
      </c>
      <c r="H292" s="204" t="str">
        <f t="shared" si="108"/>
        <v>5MVANG</v>
      </c>
      <c r="I292" s="204" t="str">
        <f t="shared" si="109"/>
        <v>5MVANG</v>
      </c>
      <c r="J292" s="204" t="str">
        <f t="shared" si="110"/>
        <v>5MVANG</v>
      </c>
      <c r="K292" s="204">
        <v>100</v>
      </c>
      <c r="L292" s="204">
        <v>7</v>
      </c>
      <c r="N292" s="204" t="str">
        <f t="shared" si="111"/>
        <v>5MVANG</v>
      </c>
      <c r="O292" s="204" t="str">
        <f t="shared" si="112"/>
        <v>5Y_I</v>
      </c>
      <c r="P292" s="204" t="str">
        <f t="shared" si="113"/>
        <v>7Y_I</v>
      </c>
    </row>
    <row r="293" spans="1:16" ht="13" x14ac:dyDescent="0.3">
      <c r="A293" s="25"/>
      <c r="B293">
        <v>5</v>
      </c>
      <c r="C293" s="221" t="s">
        <v>1073</v>
      </c>
      <c r="D293" s="221" t="s">
        <v>704</v>
      </c>
      <c r="E293" s="221">
        <f>1</f>
        <v>1</v>
      </c>
      <c r="F293" s="204" t="s">
        <v>850</v>
      </c>
      <c r="G293" s="204" t="str">
        <f t="shared" ref="G293:G295" si="349">F293</f>
        <v>5MVANG</v>
      </c>
      <c r="H293" s="204" t="str">
        <f t="shared" ref="H293:H295" si="350">G293</f>
        <v>5MVANG</v>
      </c>
      <c r="I293" s="204" t="str">
        <f t="shared" ref="I293:I295" si="351">H293</f>
        <v>5MVANG</v>
      </c>
      <c r="J293" s="204" t="str">
        <f t="shared" ref="J293:J295" si="352">I293</f>
        <v>5MVANG</v>
      </c>
      <c r="K293" s="204">
        <v>100</v>
      </c>
      <c r="L293" s="204">
        <v>7</v>
      </c>
      <c r="N293" s="204" t="str">
        <f t="shared" ref="N293:N295" si="353">F293</f>
        <v>5MVANG</v>
      </c>
      <c r="O293" s="204" t="str">
        <f t="shared" si="112"/>
        <v>5Y_I</v>
      </c>
      <c r="P293" s="204" t="str">
        <f t="shared" si="113"/>
        <v>7Y_I</v>
      </c>
    </row>
    <row r="294" spans="1:16" ht="13" x14ac:dyDescent="0.3">
      <c r="A294" s="25"/>
      <c r="B294">
        <v>5</v>
      </c>
      <c r="C294" s="221" t="s">
        <v>1074</v>
      </c>
      <c r="D294" s="221" t="s">
        <v>704</v>
      </c>
      <c r="E294" s="221">
        <f>1</f>
        <v>1</v>
      </c>
      <c r="F294" s="204" t="s">
        <v>850</v>
      </c>
      <c r="G294" s="204" t="str">
        <f t="shared" si="349"/>
        <v>5MVANG</v>
      </c>
      <c r="H294" s="204" t="str">
        <f t="shared" si="350"/>
        <v>5MVANG</v>
      </c>
      <c r="I294" s="204" t="str">
        <f t="shared" si="351"/>
        <v>5MVANG</v>
      </c>
      <c r="J294" s="204" t="str">
        <f t="shared" si="352"/>
        <v>5MVANG</v>
      </c>
      <c r="K294" s="204">
        <v>100</v>
      </c>
      <c r="L294" s="204">
        <v>7</v>
      </c>
      <c r="N294" s="204" t="str">
        <f t="shared" si="353"/>
        <v>5MVANG</v>
      </c>
      <c r="O294" s="204" t="str">
        <f t="shared" si="112"/>
        <v>5Y_I</v>
      </c>
      <c r="P294" s="204" t="str">
        <f t="shared" si="113"/>
        <v>7Y_I</v>
      </c>
    </row>
    <row r="295" spans="1:16" ht="13" x14ac:dyDescent="0.3">
      <c r="A295" s="25"/>
      <c r="B295">
        <v>5</v>
      </c>
      <c r="C295" s="221" t="s">
        <v>1075</v>
      </c>
      <c r="D295" s="221" t="s">
        <v>704</v>
      </c>
      <c r="E295" s="221">
        <f>1</f>
        <v>1</v>
      </c>
      <c r="F295" s="204" t="s">
        <v>850</v>
      </c>
      <c r="G295" s="204" t="str">
        <f t="shared" si="349"/>
        <v>5MVANG</v>
      </c>
      <c r="H295" s="204" t="str">
        <f t="shared" si="350"/>
        <v>5MVANG</v>
      </c>
      <c r="I295" s="204" t="str">
        <f t="shared" si="351"/>
        <v>5MVANG</v>
      </c>
      <c r="J295" s="204" t="str">
        <f t="shared" si="352"/>
        <v>5MVANG</v>
      </c>
      <c r="K295" s="204">
        <v>100</v>
      </c>
      <c r="L295" s="204">
        <v>7</v>
      </c>
      <c r="N295" s="204" t="str">
        <f t="shared" si="353"/>
        <v>5MVANG</v>
      </c>
      <c r="O295" s="204" t="str">
        <f t="shared" si="112"/>
        <v>5Y_I</v>
      </c>
      <c r="P295" s="204" t="str">
        <f t="shared" si="113"/>
        <v>7Y_I</v>
      </c>
    </row>
    <row r="296" spans="1:16" ht="13" x14ac:dyDescent="0.3">
      <c r="A296" s="25"/>
      <c r="B296">
        <v>7</v>
      </c>
      <c r="C296" s="221" t="s">
        <v>819</v>
      </c>
      <c r="D296" s="221" t="s">
        <v>704</v>
      </c>
      <c r="E296" s="221">
        <f>1</f>
        <v>1</v>
      </c>
      <c r="F296" s="204" t="s">
        <v>846</v>
      </c>
      <c r="G296" s="204" t="str">
        <f t="shared" si="107"/>
        <v>7GROP</v>
      </c>
      <c r="H296" s="204" t="str">
        <f t="shared" si="108"/>
        <v>7GROP</v>
      </c>
      <c r="I296" s="204" t="str">
        <f t="shared" si="109"/>
        <v>7GROP</v>
      </c>
      <c r="J296" s="204" t="str">
        <f t="shared" si="110"/>
        <v>7GROP</v>
      </c>
      <c r="K296" s="204">
        <v>100</v>
      </c>
      <c r="L296" s="204">
        <v>7</v>
      </c>
      <c r="N296" s="204" t="str">
        <f t="shared" si="111"/>
        <v>7GROP</v>
      </c>
      <c r="O296" s="204" t="str">
        <f t="shared" si="112"/>
        <v>7Y_I</v>
      </c>
      <c r="P296" s="204" t="str">
        <f t="shared" si="113"/>
        <v>9Y_I</v>
      </c>
    </row>
    <row r="297" spans="1:16" ht="13" x14ac:dyDescent="0.3">
      <c r="A297" s="25"/>
      <c r="B297">
        <v>7</v>
      </c>
      <c r="C297" s="221" t="s">
        <v>1076</v>
      </c>
      <c r="D297" s="221" t="s">
        <v>704</v>
      </c>
      <c r="E297" s="221">
        <f>1</f>
        <v>1</v>
      </c>
      <c r="F297" s="204" t="s">
        <v>846</v>
      </c>
      <c r="G297" s="204" t="str">
        <f t="shared" ref="G297:G299" si="354">F297</f>
        <v>7GROP</v>
      </c>
      <c r="H297" s="204" t="str">
        <f t="shared" ref="H297:H299" si="355">G297</f>
        <v>7GROP</v>
      </c>
      <c r="I297" s="204" t="str">
        <f t="shared" ref="I297:I299" si="356">H297</f>
        <v>7GROP</v>
      </c>
      <c r="J297" s="204" t="str">
        <f t="shared" ref="J297:J299" si="357">I297</f>
        <v>7GROP</v>
      </c>
      <c r="K297" s="204">
        <v>100</v>
      </c>
      <c r="L297" s="204">
        <v>7</v>
      </c>
      <c r="N297" s="204" t="str">
        <f t="shared" ref="N297:N299" si="358">F297</f>
        <v>7GROP</v>
      </c>
      <c r="O297" s="204" t="str">
        <f t="shared" si="112"/>
        <v>7Y_I</v>
      </c>
      <c r="P297" s="204" t="str">
        <f t="shared" si="113"/>
        <v>9Y_I</v>
      </c>
    </row>
    <row r="298" spans="1:16" ht="13" x14ac:dyDescent="0.3">
      <c r="A298" s="25"/>
      <c r="B298">
        <v>7</v>
      </c>
      <c r="C298" s="221" t="s">
        <v>1077</v>
      </c>
      <c r="D298" s="221" t="s">
        <v>704</v>
      </c>
      <c r="E298" s="221">
        <f>1</f>
        <v>1</v>
      </c>
      <c r="F298" s="204" t="s">
        <v>846</v>
      </c>
      <c r="G298" s="204" t="str">
        <f t="shared" si="354"/>
        <v>7GROP</v>
      </c>
      <c r="H298" s="204" t="str">
        <f t="shared" si="355"/>
        <v>7GROP</v>
      </c>
      <c r="I298" s="204" t="str">
        <f t="shared" si="356"/>
        <v>7GROP</v>
      </c>
      <c r="J298" s="204" t="str">
        <f t="shared" si="357"/>
        <v>7GROP</v>
      </c>
      <c r="K298" s="204">
        <v>100</v>
      </c>
      <c r="L298" s="204">
        <v>7</v>
      </c>
      <c r="N298" s="204" t="str">
        <f t="shared" si="358"/>
        <v>7GROP</v>
      </c>
      <c r="O298" s="204" t="str">
        <f t="shared" si="112"/>
        <v>7Y_I</v>
      </c>
      <c r="P298" s="204" t="str">
        <f t="shared" si="113"/>
        <v>9Y_I</v>
      </c>
    </row>
    <row r="299" spans="1:16" ht="13" x14ac:dyDescent="0.3">
      <c r="A299" s="25"/>
      <c r="B299">
        <v>7</v>
      </c>
      <c r="C299" s="221" t="s">
        <v>1078</v>
      </c>
      <c r="D299" s="221" t="s">
        <v>704</v>
      </c>
      <c r="E299" s="221">
        <f>1</f>
        <v>1</v>
      </c>
      <c r="F299" s="204" t="s">
        <v>846</v>
      </c>
      <c r="G299" s="204" t="str">
        <f t="shared" si="354"/>
        <v>7GROP</v>
      </c>
      <c r="H299" s="204" t="str">
        <f t="shared" si="355"/>
        <v>7GROP</v>
      </c>
      <c r="I299" s="204" t="str">
        <f t="shared" si="356"/>
        <v>7GROP</v>
      </c>
      <c r="J299" s="204" t="str">
        <f t="shared" si="357"/>
        <v>7GROP</v>
      </c>
      <c r="K299" s="204">
        <v>100</v>
      </c>
      <c r="L299" s="204">
        <v>7</v>
      </c>
      <c r="N299" s="204" t="str">
        <f t="shared" si="358"/>
        <v>7GROP</v>
      </c>
      <c r="O299" s="204" t="str">
        <f t="shared" si="112"/>
        <v>7Y_I</v>
      </c>
      <c r="P299" s="204" t="str">
        <f t="shared" si="113"/>
        <v>9Y_I</v>
      </c>
    </row>
    <row r="300" spans="1:16" ht="13" x14ac:dyDescent="0.3">
      <c r="A300" s="25"/>
      <c r="B300">
        <v>7</v>
      </c>
      <c r="C300" s="221" t="s">
        <v>820</v>
      </c>
      <c r="D300" s="221" t="s">
        <v>704</v>
      </c>
      <c r="E300" s="221">
        <f>1</f>
        <v>1</v>
      </c>
      <c r="F300" s="204" t="s">
        <v>852</v>
      </c>
      <c r="G300" s="204" t="str">
        <f t="shared" si="107"/>
        <v>7MVANG</v>
      </c>
      <c r="H300" s="204" t="str">
        <f t="shared" si="108"/>
        <v>7MVANG</v>
      </c>
      <c r="I300" s="204" t="str">
        <f t="shared" si="109"/>
        <v>7MVANG</v>
      </c>
      <c r="J300" s="204" t="str">
        <f t="shared" si="110"/>
        <v>7MVANG</v>
      </c>
      <c r="K300" s="204">
        <v>100</v>
      </c>
      <c r="L300" s="204">
        <v>7</v>
      </c>
      <c r="N300" s="204" t="str">
        <f t="shared" si="111"/>
        <v>7MVANG</v>
      </c>
      <c r="O300" s="204" t="str">
        <f t="shared" si="112"/>
        <v>7Y_I</v>
      </c>
      <c r="P300" s="204" t="str">
        <f t="shared" si="113"/>
        <v>9Y_I</v>
      </c>
    </row>
    <row r="301" spans="1:16" ht="13" x14ac:dyDescent="0.3">
      <c r="A301" s="25"/>
      <c r="B301">
        <v>7</v>
      </c>
      <c r="C301" s="221" t="s">
        <v>1079</v>
      </c>
      <c r="D301" s="221" t="s">
        <v>704</v>
      </c>
      <c r="E301" s="221">
        <f>1</f>
        <v>1</v>
      </c>
      <c r="F301" s="204" t="s">
        <v>852</v>
      </c>
      <c r="G301" s="204" t="str">
        <f t="shared" ref="G301:G302" si="359">F301</f>
        <v>7MVANG</v>
      </c>
      <c r="H301" s="204" t="str">
        <f t="shared" ref="H301:H302" si="360">G301</f>
        <v>7MVANG</v>
      </c>
      <c r="I301" s="204" t="str">
        <f t="shared" ref="I301:I302" si="361">H301</f>
        <v>7MVANG</v>
      </c>
      <c r="J301" s="204" t="str">
        <f t="shared" ref="J301:J302" si="362">I301</f>
        <v>7MVANG</v>
      </c>
      <c r="K301" s="204">
        <v>100</v>
      </c>
      <c r="L301" s="204">
        <v>7</v>
      </c>
      <c r="N301" s="204" t="str">
        <f t="shared" ref="N301:N302" si="363">F301</f>
        <v>7MVANG</v>
      </c>
      <c r="O301" s="204" t="str">
        <f t="shared" si="112"/>
        <v>7Y_I</v>
      </c>
      <c r="P301" s="204" t="str">
        <f t="shared" si="113"/>
        <v>9Y_I</v>
      </c>
    </row>
    <row r="302" spans="1:16" ht="13" x14ac:dyDescent="0.3">
      <c r="A302" s="25"/>
      <c r="B302">
        <v>7</v>
      </c>
      <c r="C302" s="221" t="s">
        <v>1080</v>
      </c>
      <c r="D302" s="221" t="s">
        <v>704</v>
      </c>
      <c r="E302" s="221">
        <f>1</f>
        <v>1</v>
      </c>
      <c r="F302" s="204" t="s">
        <v>852</v>
      </c>
      <c r="G302" s="204" t="str">
        <f t="shared" si="359"/>
        <v>7MVANG</v>
      </c>
      <c r="H302" s="204" t="str">
        <f t="shared" si="360"/>
        <v>7MVANG</v>
      </c>
      <c r="I302" s="204" t="str">
        <f t="shared" si="361"/>
        <v>7MVANG</v>
      </c>
      <c r="J302" s="204" t="str">
        <f t="shared" si="362"/>
        <v>7MVANG</v>
      </c>
      <c r="K302" s="204">
        <v>100</v>
      </c>
      <c r="L302" s="204">
        <v>7</v>
      </c>
      <c r="N302" s="204" t="str">
        <f t="shared" si="363"/>
        <v>7MVANG</v>
      </c>
      <c r="O302" s="204" t="str">
        <f t="shared" si="112"/>
        <v>7Y_I</v>
      </c>
      <c r="P302" s="204" t="str">
        <f t="shared" si="113"/>
        <v>9Y_I</v>
      </c>
    </row>
    <row r="303" spans="1:16" ht="13" x14ac:dyDescent="0.3">
      <c r="A303" s="25"/>
      <c r="B303">
        <v>7</v>
      </c>
      <c r="C303" s="221" t="s">
        <v>1081</v>
      </c>
      <c r="D303" s="221" t="s">
        <v>704</v>
      </c>
      <c r="E303" s="221">
        <f>1</f>
        <v>1</v>
      </c>
      <c r="F303" s="204" t="s">
        <v>852</v>
      </c>
      <c r="G303" s="204" t="str">
        <f t="shared" ref="G303" si="364">F303</f>
        <v>7MVANG</v>
      </c>
      <c r="H303" s="204" t="str">
        <f t="shared" ref="H303" si="365">G303</f>
        <v>7MVANG</v>
      </c>
      <c r="I303" s="204" t="str">
        <f t="shared" ref="I303" si="366">H303</f>
        <v>7MVANG</v>
      </c>
      <c r="J303" s="204" t="str">
        <f t="shared" ref="J303" si="367">I303</f>
        <v>7MVANG</v>
      </c>
      <c r="K303" s="204">
        <v>100</v>
      </c>
      <c r="L303" s="204">
        <v>7</v>
      </c>
      <c r="N303" s="204" t="str">
        <f t="shared" ref="N303" si="368">F303</f>
        <v>7MVANG</v>
      </c>
      <c r="O303" s="204" t="str">
        <f t="shared" si="112"/>
        <v>7Y_I</v>
      </c>
      <c r="P303" s="204" t="str">
        <f t="shared" si="113"/>
        <v>9Y_I</v>
      </c>
    </row>
    <row r="304" spans="1:16" ht="13" x14ac:dyDescent="0.3">
      <c r="A304" s="25"/>
      <c r="B304">
        <v>7</v>
      </c>
      <c r="C304" s="221" t="s">
        <v>821</v>
      </c>
      <c r="D304" s="221" t="s">
        <v>704</v>
      </c>
      <c r="E304" s="221">
        <f>1</f>
        <v>1</v>
      </c>
      <c r="F304" s="204" t="s">
        <v>851</v>
      </c>
      <c r="G304" s="204" t="str">
        <f t="shared" si="107"/>
        <v>7NGROP</v>
      </c>
      <c r="H304" s="204" t="str">
        <f t="shared" si="108"/>
        <v>7NGROP</v>
      </c>
      <c r="I304" s="204" t="str">
        <f t="shared" si="109"/>
        <v>7NGROP</v>
      </c>
      <c r="J304" s="204" t="str">
        <f t="shared" si="110"/>
        <v>7NGROP</v>
      </c>
      <c r="K304" s="204">
        <v>100</v>
      </c>
      <c r="L304" s="204">
        <v>7</v>
      </c>
      <c r="N304" s="204" t="str">
        <f t="shared" si="111"/>
        <v>7NGROP</v>
      </c>
      <c r="O304" s="204" t="str">
        <f t="shared" si="112"/>
        <v>7Y_I</v>
      </c>
      <c r="P304" s="204" t="str">
        <f t="shared" si="113"/>
        <v>9Y_I</v>
      </c>
    </row>
    <row r="305" spans="1:16" ht="13" x14ac:dyDescent="0.3">
      <c r="A305" s="25"/>
      <c r="B305">
        <v>7</v>
      </c>
      <c r="C305" s="221" t="s">
        <v>1082</v>
      </c>
      <c r="D305" s="221" t="s">
        <v>704</v>
      </c>
      <c r="E305" s="221">
        <f>1</f>
        <v>1</v>
      </c>
      <c r="F305" s="204" t="s">
        <v>851</v>
      </c>
      <c r="G305" s="204" t="str">
        <f t="shared" ref="G305:G307" si="369">F305</f>
        <v>7NGROP</v>
      </c>
      <c r="H305" s="204" t="str">
        <f t="shared" ref="H305:H307" si="370">G305</f>
        <v>7NGROP</v>
      </c>
      <c r="I305" s="204" t="str">
        <f t="shared" ref="I305:I307" si="371">H305</f>
        <v>7NGROP</v>
      </c>
      <c r="J305" s="204" t="str">
        <f t="shared" ref="J305:J307" si="372">I305</f>
        <v>7NGROP</v>
      </c>
      <c r="K305" s="204">
        <v>100</v>
      </c>
      <c r="L305" s="204">
        <v>7</v>
      </c>
      <c r="N305" s="204" t="str">
        <f t="shared" ref="N305:N307" si="373">F305</f>
        <v>7NGROP</v>
      </c>
      <c r="O305" s="204" t="str">
        <f t="shared" si="112"/>
        <v>7Y_I</v>
      </c>
      <c r="P305" s="204" t="str">
        <f t="shared" si="113"/>
        <v>9Y_I</v>
      </c>
    </row>
    <row r="306" spans="1:16" ht="13" x14ac:dyDescent="0.3">
      <c r="A306" s="25"/>
      <c r="B306">
        <v>7</v>
      </c>
      <c r="C306" s="221" t="s">
        <v>1083</v>
      </c>
      <c r="D306" s="221" t="s">
        <v>704</v>
      </c>
      <c r="E306" s="221">
        <f>1</f>
        <v>1</v>
      </c>
      <c r="F306" s="204" t="s">
        <v>851</v>
      </c>
      <c r="G306" s="204" t="str">
        <f t="shared" si="369"/>
        <v>7NGROP</v>
      </c>
      <c r="H306" s="204" t="str">
        <f t="shared" si="370"/>
        <v>7NGROP</v>
      </c>
      <c r="I306" s="204" t="str">
        <f t="shared" si="371"/>
        <v>7NGROP</v>
      </c>
      <c r="J306" s="204" t="str">
        <f t="shared" si="372"/>
        <v>7NGROP</v>
      </c>
      <c r="K306" s="204">
        <v>100</v>
      </c>
      <c r="L306" s="204">
        <v>7</v>
      </c>
      <c r="N306" s="204" t="str">
        <f t="shared" si="373"/>
        <v>7NGROP</v>
      </c>
      <c r="O306" s="204" t="str">
        <f t="shared" si="112"/>
        <v>7Y_I</v>
      </c>
      <c r="P306" s="204" t="str">
        <f t="shared" si="113"/>
        <v>9Y_I</v>
      </c>
    </row>
    <row r="307" spans="1:16" ht="13" x14ac:dyDescent="0.3">
      <c r="A307" s="25"/>
      <c r="B307">
        <v>7</v>
      </c>
      <c r="C307" s="221" t="s">
        <v>1084</v>
      </c>
      <c r="D307" s="221" t="s">
        <v>704</v>
      </c>
      <c r="E307" s="221">
        <f>1</f>
        <v>1</v>
      </c>
      <c r="F307" s="204" t="s">
        <v>851</v>
      </c>
      <c r="G307" s="204" t="str">
        <f t="shared" si="369"/>
        <v>7NGROP</v>
      </c>
      <c r="H307" s="204" t="str">
        <f t="shared" si="370"/>
        <v>7NGROP</v>
      </c>
      <c r="I307" s="204" t="str">
        <f t="shared" si="371"/>
        <v>7NGROP</v>
      </c>
      <c r="J307" s="204" t="str">
        <f t="shared" si="372"/>
        <v>7NGROP</v>
      </c>
      <c r="K307" s="204">
        <v>100</v>
      </c>
      <c r="L307" s="204">
        <v>7</v>
      </c>
      <c r="N307" s="204" t="str">
        <f t="shared" si="373"/>
        <v>7NGROP</v>
      </c>
      <c r="O307" s="204" t="str">
        <f t="shared" si="112"/>
        <v>7Y_I</v>
      </c>
      <c r="P307" s="204" t="str">
        <f t="shared" si="113"/>
        <v>9Y_I</v>
      </c>
    </row>
    <row r="308" spans="1:16" ht="13" x14ac:dyDescent="0.3">
      <c r="A308" s="25"/>
      <c r="B308">
        <v>7</v>
      </c>
      <c r="C308" s="221" t="s">
        <v>822</v>
      </c>
      <c r="D308" s="221" t="s">
        <v>704</v>
      </c>
      <c r="E308" s="221">
        <f>1</f>
        <v>1</v>
      </c>
      <c r="F308" s="204" t="s">
        <v>852</v>
      </c>
      <c r="G308" s="204" t="str">
        <f t="shared" si="107"/>
        <v>7MVANG</v>
      </c>
      <c r="H308" s="204" t="str">
        <f t="shared" si="108"/>
        <v>7MVANG</v>
      </c>
      <c r="I308" s="204" t="str">
        <f t="shared" si="109"/>
        <v>7MVANG</v>
      </c>
      <c r="J308" s="204" t="str">
        <f t="shared" si="110"/>
        <v>7MVANG</v>
      </c>
      <c r="K308" s="204">
        <v>100</v>
      </c>
      <c r="L308" s="204">
        <v>7</v>
      </c>
      <c r="N308" s="204" t="str">
        <f t="shared" si="111"/>
        <v>7MVANG</v>
      </c>
      <c r="O308" s="204" t="str">
        <f t="shared" si="112"/>
        <v>7Y_I</v>
      </c>
      <c r="P308" s="204" t="str">
        <f t="shared" si="113"/>
        <v>9Y_I</v>
      </c>
    </row>
    <row r="309" spans="1:16" ht="13" x14ac:dyDescent="0.3">
      <c r="A309" s="25"/>
      <c r="B309">
        <v>7</v>
      </c>
      <c r="C309" s="221" t="s">
        <v>1085</v>
      </c>
      <c r="D309" s="221" t="s">
        <v>704</v>
      </c>
      <c r="E309" s="221">
        <f>1</f>
        <v>1</v>
      </c>
      <c r="F309" s="204" t="s">
        <v>852</v>
      </c>
      <c r="G309" s="204" t="str">
        <f t="shared" ref="G309:G311" si="374">F309</f>
        <v>7MVANG</v>
      </c>
      <c r="H309" s="204" t="str">
        <f t="shared" ref="H309:H311" si="375">G309</f>
        <v>7MVANG</v>
      </c>
      <c r="I309" s="204" t="str">
        <f t="shared" ref="I309:I311" si="376">H309</f>
        <v>7MVANG</v>
      </c>
      <c r="J309" s="204" t="str">
        <f t="shared" ref="J309:J311" si="377">I309</f>
        <v>7MVANG</v>
      </c>
      <c r="K309" s="204">
        <v>100</v>
      </c>
      <c r="L309" s="204">
        <v>7</v>
      </c>
      <c r="N309" s="204" t="str">
        <f t="shared" ref="N309:N311" si="378">F309</f>
        <v>7MVANG</v>
      </c>
      <c r="O309" s="204" t="str">
        <f t="shared" si="112"/>
        <v>7Y_I</v>
      </c>
      <c r="P309" s="204" t="str">
        <f t="shared" si="113"/>
        <v>9Y_I</v>
      </c>
    </row>
    <row r="310" spans="1:16" ht="13" x14ac:dyDescent="0.3">
      <c r="A310" s="25"/>
      <c r="B310">
        <v>7</v>
      </c>
      <c r="C310" s="221" t="s">
        <v>1086</v>
      </c>
      <c r="D310" s="221" t="s">
        <v>704</v>
      </c>
      <c r="E310" s="221">
        <f>1</f>
        <v>1</v>
      </c>
      <c r="F310" s="204" t="s">
        <v>852</v>
      </c>
      <c r="G310" s="204" t="str">
        <f t="shared" si="374"/>
        <v>7MVANG</v>
      </c>
      <c r="H310" s="204" t="str">
        <f t="shared" si="375"/>
        <v>7MVANG</v>
      </c>
      <c r="I310" s="204" t="str">
        <f t="shared" si="376"/>
        <v>7MVANG</v>
      </c>
      <c r="J310" s="204" t="str">
        <f t="shared" si="377"/>
        <v>7MVANG</v>
      </c>
      <c r="K310" s="204">
        <v>100</v>
      </c>
      <c r="L310" s="204">
        <v>7</v>
      </c>
      <c r="N310" s="204" t="str">
        <f t="shared" si="378"/>
        <v>7MVANG</v>
      </c>
      <c r="O310" s="204" t="str">
        <f t="shared" si="112"/>
        <v>7Y_I</v>
      </c>
      <c r="P310" s="204" t="str">
        <f t="shared" si="113"/>
        <v>9Y_I</v>
      </c>
    </row>
    <row r="311" spans="1:16" ht="13" x14ac:dyDescent="0.3">
      <c r="A311" s="25"/>
      <c r="B311">
        <v>7</v>
      </c>
      <c r="C311" s="221" t="s">
        <v>1087</v>
      </c>
      <c r="D311" s="221" t="s">
        <v>704</v>
      </c>
      <c r="E311" s="221">
        <f>1</f>
        <v>1</v>
      </c>
      <c r="F311" s="204" t="s">
        <v>852</v>
      </c>
      <c r="G311" s="204" t="str">
        <f t="shared" si="374"/>
        <v>7MVANG</v>
      </c>
      <c r="H311" s="204" t="str">
        <f t="shared" si="375"/>
        <v>7MVANG</v>
      </c>
      <c r="I311" s="204" t="str">
        <f t="shared" si="376"/>
        <v>7MVANG</v>
      </c>
      <c r="J311" s="204" t="str">
        <f t="shared" si="377"/>
        <v>7MVANG</v>
      </c>
      <c r="K311" s="204">
        <v>100</v>
      </c>
      <c r="L311" s="204">
        <v>7</v>
      </c>
      <c r="N311" s="204" t="str">
        <f t="shared" si="378"/>
        <v>7MVANG</v>
      </c>
      <c r="O311" s="204" t="str">
        <f t="shared" si="112"/>
        <v>7Y_I</v>
      </c>
      <c r="P311" s="204" t="str">
        <f t="shared" si="113"/>
        <v>9Y_I</v>
      </c>
    </row>
    <row r="312" spans="1:16" ht="13" x14ac:dyDescent="0.3">
      <c r="A312" s="25"/>
      <c r="B312">
        <v>3</v>
      </c>
      <c r="C312" s="221" t="s">
        <v>823</v>
      </c>
      <c r="D312" s="221" t="s">
        <v>704</v>
      </c>
      <c r="E312" s="221">
        <f>1</f>
        <v>1</v>
      </c>
      <c r="F312" s="204" t="s">
        <v>843</v>
      </c>
      <c r="G312" s="204" t="str">
        <f t="shared" si="107"/>
        <v>3GROP</v>
      </c>
      <c r="H312" s="204" t="str">
        <f t="shared" si="108"/>
        <v>3GROP</v>
      </c>
      <c r="I312" s="204" t="str">
        <f t="shared" si="109"/>
        <v>3GROP</v>
      </c>
      <c r="J312" s="204" t="str">
        <f t="shared" si="110"/>
        <v>3GROP</v>
      </c>
      <c r="K312" s="204">
        <v>100</v>
      </c>
      <c r="L312" s="204">
        <v>7</v>
      </c>
      <c r="N312" s="204" t="str">
        <f t="shared" si="111"/>
        <v>3GROP</v>
      </c>
      <c r="O312" s="204" t="str">
        <f t="shared" si="112"/>
        <v>3Y_I</v>
      </c>
      <c r="P312" s="204" t="str">
        <f t="shared" si="113"/>
        <v>5Y_I</v>
      </c>
    </row>
    <row r="313" spans="1:16" ht="13" x14ac:dyDescent="0.3">
      <c r="A313" s="25"/>
      <c r="B313">
        <v>3</v>
      </c>
      <c r="C313" s="221" t="s">
        <v>824</v>
      </c>
      <c r="D313" s="221" t="s">
        <v>704</v>
      </c>
      <c r="E313" s="221">
        <f>1</f>
        <v>1</v>
      </c>
      <c r="F313" s="204" t="s">
        <v>847</v>
      </c>
      <c r="G313" s="204" t="str">
        <f t="shared" si="107"/>
        <v>3MVANG</v>
      </c>
      <c r="H313" s="204" t="str">
        <f t="shared" si="108"/>
        <v>3MVANG</v>
      </c>
      <c r="I313" s="204" t="str">
        <f t="shared" si="109"/>
        <v>3MVANG</v>
      </c>
      <c r="J313" s="204" t="str">
        <f t="shared" si="110"/>
        <v>3MVANG</v>
      </c>
      <c r="K313" s="204">
        <v>100</v>
      </c>
      <c r="L313" s="204">
        <v>7</v>
      </c>
      <c r="N313" s="204" t="str">
        <f t="shared" si="111"/>
        <v>3MVANG</v>
      </c>
      <c r="O313" s="204" t="str">
        <f t="shared" si="112"/>
        <v>3Y_I</v>
      </c>
      <c r="P313" s="204" t="str">
        <f t="shared" si="113"/>
        <v>5Y_I</v>
      </c>
    </row>
    <row r="314" spans="1:16" ht="13" x14ac:dyDescent="0.3">
      <c r="A314" s="25"/>
      <c r="B314">
        <v>3</v>
      </c>
      <c r="C314" s="221" t="s">
        <v>825</v>
      </c>
      <c r="D314" s="221" t="s">
        <v>704</v>
      </c>
      <c r="E314" s="221">
        <f>1</f>
        <v>1</v>
      </c>
      <c r="F314" s="204" t="s">
        <v>847</v>
      </c>
      <c r="G314" s="204" t="str">
        <f t="shared" si="107"/>
        <v>3MVANG</v>
      </c>
      <c r="H314" s="204" t="str">
        <f t="shared" si="108"/>
        <v>3MVANG</v>
      </c>
      <c r="I314" s="204" t="str">
        <f t="shared" si="109"/>
        <v>3MVANG</v>
      </c>
      <c r="J314" s="204" t="str">
        <f t="shared" si="110"/>
        <v>3MVANG</v>
      </c>
      <c r="K314" s="204">
        <v>100</v>
      </c>
      <c r="L314" s="204">
        <v>7</v>
      </c>
      <c r="N314" s="204" t="str">
        <f t="shared" si="111"/>
        <v>3MVANG</v>
      </c>
      <c r="O314" s="204" t="str">
        <f t="shared" si="112"/>
        <v>3Y_I</v>
      </c>
      <c r="P314" s="204" t="str">
        <f t="shared" si="113"/>
        <v>5Y_I</v>
      </c>
    </row>
    <row r="315" spans="1:16" ht="13" x14ac:dyDescent="0.3">
      <c r="A315" s="25"/>
      <c r="B315">
        <v>3</v>
      </c>
      <c r="C315" s="221" t="s">
        <v>826</v>
      </c>
      <c r="D315" s="221" t="s">
        <v>704</v>
      </c>
      <c r="E315" s="221">
        <f>1</f>
        <v>1</v>
      </c>
      <c r="F315" s="204" t="s">
        <v>847</v>
      </c>
      <c r="G315" s="204" t="str">
        <f t="shared" si="107"/>
        <v>3MVANG</v>
      </c>
      <c r="H315" s="204" t="str">
        <f t="shared" si="108"/>
        <v>3MVANG</v>
      </c>
      <c r="I315" s="204" t="str">
        <f t="shared" si="109"/>
        <v>3MVANG</v>
      </c>
      <c r="J315" s="204" t="str">
        <f t="shared" si="110"/>
        <v>3MVANG</v>
      </c>
      <c r="K315" s="204">
        <v>100</v>
      </c>
      <c r="L315" s="204">
        <v>7</v>
      </c>
      <c r="N315" s="204" t="str">
        <f t="shared" si="111"/>
        <v>3MVANG</v>
      </c>
      <c r="O315" s="204" t="str">
        <f t="shared" si="112"/>
        <v>3Y_I</v>
      </c>
      <c r="P315" s="204" t="str">
        <f t="shared" si="113"/>
        <v>5Y_I</v>
      </c>
    </row>
    <row r="316" spans="1:16" ht="13" x14ac:dyDescent="0.3">
      <c r="A316" s="25"/>
      <c r="B316">
        <v>4</v>
      </c>
      <c r="C316" s="221" t="s">
        <v>827</v>
      </c>
      <c r="D316" s="221" t="s">
        <v>704</v>
      </c>
      <c r="E316" s="221">
        <f>1</f>
        <v>1</v>
      </c>
      <c r="F316" s="204" t="s">
        <v>844</v>
      </c>
      <c r="G316" s="204" t="str">
        <f t="shared" si="107"/>
        <v>4GROP</v>
      </c>
      <c r="H316" s="204" t="str">
        <f t="shared" si="108"/>
        <v>4GROP</v>
      </c>
      <c r="I316" s="204" t="str">
        <f t="shared" si="109"/>
        <v>4GROP</v>
      </c>
      <c r="J316" s="204" t="str">
        <f t="shared" si="110"/>
        <v>4GROP</v>
      </c>
      <c r="K316" s="204">
        <v>100</v>
      </c>
      <c r="L316" s="204">
        <v>7</v>
      </c>
      <c r="N316" s="204" t="str">
        <f t="shared" si="111"/>
        <v>4GROP</v>
      </c>
      <c r="O316" s="204" t="str">
        <f t="shared" si="112"/>
        <v>4Y_I</v>
      </c>
      <c r="P316" s="204" t="str">
        <f t="shared" si="113"/>
        <v>6Y_I</v>
      </c>
    </row>
    <row r="317" spans="1:16" ht="13" x14ac:dyDescent="0.3">
      <c r="A317" s="25"/>
      <c r="B317">
        <v>4</v>
      </c>
      <c r="C317" s="221" t="s">
        <v>828</v>
      </c>
      <c r="D317" s="221" t="s">
        <v>704</v>
      </c>
      <c r="E317" s="221">
        <f>1</f>
        <v>1</v>
      </c>
      <c r="F317" s="204" t="s">
        <v>848</v>
      </c>
      <c r="G317" s="204" t="str">
        <f t="shared" si="107"/>
        <v>4MVANG</v>
      </c>
      <c r="H317" s="204" t="str">
        <f t="shared" si="108"/>
        <v>4MVANG</v>
      </c>
      <c r="I317" s="204" t="str">
        <f t="shared" si="109"/>
        <v>4MVANG</v>
      </c>
      <c r="J317" s="204" t="str">
        <f t="shared" si="110"/>
        <v>4MVANG</v>
      </c>
      <c r="K317" s="204">
        <v>100</v>
      </c>
      <c r="L317" s="204">
        <v>7</v>
      </c>
      <c r="N317" s="204" t="str">
        <f t="shared" si="111"/>
        <v>4MVANG</v>
      </c>
      <c r="O317" s="204" t="str">
        <f t="shared" si="112"/>
        <v>4Y_I</v>
      </c>
      <c r="P317" s="204" t="str">
        <f t="shared" si="113"/>
        <v>6Y_I</v>
      </c>
    </row>
    <row r="318" spans="1:16" ht="13" x14ac:dyDescent="0.3">
      <c r="A318" s="25"/>
      <c r="B318">
        <v>4</v>
      </c>
      <c r="C318" s="221" t="s">
        <v>829</v>
      </c>
      <c r="D318" s="221" t="s">
        <v>704</v>
      </c>
      <c r="E318" s="221">
        <f>1</f>
        <v>1</v>
      </c>
      <c r="F318" s="204" t="s">
        <v>848</v>
      </c>
      <c r="G318" s="204" t="str">
        <f t="shared" si="107"/>
        <v>4MVANG</v>
      </c>
      <c r="H318" s="204" t="str">
        <f t="shared" si="108"/>
        <v>4MVANG</v>
      </c>
      <c r="I318" s="204" t="str">
        <f t="shared" si="109"/>
        <v>4MVANG</v>
      </c>
      <c r="J318" s="204" t="str">
        <f t="shared" si="110"/>
        <v>4MVANG</v>
      </c>
      <c r="K318" s="204">
        <v>100</v>
      </c>
      <c r="L318" s="204">
        <v>7</v>
      </c>
      <c r="N318" s="204" t="str">
        <f t="shared" si="111"/>
        <v>4MVANG</v>
      </c>
      <c r="O318" s="204" t="str">
        <f t="shared" si="112"/>
        <v>4Y_I</v>
      </c>
      <c r="P318" s="204" t="str">
        <f t="shared" si="113"/>
        <v>6Y_I</v>
      </c>
    </row>
    <row r="319" spans="1:16" ht="13" x14ac:dyDescent="0.3">
      <c r="A319" s="25"/>
      <c r="B319">
        <v>4</v>
      </c>
      <c r="C319" s="221" t="s">
        <v>830</v>
      </c>
      <c r="D319" s="221" t="s">
        <v>704</v>
      </c>
      <c r="E319" s="221">
        <f>1</f>
        <v>1</v>
      </c>
      <c r="F319" s="204" t="s">
        <v>848</v>
      </c>
      <c r="G319" s="204" t="str">
        <f t="shared" si="107"/>
        <v>4MVANG</v>
      </c>
      <c r="H319" s="204" t="str">
        <f t="shared" si="108"/>
        <v>4MVANG</v>
      </c>
      <c r="I319" s="204" t="str">
        <f t="shared" si="109"/>
        <v>4MVANG</v>
      </c>
      <c r="J319" s="204" t="str">
        <f t="shared" si="110"/>
        <v>4MVANG</v>
      </c>
      <c r="K319" s="204">
        <v>100</v>
      </c>
      <c r="L319" s="204">
        <v>7</v>
      </c>
      <c r="N319" s="204" t="str">
        <f t="shared" si="111"/>
        <v>4MVANG</v>
      </c>
      <c r="O319" s="204" t="str">
        <f t="shared" si="112"/>
        <v>4Y_I</v>
      </c>
      <c r="P319" s="204" t="str">
        <f t="shared" si="113"/>
        <v>6Y_I</v>
      </c>
    </row>
    <row r="320" spans="1:16" ht="13" x14ac:dyDescent="0.3">
      <c r="A320" s="25"/>
      <c r="B320">
        <v>4</v>
      </c>
      <c r="C320" s="221" t="s">
        <v>986</v>
      </c>
      <c r="D320" s="221" t="s">
        <v>704</v>
      </c>
      <c r="E320" s="221">
        <f>1</f>
        <v>1</v>
      </c>
      <c r="F320" s="204" t="s">
        <v>848</v>
      </c>
      <c r="G320" s="204" t="str">
        <f t="shared" ref="G320:G322" si="379">F320</f>
        <v>4MVANG</v>
      </c>
      <c r="H320" s="204" t="str">
        <f t="shared" ref="H320:H322" si="380">G320</f>
        <v>4MVANG</v>
      </c>
      <c r="I320" s="204" t="str">
        <f t="shared" ref="I320:I322" si="381">H320</f>
        <v>4MVANG</v>
      </c>
      <c r="J320" s="204" t="str">
        <f t="shared" ref="J320:J322" si="382">I320</f>
        <v>4MVANG</v>
      </c>
      <c r="K320" s="204">
        <v>100</v>
      </c>
      <c r="L320" s="204">
        <v>7</v>
      </c>
      <c r="N320" s="204" t="str">
        <f t="shared" ref="N320:N322" si="383">F320</f>
        <v>4MVANG</v>
      </c>
      <c r="O320" s="204" t="str">
        <f t="shared" si="112"/>
        <v>4Y_I</v>
      </c>
      <c r="P320" s="204" t="str">
        <f t="shared" si="113"/>
        <v>6Y_I</v>
      </c>
    </row>
    <row r="321" spans="1:16" ht="13" x14ac:dyDescent="0.3">
      <c r="A321" s="25"/>
      <c r="B321">
        <v>4</v>
      </c>
      <c r="C321" s="221" t="s">
        <v>987</v>
      </c>
      <c r="D321" s="221" t="s">
        <v>704</v>
      </c>
      <c r="E321" s="221">
        <f>1</f>
        <v>1</v>
      </c>
      <c r="F321" s="204" t="s">
        <v>848</v>
      </c>
      <c r="G321" s="204" t="str">
        <f t="shared" si="379"/>
        <v>4MVANG</v>
      </c>
      <c r="H321" s="204" t="str">
        <f t="shared" si="380"/>
        <v>4MVANG</v>
      </c>
      <c r="I321" s="204" t="str">
        <f t="shared" si="381"/>
        <v>4MVANG</v>
      </c>
      <c r="J321" s="204" t="str">
        <f t="shared" si="382"/>
        <v>4MVANG</v>
      </c>
      <c r="K321" s="204">
        <v>100</v>
      </c>
      <c r="L321" s="204">
        <v>7</v>
      </c>
      <c r="N321" s="204" t="str">
        <f t="shared" si="383"/>
        <v>4MVANG</v>
      </c>
      <c r="O321" s="204" t="str">
        <f t="shared" si="112"/>
        <v>4Y_I</v>
      </c>
      <c r="P321" s="204" t="str">
        <f t="shared" si="113"/>
        <v>6Y_I</v>
      </c>
    </row>
    <row r="322" spans="1:16" ht="13" x14ac:dyDescent="0.3">
      <c r="A322" s="25"/>
      <c r="B322">
        <v>4</v>
      </c>
      <c r="C322" s="221" t="s">
        <v>988</v>
      </c>
      <c r="D322" s="221" t="s">
        <v>704</v>
      </c>
      <c r="E322" s="221">
        <f>1</f>
        <v>1</v>
      </c>
      <c r="F322" s="204" t="s">
        <v>848</v>
      </c>
      <c r="G322" s="204" t="str">
        <f t="shared" si="379"/>
        <v>4MVANG</v>
      </c>
      <c r="H322" s="204" t="str">
        <f t="shared" si="380"/>
        <v>4MVANG</v>
      </c>
      <c r="I322" s="204" t="str">
        <f t="shared" si="381"/>
        <v>4MVANG</v>
      </c>
      <c r="J322" s="204" t="str">
        <f t="shared" si="382"/>
        <v>4MVANG</v>
      </c>
      <c r="K322" s="204">
        <v>100</v>
      </c>
      <c r="L322" s="204">
        <v>7</v>
      </c>
      <c r="N322" s="204" t="str">
        <f t="shared" si="383"/>
        <v>4MVANG</v>
      </c>
      <c r="O322" s="204" t="str">
        <f t="shared" si="112"/>
        <v>4Y_I</v>
      </c>
      <c r="P322" s="204" t="str">
        <f t="shared" si="113"/>
        <v>6Y_I</v>
      </c>
    </row>
    <row r="323" spans="1:16" ht="13" x14ac:dyDescent="0.3">
      <c r="A323" s="25"/>
      <c r="B323">
        <v>5</v>
      </c>
      <c r="C323" s="221" t="s">
        <v>831</v>
      </c>
      <c r="D323" s="221" t="s">
        <v>704</v>
      </c>
      <c r="E323" s="221">
        <f>1</f>
        <v>1</v>
      </c>
      <c r="F323" s="204" t="s">
        <v>845</v>
      </c>
      <c r="G323" s="204" t="str">
        <f t="shared" si="107"/>
        <v>5GROP</v>
      </c>
      <c r="H323" s="204" t="str">
        <f t="shared" si="108"/>
        <v>5GROP</v>
      </c>
      <c r="I323" s="204" t="str">
        <f t="shared" si="109"/>
        <v>5GROP</v>
      </c>
      <c r="J323" s="204" t="str">
        <f t="shared" si="110"/>
        <v>5GROP</v>
      </c>
      <c r="K323" s="204">
        <v>100</v>
      </c>
      <c r="L323" s="204">
        <v>7</v>
      </c>
      <c r="N323" s="204" t="str">
        <f t="shared" si="111"/>
        <v>5GROP</v>
      </c>
      <c r="O323" s="204" t="str">
        <f t="shared" si="112"/>
        <v>5Y_I</v>
      </c>
      <c r="P323" s="204" t="str">
        <f t="shared" si="113"/>
        <v>7Y_I</v>
      </c>
    </row>
    <row r="324" spans="1:16" ht="13" x14ac:dyDescent="0.3">
      <c r="A324" s="25"/>
      <c r="B324">
        <v>5</v>
      </c>
      <c r="C324" s="221" t="s">
        <v>832</v>
      </c>
      <c r="D324" s="221" t="s">
        <v>704</v>
      </c>
      <c r="E324" s="221">
        <f>1</f>
        <v>1</v>
      </c>
      <c r="F324" s="204" t="s">
        <v>850</v>
      </c>
      <c r="G324" s="204" t="str">
        <f t="shared" si="107"/>
        <v>5MVANG</v>
      </c>
      <c r="H324" s="204" t="str">
        <f t="shared" si="108"/>
        <v>5MVANG</v>
      </c>
      <c r="I324" s="204" t="str">
        <f t="shared" si="109"/>
        <v>5MVANG</v>
      </c>
      <c r="J324" s="204" t="str">
        <f t="shared" si="110"/>
        <v>5MVANG</v>
      </c>
      <c r="K324" s="204">
        <v>100</v>
      </c>
      <c r="L324" s="204">
        <v>7</v>
      </c>
      <c r="N324" s="204" t="str">
        <f t="shared" si="111"/>
        <v>5MVANG</v>
      </c>
      <c r="O324" s="204" t="str">
        <f t="shared" si="112"/>
        <v>5Y_I</v>
      </c>
      <c r="P324" s="204" t="str">
        <f t="shared" si="113"/>
        <v>7Y_I</v>
      </c>
    </row>
    <row r="325" spans="1:16" ht="13" x14ac:dyDescent="0.3">
      <c r="A325" s="25"/>
      <c r="B325">
        <v>5</v>
      </c>
      <c r="C325" s="221" t="s">
        <v>833</v>
      </c>
      <c r="D325" s="221" t="s">
        <v>704</v>
      </c>
      <c r="E325" s="221">
        <f>1</f>
        <v>1</v>
      </c>
      <c r="F325" s="204" t="s">
        <v>849</v>
      </c>
      <c r="G325" s="204" t="str">
        <f t="shared" si="107"/>
        <v>5NGROP</v>
      </c>
      <c r="H325" s="204" t="str">
        <f t="shared" si="108"/>
        <v>5NGROP</v>
      </c>
      <c r="I325" s="204" t="str">
        <f t="shared" si="109"/>
        <v>5NGROP</v>
      </c>
      <c r="J325" s="204" t="str">
        <f t="shared" si="110"/>
        <v>5NGROP</v>
      </c>
      <c r="K325" s="204">
        <v>100</v>
      </c>
      <c r="L325" s="204">
        <v>7</v>
      </c>
      <c r="N325" s="204" t="str">
        <f t="shared" si="111"/>
        <v>5NGROP</v>
      </c>
      <c r="O325" s="204" t="str">
        <f t="shared" si="112"/>
        <v>5Y_I</v>
      </c>
      <c r="P325" s="204" t="str">
        <f t="shared" si="113"/>
        <v>7Y_I</v>
      </c>
    </row>
    <row r="326" spans="1:16" ht="13" x14ac:dyDescent="0.3">
      <c r="A326" s="25"/>
      <c r="B326">
        <v>5</v>
      </c>
      <c r="C326" s="221" t="s">
        <v>834</v>
      </c>
      <c r="D326" s="221" t="s">
        <v>704</v>
      </c>
      <c r="E326" s="221">
        <f>1</f>
        <v>1</v>
      </c>
      <c r="F326" s="204" t="s">
        <v>850</v>
      </c>
      <c r="G326" s="204" t="str">
        <f t="shared" si="107"/>
        <v>5MVANG</v>
      </c>
      <c r="H326" s="204" t="str">
        <f t="shared" si="108"/>
        <v>5MVANG</v>
      </c>
      <c r="I326" s="204" t="str">
        <f t="shared" si="109"/>
        <v>5MVANG</v>
      </c>
      <c r="J326" s="204" t="str">
        <f t="shared" si="110"/>
        <v>5MVANG</v>
      </c>
      <c r="K326" s="204">
        <v>100</v>
      </c>
      <c r="L326" s="204">
        <v>7</v>
      </c>
      <c r="N326" s="204" t="str">
        <f t="shared" si="111"/>
        <v>5MVANG</v>
      </c>
      <c r="O326" s="204" t="str">
        <f t="shared" si="112"/>
        <v>5Y_I</v>
      </c>
      <c r="P326" s="204" t="str">
        <f t="shared" si="113"/>
        <v>7Y_I</v>
      </c>
    </row>
    <row r="327" spans="1:16" ht="13" x14ac:dyDescent="0.3">
      <c r="A327" s="25"/>
      <c r="B327">
        <v>7</v>
      </c>
      <c r="C327" s="221" t="s">
        <v>835</v>
      </c>
      <c r="D327" s="221" t="s">
        <v>704</v>
      </c>
      <c r="E327" s="221">
        <f>1</f>
        <v>1</v>
      </c>
      <c r="F327" s="204" t="s">
        <v>846</v>
      </c>
      <c r="G327" s="204" t="str">
        <f t="shared" ref="G327:G337" si="384">F327</f>
        <v>7GROP</v>
      </c>
      <c r="H327" s="204" t="str">
        <f t="shared" ref="H327:J338" si="385">G327</f>
        <v>7GROP</v>
      </c>
      <c r="I327" s="204" t="str">
        <f t="shared" ref="I327:I337" si="386">H327</f>
        <v>7GROP</v>
      </c>
      <c r="J327" s="204" t="str">
        <f t="shared" ref="J327:J337" si="387">I327</f>
        <v>7GROP</v>
      </c>
      <c r="K327" s="204">
        <v>100</v>
      </c>
      <c r="L327" s="204">
        <v>7</v>
      </c>
      <c r="N327" s="204" t="str">
        <f t="shared" ref="N327:N336" si="388">F327</f>
        <v>7GROP</v>
      </c>
      <c r="O327" s="204" t="str">
        <f t="shared" ref="O327:O337" si="389">ROUND(IF(AND($D327="BASE",$B327=8),7,$B327)+IF($D327="BASE",0,IF($B327=5,4,IF($B327=7,5,10))),0)&amp;"Y_I"</f>
        <v>7Y_I</v>
      </c>
      <c r="P327" s="204" t="str">
        <f t="shared" ref="P327:P337" si="390">(ROUND($B327,0)+2)&amp;"Y_I"</f>
        <v>9Y_I</v>
      </c>
    </row>
    <row r="328" spans="1:16" ht="13" x14ac:dyDescent="0.3">
      <c r="A328" s="25"/>
      <c r="B328">
        <v>7</v>
      </c>
      <c r="C328" s="221" t="s">
        <v>836</v>
      </c>
      <c r="D328" s="221" t="s">
        <v>704</v>
      </c>
      <c r="E328" s="221">
        <f>1</f>
        <v>1</v>
      </c>
      <c r="F328" s="204" t="s">
        <v>852</v>
      </c>
      <c r="G328" s="204" t="str">
        <f t="shared" si="384"/>
        <v>7MVANG</v>
      </c>
      <c r="H328" s="204" t="str">
        <f t="shared" si="385"/>
        <v>7MVANG</v>
      </c>
      <c r="I328" s="204" t="str">
        <f t="shared" si="386"/>
        <v>7MVANG</v>
      </c>
      <c r="J328" s="204" t="str">
        <f t="shared" si="387"/>
        <v>7MVANG</v>
      </c>
      <c r="K328" s="204">
        <v>100</v>
      </c>
      <c r="L328" s="204">
        <v>7</v>
      </c>
      <c r="N328" s="204" t="str">
        <f t="shared" si="388"/>
        <v>7MVANG</v>
      </c>
      <c r="O328" s="204" t="str">
        <f t="shared" si="389"/>
        <v>7Y_I</v>
      </c>
      <c r="P328" s="204" t="str">
        <f t="shared" si="390"/>
        <v>9Y_I</v>
      </c>
    </row>
    <row r="329" spans="1:16" ht="13" x14ac:dyDescent="0.3">
      <c r="A329" s="25"/>
      <c r="B329">
        <v>7</v>
      </c>
      <c r="C329" s="221" t="s">
        <v>837</v>
      </c>
      <c r="D329" s="221" t="s">
        <v>704</v>
      </c>
      <c r="E329" s="221">
        <f>1</f>
        <v>1</v>
      </c>
      <c r="F329" s="204" t="s">
        <v>851</v>
      </c>
      <c r="G329" s="204" t="str">
        <f t="shared" si="384"/>
        <v>7NGROP</v>
      </c>
      <c r="H329" s="204" t="str">
        <f t="shared" si="385"/>
        <v>7NGROP</v>
      </c>
      <c r="I329" s="204" t="str">
        <f t="shared" si="386"/>
        <v>7NGROP</v>
      </c>
      <c r="J329" s="204" t="str">
        <f t="shared" si="387"/>
        <v>7NGROP</v>
      </c>
      <c r="K329" s="204">
        <v>100</v>
      </c>
      <c r="L329" s="204">
        <v>7</v>
      </c>
      <c r="N329" s="204" t="str">
        <f t="shared" si="388"/>
        <v>7NGROP</v>
      </c>
      <c r="O329" s="204" t="str">
        <f t="shared" si="389"/>
        <v>7Y_I</v>
      </c>
      <c r="P329" s="204" t="str">
        <f t="shared" si="390"/>
        <v>9Y_I</v>
      </c>
    </row>
    <row r="330" spans="1:16" ht="13" x14ac:dyDescent="0.3">
      <c r="A330" s="25"/>
      <c r="B330">
        <v>7</v>
      </c>
      <c r="C330" s="221" t="s">
        <v>838</v>
      </c>
      <c r="D330" s="221" t="s">
        <v>704</v>
      </c>
      <c r="E330" s="221">
        <f>1</f>
        <v>1</v>
      </c>
      <c r="F330" s="204" t="s">
        <v>852</v>
      </c>
      <c r="G330" s="204" t="str">
        <f t="shared" si="384"/>
        <v>7MVANG</v>
      </c>
      <c r="H330" s="204" t="str">
        <f t="shared" si="385"/>
        <v>7MVANG</v>
      </c>
      <c r="I330" s="204" t="str">
        <f t="shared" si="386"/>
        <v>7MVANG</v>
      </c>
      <c r="J330" s="204" t="str">
        <f t="shared" si="387"/>
        <v>7MVANG</v>
      </c>
      <c r="K330" s="204">
        <v>100</v>
      </c>
      <c r="L330" s="204">
        <v>7</v>
      </c>
      <c r="N330" s="204" t="str">
        <f t="shared" si="388"/>
        <v>7MVANG</v>
      </c>
      <c r="O330" s="204" t="str">
        <f t="shared" si="389"/>
        <v>7Y_I</v>
      </c>
      <c r="P330" s="204" t="str">
        <f t="shared" si="390"/>
        <v>9Y_I</v>
      </c>
    </row>
    <row r="331" spans="1:16" ht="13" x14ac:dyDescent="0.3">
      <c r="A331" s="25"/>
      <c r="B331">
        <v>7</v>
      </c>
      <c r="C331" s="221" t="s">
        <v>989</v>
      </c>
      <c r="D331" s="221" t="s">
        <v>704</v>
      </c>
      <c r="E331" s="221">
        <f>1</f>
        <v>1</v>
      </c>
      <c r="F331" s="204" t="s">
        <v>852</v>
      </c>
      <c r="G331" s="204" t="str">
        <f t="shared" ref="G331:G333" si="391">F331</f>
        <v>7MVANG</v>
      </c>
      <c r="H331" s="204" t="str">
        <f t="shared" ref="H331:H333" si="392">G331</f>
        <v>7MVANG</v>
      </c>
      <c r="I331" s="204" t="str">
        <f t="shared" ref="I331:I333" si="393">H331</f>
        <v>7MVANG</v>
      </c>
      <c r="J331" s="204" t="str">
        <f t="shared" ref="J331:J333" si="394">I331</f>
        <v>7MVANG</v>
      </c>
      <c r="K331" s="204">
        <v>100</v>
      </c>
      <c r="L331" s="204">
        <v>7</v>
      </c>
      <c r="N331" s="204" t="str">
        <f t="shared" ref="N331:N333" si="395">F331</f>
        <v>7MVANG</v>
      </c>
      <c r="O331" s="204" t="str">
        <f t="shared" si="389"/>
        <v>7Y_I</v>
      </c>
      <c r="P331" s="204" t="str">
        <f t="shared" si="390"/>
        <v>9Y_I</v>
      </c>
    </row>
    <row r="332" spans="1:16" ht="13" x14ac:dyDescent="0.3">
      <c r="A332" s="25"/>
      <c r="B332">
        <v>7</v>
      </c>
      <c r="C332" s="221" t="s">
        <v>990</v>
      </c>
      <c r="D332" s="221" t="s">
        <v>704</v>
      </c>
      <c r="E332" s="221">
        <f>1</f>
        <v>1</v>
      </c>
      <c r="F332" s="204" t="s">
        <v>852</v>
      </c>
      <c r="G332" s="204" t="str">
        <f t="shared" si="391"/>
        <v>7MVANG</v>
      </c>
      <c r="H332" s="204" t="str">
        <f t="shared" si="392"/>
        <v>7MVANG</v>
      </c>
      <c r="I332" s="204" t="str">
        <f t="shared" si="393"/>
        <v>7MVANG</v>
      </c>
      <c r="J332" s="204" t="str">
        <f t="shared" si="394"/>
        <v>7MVANG</v>
      </c>
      <c r="K332" s="204">
        <v>100</v>
      </c>
      <c r="L332" s="204">
        <v>7</v>
      </c>
      <c r="N332" s="204" t="str">
        <f t="shared" si="395"/>
        <v>7MVANG</v>
      </c>
      <c r="O332" s="204" t="str">
        <f t="shared" si="389"/>
        <v>7Y_I</v>
      </c>
      <c r="P332" s="204" t="str">
        <f t="shared" si="390"/>
        <v>9Y_I</v>
      </c>
    </row>
    <row r="333" spans="1:16" ht="13" x14ac:dyDescent="0.3">
      <c r="A333" s="25"/>
      <c r="B333">
        <v>7</v>
      </c>
      <c r="C333" s="221" t="s">
        <v>991</v>
      </c>
      <c r="D333" s="221" t="s">
        <v>704</v>
      </c>
      <c r="E333" s="221">
        <f>1</f>
        <v>1</v>
      </c>
      <c r="F333" s="204" t="s">
        <v>852</v>
      </c>
      <c r="G333" s="204" t="str">
        <f t="shared" si="391"/>
        <v>7MVANG</v>
      </c>
      <c r="H333" s="204" t="str">
        <f t="shared" si="392"/>
        <v>7MVANG</v>
      </c>
      <c r="I333" s="204" t="str">
        <f t="shared" si="393"/>
        <v>7MVANG</v>
      </c>
      <c r="J333" s="204" t="str">
        <f t="shared" si="394"/>
        <v>7MVANG</v>
      </c>
      <c r="K333" s="204">
        <v>100</v>
      </c>
      <c r="L333" s="204">
        <v>7</v>
      </c>
      <c r="N333" s="204" t="str">
        <f t="shared" si="395"/>
        <v>7MVANG</v>
      </c>
      <c r="O333" s="204" t="str">
        <f t="shared" si="389"/>
        <v>7Y_I</v>
      </c>
      <c r="P333" s="204" t="str">
        <f t="shared" si="390"/>
        <v>9Y_I</v>
      </c>
    </row>
    <row r="334" spans="1:16" ht="13" x14ac:dyDescent="0.3">
      <c r="A334" s="25"/>
      <c r="B334">
        <v>10</v>
      </c>
      <c r="C334" s="221" t="s">
        <v>839</v>
      </c>
      <c r="D334" s="221" t="s">
        <v>704</v>
      </c>
      <c r="E334" s="221">
        <f>1</f>
        <v>1</v>
      </c>
      <c r="F334" s="204" t="s">
        <v>853</v>
      </c>
      <c r="G334" s="204" t="str">
        <f t="shared" si="384"/>
        <v>10MVANG</v>
      </c>
      <c r="H334" s="204" t="str">
        <f t="shared" si="385"/>
        <v>10MVANG</v>
      </c>
      <c r="I334" s="204" t="str">
        <f t="shared" si="386"/>
        <v>10MVANG</v>
      </c>
      <c r="J334" s="204" t="str">
        <f t="shared" si="387"/>
        <v>10MVANG</v>
      </c>
      <c r="K334" s="204">
        <v>100</v>
      </c>
      <c r="L334" s="204">
        <v>7</v>
      </c>
      <c r="N334" s="204" t="str">
        <f t="shared" si="388"/>
        <v>10MVANG</v>
      </c>
      <c r="O334" s="204" t="str">
        <f t="shared" si="389"/>
        <v>10Y_I</v>
      </c>
      <c r="P334" s="204" t="str">
        <f t="shared" si="390"/>
        <v>12Y_I</v>
      </c>
    </row>
    <row r="335" spans="1:16" ht="13" x14ac:dyDescent="0.3">
      <c r="A335" s="25"/>
      <c r="B335">
        <v>10</v>
      </c>
      <c r="C335" s="221" t="s">
        <v>840</v>
      </c>
      <c r="D335" s="221" t="s">
        <v>704</v>
      </c>
      <c r="E335" s="221">
        <f>1</f>
        <v>1</v>
      </c>
      <c r="F335" s="204" t="s">
        <v>853</v>
      </c>
      <c r="G335" s="204" t="str">
        <f t="shared" si="384"/>
        <v>10MVANG</v>
      </c>
      <c r="H335" s="204" t="str">
        <f t="shared" si="385"/>
        <v>10MVANG</v>
      </c>
      <c r="I335" s="204" t="str">
        <f t="shared" si="386"/>
        <v>10MVANG</v>
      </c>
      <c r="J335" s="204" t="str">
        <f t="shared" si="387"/>
        <v>10MVANG</v>
      </c>
      <c r="K335" s="204">
        <v>100</v>
      </c>
      <c r="L335" s="204">
        <v>7</v>
      </c>
      <c r="N335" s="204" t="str">
        <f t="shared" si="388"/>
        <v>10MVANG</v>
      </c>
      <c r="O335" s="204" t="str">
        <f t="shared" si="389"/>
        <v>10Y_I</v>
      </c>
      <c r="P335" s="204" t="str">
        <f t="shared" si="390"/>
        <v>12Y_I</v>
      </c>
    </row>
    <row r="336" spans="1:16" ht="13" x14ac:dyDescent="0.3">
      <c r="A336" s="25"/>
      <c r="B336">
        <v>10</v>
      </c>
      <c r="C336" s="221" t="s">
        <v>841</v>
      </c>
      <c r="D336" s="221" t="s">
        <v>704</v>
      </c>
      <c r="E336" s="221">
        <f>1</f>
        <v>1</v>
      </c>
      <c r="F336" s="204" t="s">
        <v>853</v>
      </c>
      <c r="G336" s="204" t="str">
        <f t="shared" si="384"/>
        <v>10MVANG</v>
      </c>
      <c r="H336" s="204" t="str">
        <f t="shared" si="385"/>
        <v>10MVANG</v>
      </c>
      <c r="I336" s="204" t="str">
        <f t="shared" si="386"/>
        <v>10MVANG</v>
      </c>
      <c r="J336" s="204" t="str">
        <f t="shared" si="387"/>
        <v>10MVANG</v>
      </c>
      <c r="K336" s="204">
        <v>100</v>
      </c>
      <c r="L336" s="204">
        <v>7</v>
      </c>
      <c r="N336" s="204" t="str">
        <f t="shared" si="388"/>
        <v>10MVANG</v>
      </c>
      <c r="O336" s="204" t="str">
        <f t="shared" si="389"/>
        <v>10Y_I</v>
      </c>
      <c r="P336" s="204" t="str">
        <f t="shared" si="390"/>
        <v>12Y_I</v>
      </c>
    </row>
    <row r="337" spans="1:16" ht="13" x14ac:dyDescent="0.3">
      <c r="A337" s="25"/>
      <c r="B337">
        <v>10</v>
      </c>
      <c r="C337" s="221" t="s">
        <v>842</v>
      </c>
      <c r="D337" s="221" t="s">
        <v>704</v>
      </c>
      <c r="E337" s="221">
        <f>1</f>
        <v>1</v>
      </c>
      <c r="F337" s="204" t="s">
        <v>853</v>
      </c>
      <c r="G337" s="204" t="str">
        <f t="shared" si="384"/>
        <v>10MVANG</v>
      </c>
      <c r="H337" s="204" t="str">
        <f t="shared" si="385"/>
        <v>10MVANG</v>
      </c>
      <c r="I337" s="204" t="str">
        <f t="shared" si="386"/>
        <v>10MVANG</v>
      </c>
      <c r="J337" s="204" t="str">
        <f t="shared" si="387"/>
        <v>10MVANG</v>
      </c>
      <c r="K337" s="204">
        <v>100</v>
      </c>
      <c r="L337" s="204">
        <v>7</v>
      </c>
      <c r="N337" s="204" t="str">
        <f>F337</f>
        <v>10MVANG</v>
      </c>
      <c r="O337" s="204" t="str">
        <f t="shared" si="389"/>
        <v>10Y_I</v>
      </c>
      <c r="P337" s="204" t="str">
        <f t="shared" si="390"/>
        <v>12Y_I</v>
      </c>
    </row>
    <row r="338" spans="1:16" ht="13" x14ac:dyDescent="0.3">
      <c r="A338">
        <v>7</v>
      </c>
      <c r="B338">
        <v>10</v>
      </c>
      <c r="C338" s="221" t="s">
        <v>700</v>
      </c>
      <c r="D338" s="221" t="s">
        <v>704</v>
      </c>
      <c r="E338" s="221">
        <f>1</f>
        <v>1</v>
      </c>
      <c r="F338" s="255" t="str">
        <f>MIN(14,ROUND($A338,0))&amp;"Y_TgtDur"</f>
        <v>7Y_TgtDur</v>
      </c>
      <c r="G338" s="204" t="str">
        <f>F338</f>
        <v>7Y_TgtDur</v>
      </c>
      <c r="H338" s="204" t="str">
        <f t="shared" si="385"/>
        <v>7Y_TgtDur</v>
      </c>
      <c r="I338" s="204" t="str">
        <f t="shared" si="385"/>
        <v>7Y_TgtDur</v>
      </c>
      <c r="J338" s="204" t="str">
        <f t="shared" si="385"/>
        <v>7Y_TgtDur</v>
      </c>
      <c r="K338" s="204">
        <v>100</v>
      </c>
      <c r="L338" s="204">
        <f>A338</f>
        <v>7</v>
      </c>
      <c r="N338" s="204" t="str">
        <f>MIN(14,ROUND($A338,0))&amp;"Y_TgtDur"</f>
        <v>7Y_TgtDur</v>
      </c>
      <c r="O338" s="204" t="str">
        <f>ROUND(IF(AND($D338="BASE",$B338=8),7,$B338)+IF($D338="BASE",0,IF($B338=5,4,IF($B338=7,5,10))),0)&amp;"Y_I"</f>
        <v>10Y_I</v>
      </c>
      <c r="P338" s="204" t="str">
        <f>(ROUND($B338,0)+2)&amp;"Y_I"</f>
        <v>12Y_I</v>
      </c>
    </row>
    <row r="339" spans="1:16" ht="13" x14ac:dyDescent="0.3">
      <c r="A339">
        <v>7</v>
      </c>
      <c r="B339">
        <v>10</v>
      </c>
      <c r="C339" s="221" t="s">
        <v>702</v>
      </c>
      <c r="D339" s="221" t="s">
        <v>704</v>
      </c>
      <c r="E339" s="221">
        <f>1</f>
        <v>1</v>
      </c>
      <c r="F339" s="255" t="str">
        <f t="shared" ref="F339:F387" si="396">MIN(14,ROUND($A339,0))&amp;"Y_TgtDur"</f>
        <v>7Y_TgtDur</v>
      </c>
      <c r="G339" s="204" t="str">
        <f t="shared" ref="G339:J352" si="397">F339</f>
        <v>7Y_TgtDur</v>
      </c>
      <c r="H339" s="204" t="str">
        <f t="shared" si="397"/>
        <v>7Y_TgtDur</v>
      </c>
      <c r="I339" s="204" t="str">
        <f t="shared" si="397"/>
        <v>7Y_TgtDur</v>
      </c>
      <c r="J339" s="204" t="str">
        <f t="shared" si="397"/>
        <v>7Y_TgtDur</v>
      </c>
      <c r="K339" s="204">
        <v>100</v>
      </c>
      <c r="L339" s="204">
        <f t="shared" ref="L339:L387" si="398">A339</f>
        <v>7</v>
      </c>
      <c r="N339" s="204" t="str">
        <f t="shared" ref="N339:N387" si="399">MIN(14,ROUND($A339,0))&amp;"Y_TgtDur"</f>
        <v>7Y_TgtDur</v>
      </c>
      <c r="O339" s="204" t="str">
        <f t="shared" ref="O339:O387" si="400">ROUND(IF(AND($D339="BASE",$B339=8),7,$B339)+IF($D339="BASE",0,IF($B339=5,4,IF($B339=7,5,10))),0)&amp;"Y_I"</f>
        <v>10Y_I</v>
      </c>
      <c r="P339" s="204" t="str">
        <f t="shared" ref="P339:P387" si="401">(ROUND($B339,0)+2)&amp;"Y_I"</f>
        <v>12Y_I</v>
      </c>
    </row>
    <row r="340" spans="1:16" ht="13" x14ac:dyDescent="0.3">
      <c r="A340">
        <v>5</v>
      </c>
      <c r="B340">
        <v>5</v>
      </c>
      <c r="C340" s="221" t="s">
        <v>688</v>
      </c>
      <c r="D340" s="221" t="s">
        <v>704</v>
      </c>
      <c r="E340" s="221">
        <f>1</f>
        <v>1</v>
      </c>
      <c r="F340" s="255" t="str">
        <f t="shared" si="396"/>
        <v>5Y_TgtDur</v>
      </c>
      <c r="G340" s="204" t="str">
        <f t="shared" si="397"/>
        <v>5Y_TgtDur</v>
      </c>
      <c r="H340" s="204" t="str">
        <f t="shared" si="397"/>
        <v>5Y_TgtDur</v>
      </c>
      <c r="I340" s="204" t="str">
        <f t="shared" si="397"/>
        <v>5Y_TgtDur</v>
      </c>
      <c r="J340" s="204" t="str">
        <f t="shared" si="397"/>
        <v>5Y_TgtDur</v>
      </c>
      <c r="K340" s="204">
        <v>100</v>
      </c>
      <c r="L340" s="204">
        <f t="shared" si="398"/>
        <v>5</v>
      </c>
      <c r="N340" s="204" t="str">
        <f t="shared" si="399"/>
        <v>5Y_TgtDur</v>
      </c>
      <c r="O340" s="204" t="str">
        <f t="shared" si="400"/>
        <v>5Y_I</v>
      </c>
      <c r="P340" s="204" t="str">
        <f t="shared" si="401"/>
        <v>7Y_I</v>
      </c>
    </row>
    <row r="341" spans="1:16" ht="13" x14ac:dyDescent="0.3">
      <c r="A341">
        <v>5</v>
      </c>
      <c r="B341">
        <v>7</v>
      </c>
      <c r="C341" s="221" t="s">
        <v>695</v>
      </c>
      <c r="D341" s="221" t="s">
        <v>704</v>
      </c>
      <c r="E341" s="221">
        <f>1</f>
        <v>1</v>
      </c>
      <c r="F341" s="255" t="str">
        <f t="shared" si="396"/>
        <v>5Y_TgtDur</v>
      </c>
      <c r="G341" s="204" t="str">
        <f t="shared" si="397"/>
        <v>5Y_TgtDur</v>
      </c>
      <c r="H341" s="204" t="str">
        <f t="shared" si="397"/>
        <v>5Y_TgtDur</v>
      </c>
      <c r="I341" s="204" t="str">
        <f t="shared" si="397"/>
        <v>5Y_TgtDur</v>
      </c>
      <c r="J341" s="204" t="str">
        <f t="shared" si="397"/>
        <v>5Y_TgtDur</v>
      </c>
      <c r="K341" s="204">
        <v>100</v>
      </c>
      <c r="L341" s="204">
        <f t="shared" si="398"/>
        <v>5</v>
      </c>
      <c r="N341" s="204" t="str">
        <f t="shared" si="399"/>
        <v>5Y_TgtDur</v>
      </c>
      <c r="O341" s="204" t="str">
        <f t="shared" si="400"/>
        <v>7Y_I</v>
      </c>
      <c r="P341" s="204" t="str">
        <f t="shared" si="401"/>
        <v>9Y_I</v>
      </c>
    </row>
    <row r="342" spans="1:16" ht="13" x14ac:dyDescent="0.3">
      <c r="A342">
        <v>7</v>
      </c>
      <c r="B342">
        <v>10</v>
      </c>
      <c r="C342" s="221" t="s">
        <v>699</v>
      </c>
      <c r="D342" s="221" t="s">
        <v>704</v>
      </c>
      <c r="E342" s="221">
        <f>1</f>
        <v>1</v>
      </c>
      <c r="F342" s="255" t="str">
        <f t="shared" si="396"/>
        <v>7Y_TgtDur</v>
      </c>
      <c r="G342" s="204" t="str">
        <f t="shared" si="397"/>
        <v>7Y_TgtDur</v>
      </c>
      <c r="H342" s="204" t="str">
        <f t="shared" si="397"/>
        <v>7Y_TgtDur</v>
      </c>
      <c r="I342" s="204" t="str">
        <f t="shared" si="397"/>
        <v>7Y_TgtDur</v>
      </c>
      <c r="J342" s="204" t="str">
        <f t="shared" si="397"/>
        <v>7Y_TgtDur</v>
      </c>
      <c r="K342" s="204">
        <v>100</v>
      </c>
      <c r="L342" s="204">
        <f t="shared" si="398"/>
        <v>7</v>
      </c>
      <c r="N342" s="204" t="str">
        <f t="shared" si="399"/>
        <v>7Y_TgtDur</v>
      </c>
      <c r="O342" s="204" t="str">
        <f t="shared" si="400"/>
        <v>10Y_I</v>
      </c>
      <c r="P342" s="204" t="str">
        <f t="shared" si="401"/>
        <v>12Y_I</v>
      </c>
    </row>
    <row r="343" spans="1:16" ht="13" x14ac:dyDescent="0.3">
      <c r="A343">
        <v>5</v>
      </c>
      <c r="B343">
        <v>7</v>
      </c>
      <c r="C343" s="221" t="s">
        <v>698</v>
      </c>
      <c r="D343" s="221" t="s">
        <v>704</v>
      </c>
      <c r="E343" s="221">
        <f>1</f>
        <v>1</v>
      </c>
      <c r="F343" s="255" t="str">
        <f t="shared" si="396"/>
        <v>5Y_TgtDur</v>
      </c>
      <c r="G343" s="204" t="str">
        <f t="shared" si="397"/>
        <v>5Y_TgtDur</v>
      </c>
      <c r="H343" s="204" t="str">
        <f t="shared" si="397"/>
        <v>5Y_TgtDur</v>
      </c>
      <c r="I343" s="204" t="str">
        <f t="shared" si="397"/>
        <v>5Y_TgtDur</v>
      </c>
      <c r="J343" s="204" t="str">
        <f t="shared" si="397"/>
        <v>5Y_TgtDur</v>
      </c>
      <c r="K343" s="204">
        <v>100</v>
      </c>
      <c r="L343" s="204">
        <f t="shared" si="398"/>
        <v>5</v>
      </c>
      <c r="N343" s="204" t="str">
        <f t="shared" si="399"/>
        <v>5Y_TgtDur</v>
      </c>
      <c r="O343" s="204" t="str">
        <f t="shared" si="400"/>
        <v>7Y_I</v>
      </c>
      <c r="P343" s="204" t="str">
        <f t="shared" si="401"/>
        <v>9Y_I</v>
      </c>
    </row>
    <row r="344" spans="1:16" ht="13" x14ac:dyDescent="0.3">
      <c r="A344">
        <v>4</v>
      </c>
      <c r="B344">
        <v>5</v>
      </c>
      <c r="C344" s="221" t="s">
        <v>687</v>
      </c>
      <c r="D344" s="221" t="s">
        <v>704</v>
      </c>
      <c r="E344" s="221">
        <f>1</f>
        <v>1</v>
      </c>
      <c r="F344" s="255" t="str">
        <f t="shared" si="396"/>
        <v>4Y_TgtDur</v>
      </c>
      <c r="G344" s="204" t="str">
        <f t="shared" si="397"/>
        <v>4Y_TgtDur</v>
      </c>
      <c r="H344" s="204" t="str">
        <f t="shared" si="397"/>
        <v>4Y_TgtDur</v>
      </c>
      <c r="I344" s="204" t="str">
        <f t="shared" si="397"/>
        <v>4Y_TgtDur</v>
      </c>
      <c r="J344" s="204" t="str">
        <f t="shared" si="397"/>
        <v>4Y_TgtDur</v>
      </c>
      <c r="K344" s="204">
        <v>100</v>
      </c>
      <c r="L344" s="204">
        <f t="shared" si="398"/>
        <v>4</v>
      </c>
      <c r="N344" s="204" t="str">
        <f t="shared" si="399"/>
        <v>4Y_TgtDur</v>
      </c>
      <c r="O344" s="204" t="str">
        <f t="shared" si="400"/>
        <v>5Y_I</v>
      </c>
      <c r="P344" s="204" t="str">
        <f t="shared" si="401"/>
        <v>7Y_I</v>
      </c>
    </row>
    <row r="345" spans="1:16" ht="13" x14ac:dyDescent="0.3">
      <c r="A345">
        <v>4</v>
      </c>
      <c r="B345">
        <v>7</v>
      </c>
      <c r="C345" s="221" t="s">
        <v>1088</v>
      </c>
      <c r="D345" s="221" t="s">
        <v>704</v>
      </c>
      <c r="E345" s="221">
        <f>1</f>
        <v>1</v>
      </c>
      <c r="F345" s="255" t="str">
        <f t="shared" si="396"/>
        <v>4Y_TgtDur</v>
      </c>
      <c r="G345" s="204" t="str">
        <f t="shared" si="397"/>
        <v>4Y_TgtDur</v>
      </c>
      <c r="H345" s="204" t="str">
        <f t="shared" si="397"/>
        <v>4Y_TgtDur</v>
      </c>
      <c r="I345" s="204" t="str">
        <f t="shared" si="397"/>
        <v>4Y_TgtDur</v>
      </c>
      <c r="J345" s="204" t="str">
        <f t="shared" si="397"/>
        <v>4Y_TgtDur</v>
      </c>
      <c r="K345" s="204">
        <v>100</v>
      </c>
      <c r="L345" s="204">
        <f t="shared" si="398"/>
        <v>4</v>
      </c>
      <c r="N345" s="204" t="str">
        <f t="shared" si="399"/>
        <v>4Y_TgtDur</v>
      </c>
      <c r="O345" s="204" t="str">
        <f t="shared" si="400"/>
        <v>7Y_I</v>
      </c>
      <c r="P345" s="204" t="str">
        <f t="shared" si="401"/>
        <v>9Y_I</v>
      </c>
    </row>
    <row r="346" spans="1:16" ht="13" x14ac:dyDescent="0.3">
      <c r="A346">
        <v>5</v>
      </c>
      <c r="B346">
        <v>7</v>
      </c>
      <c r="C346" s="221" t="s">
        <v>697</v>
      </c>
      <c r="D346" s="221" t="s">
        <v>704</v>
      </c>
      <c r="E346" s="221">
        <f>1</f>
        <v>1</v>
      </c>
      <c r="F346" s="255" t="str">
        <f t="shared" si="396"/>
        <v>5Y_TgtDur</v>
      </c>
      <c r="G346" s="204" t="str">
        <f t="shared" si="397"/>
        <v>5Y_TgtDur</v>
      </c>
      <c r="H346" s="204" t="str">
        <f t="shared" si="397"/>
        <v>5Y_TgtDur</v>
      </c>
      <c r="I346" s="204" t="str">
        <f t="shared" si="397"/>
        <v>5Y_TgtDur</v>
      </c>
      <c r="J346" s="204" t="str">
        <f t="shared" si="397"/>
        <v>5Y_TgtDur</v>
      </c>
      <c r="K346" s="204">
        <v>100</v>
      </c>
      <c r="L346" s="204">
        <f t="shared" si="398"/>
        <v>5</v>
      </c>
      <c r="N346" s="204" t="str">
        <f t="shared" si="399"/>
        <v>5Y_TgtDur</v>
      </c>
      <c r="O346" s="204" t="str">
        <f t="shared" si="400"/>
        <v>7Y_I</v>
      </c>
      <c r="P346" s="204" t="str">
        <f t="shared" si="401"/>
        <v>9Y_I</v>
      </c>
    </row>
    <row r="347" spans="1:16" ht="13" x14ac:dyDescent="0.3">
      <c r="A347">
        <v>5</v>
      </c>
      <c r="B347">
        <v>7</v>
      </c>
      <c r="C347" s="221" t="s">
        <v>1089</v>
      </c>
      <c r="D347" s="221" t="s">
        <v>704</v>
      </c>
      <c r="E347" s="221">
        <f>1</f>
        <v>1</v>
      </c>
      <c r="F347" s="255" t="str">
        <f t="shared" si="396"/>
        <v>5Y_TgtDur</v>
      </c>
      <c r="G347" s="204" t="str">
        <f t="shared" si="397"/>
        <v>5Y_TgtDur</v>
      </c>
      <c r="H347" s="204" t="str">
        <f t="shared" si="397"/>
        <v>5Y_TgtDur</v>
      </c>
      <c r="I347" s="204" t="str">
        <f t="shared" si="397"/>
        <v>5Y_TgtDur</v>
      </c>
      <c r="J347" s="204" t="str">
        <f t="shared" si="397"/>
        <v>5Y_TgtDur</v>
      </c>
      <c r="K347" s="204">
        <v>100</v>
      </c>
      <c r="L347" s="204">
        <f t="shared" si="398"/>
        <v>5</v>
      </c>
      <c r="N347" s="204" t="str">
        <f t="shared" si="399"/>
        <v>5Y_TgtDur</v>
      </c>
      <c r="O347" s="204" t="str">
        <f t="shared" si="400"/>
        <v>7Y_I</v>
      </c>
      <c r="P347" s="204" t="str">
        <f t="shared" si="401"/>
        <v>9Y_I</v>
      </c>
    </row>
    <row r="348" spans="1:16" ht="13" x14ac:dyDescent="0.3">
      <c r="A348">
        <v>5</v>
      </c>
      <c r="B348">
        <v>7</v>
      </c>
      <c r="C348" s="221" t="s">
        <v>694</v>
      </c>
      <c r="D348" s="221" t="s">
        <v>704</v>
      </c>
      <c r="E348" s="221">
        <f>1</f>
        <v>1</v>
      </c>
      <c r="F348" s="255" t="str">
        <f t="shared" si="396"/>
        <v>5Y_TgtDur</v>
      </c>
      <c r="G348" s="204" t="str">
        <f t="shared" si="397"/>
        <v>5Y_TgtDur</v>
      </c>
      <c r="H348" s="204" t="str">
        <f t="shared" si="397"/>
        <v>5Y_TgtDur</v>
      </c>
      <c r="I348" s="204" t="str">
        <f t="shared" si="397"/>
        <v>5Y_TgtDur</v>
      </c>
      <c r="J348" s="204" t="str">
        <f t="shared" si="397"/>
        <v>5Y_TgtDur</v>
      </c>
      <c r="K348" s="204">
        <v>100</v>
      </c>
      <c r="L348" s="204">
        <f t="shared" si="398"/>
        <v>5</v>
      </c>
      <c r="N348" s="204" t="str">
        <f t="shared" si="399"/>
        <v>5Y_TgtDur</v>
      </c>
      <c r="O348" s="204" t="str">
        <f t="shared" si="400"/>
        <v>7Y_I</v>
      </c>
      <c r="P348" s="204" t="str">
        <f t="shared" si="401"/>
        <v>9Y_I</v>
      </c>
    </row>
    <row r="349" spans="1:16" ht="13" x14ac:dyDescent="0.3">
      <c r="A349">
        <v>6</v>
      </c>
      <c r="B349">
        <v>7</v>
      </c>
      <c r="C349" s="221" t="s">
        <v>692</v>
      </c>
      <c r="D349" s="221" t="s">
        <v>704</v>
      </c>
      <c r="E349" s="221">
        <f>1</f>
        <v>1</v>
      </c>
      <c r="F349" s="255" t="str">
        <f t="shared" si="396"/>
        <v>6Y_TgtDur</v>
      </c>
      <c r="G349" s="204" t="str">
        <f t="shared" si="397"/>
        <v>6Y_TgtDur</v>
      </c>
      <c r="H349" s="204" t="str">
        <f t="shared" si="397"/>
        <v>6Y_TgtDur</v>
      </c>
      <c r="I349" s="204" t="str">
        <f t="shared" si="397"/>
        <v>6Y_TgtDur</v>
      </c>
      <c r="J349" s="204" t="str">
        <f t="shared" si="397"/>
        <v>6Y_TgtDur</v>
      </c>
      <c r="K349" s="204">
        <v>100</v>
      </c>
      <c r="L349" s="204">
        <f t="shared" si="398"/>
        <v>6</v>
      </c>
      <c r="N349" s="204" t="str">
        <f t="shared" si="399"/>
        <v>6Y_TgtDur</v>
      </c>
      <c r="O349" s="204" t="str">
        <f t="shared" si="400"/>
        <v>7Y_I</v>
      </c>
      <c r="P349" s="204" t="str">
        <f t="shared" si="401"/>
        <v>9Y_I</v>
      </c>
    </row>
    <row r="350" spans="1:16" ht="13" x14ac:dyDescent="0.3">
      <c r="A350">
        <v>7</v>
      </c>
      <c r="B350">
        <v>10</v>
      </c>
      <c r="C350" s="221" t="s">
        <v>703</v>
      </c>
      <c r="D350" s="221" t="s">
        <v>704</v>
      </c>
      <c r="E350" s="221">
        <f>1</f>
        <v>1</v>
      </c>
      <c r="F350" s="255" t="str">
        <f t="shared" si="396"/>
        <v>7Y_TgtDur</v>
      </c>
      <c r="G350" s="204" t="str">
        <f t="shared" si="397"/>
        <v>7Y_TgtDur</v>
      </c>
      <c r="H350" s="204" t="str">
        <f t="shared" si="397"/>
        <v>7Y_TgtDur</v>
      </c>
      <c r="I350" s="204" t="str">
        <f t="shared" si="397"/>
        <v>7Y_TgtDur</v>
      </c>
      <c r="J350" s="204" t="str">
        <f t="shared" si="397"/>
        <v>7Y_TgtDur</v>
      </c>
      <c r="K350" s="204">
        <v>100</v>
      </c>
      <c r="L350" s="204">
        <f t="shared" si="398"/>
        <v>7</v>
      </c>
      <c r="N350" s="204" t="str">
        <f t="shared" si="399"/>
        <v>7Y_TgtDur</v>
      </c>
      <c r="O350" s="204" t="str">
        <f t="shared" si="400"/>
        <v>10Y_I</v>
      </c>
      <c r="P350" s="204" t="str">
        <f t="shared" si="401"/>
        <v>12Y_I</v>
      </c>
    </row>
    <row r="351" spans="1:16" ht="13" x14ac:dyDescent="0.3">
      <c r="A351">
        <v>6</v>
      </c>
      <c r="B351">
        <v>7</v>
      </c>
      <c r="C351" s="221" t="s">
        <v>689</v>
      </c>
      <c r="D351" s="221" t="s">
        <v>704</v>
      </c>
      <c r="E351" s="221">
        <f>1</f>
        <v>1</v>
      </c>
      <c r="F351" s="255" t="str">
        <f t="shared" si="396"/>
        <v>6Y_TgtDur</v>
      </c>
      <c r="G351" s="204" t="str">
        <f t="shared" si="397"/>
        <v>6Y_TgtDur</v>
      </c>
      <c r="H351" s="204" t="str">
        <f t="shared" si="397"/>
        <v>6Y_TgtDur</v>
      </c>
      <c r="I351" s="204" t="str">
        <f t="shared" si="397"/>
        <v>6Y_TgtDur</v>
      </c>
      <c r="J351" s="204" t="str">
        <f t="shared" si="397"/>
        <v>6Y_TgtDur</v>
      </c>
      <c r="K351" s="204">
        <v>100</v>
      </c>
      <c r="L351" s="204">
        <f t="shared" si="398"/>
        <v>6</v>
      </c>
      <c r="N351" s="204" t="str">
        <f t="shared" si="399"/>
        <v>6Y_TgtDur</v>
      </c>
      <c r="O351" s="204" t="str">
        <f t="shared" si="400"/>
        <v>7Y_I</v>
      </c>
      <c r="P351" s="204" t="str">
        <f t="shared" si="401"/>
        <v>9Y_I</v>
      </c>
    </row>
    <row r="352" spans="1:16" ht="13" x14ac:dyDescent="0.3">
      <c r="A352">
        <v>6</v>
      </c>
      <c r="B352">
        <v>7</v>
      </c>
      <c r="C352" s="221" t="s">
        <v>696</v>
      </c>
      <c r="D352" s="221" t="s">
        <v>704</v>
      </c>
      <c r="E352" s="221">
        <f>1</f>
        <v>1</v>
      </c>
      <c r="F352" s="255" t="str">
        <f t="shared" si="396"/>
        <v>6Y_TgtDur</v>
      </c>
      <c r="G352" s="204" t="str">
        <f t="shared" si="397"/>
        <v>6Y_TgtDur</v>
      </c>
      <c r="H352" s="204" t="str">
        <f t="shared" si="397"/>
        <v>6Y_TgtDur</v>
      </c>
      <c r="I352" s="204" t="str">
        <f t="shared" si="397"/>
        <v>6Y_TgtDur</v>
      </c>
      <c r="J352" s="204" t="str">
        <f t="shared" si="397"/>
        <v>6Y_TgtDur</v>
      </c>
      <c r="K352" s="204">
        <v>100</v>
      </c>
      <c r="L352" s="204">
        <f t="shared" si="398"/>
        <v>6</v>
      </c>
      <c r="N352" s="204" t="str">
        <f t="shared" si="399"/>
        <v>6Y_TgtDur</v>
      </c>
      <c r="O352" s="204" t="str">
        <f t="shared" si="400"/>
        <v>7Y_I</v>
      </c>
      <c r="P352" s="204" t="str">
        <f t="shared" si="401"/>
        <v>9Y_I</v>
      </c>
    </row>
    <row r="353" spans="1:16" ht="13" x14ac:dyDescent="0.3">
      <c r="A353">
        <v>4</v>
      </c>
      <c r="B353">
        <v>7</v>
      </c>
      <c r="C353" s="221" t="s">
        <v>1090</v>
      </c>
      <c r="D353" s="221" t="s">
        <v>704</v>
      </c>
      <c r="E353" s="221">
        <f>1</f>
        <v>1</v>
      </c>
      <c r="F353" s="255" t="str">
        <f t="shared" si="396"/>
        <v>4Y_TgtDur</v>
      </c>
      <c r="G353" s="204" t="str">
        <f t="shared" ref="G353:J367" si="402">F353</f>
        <v>4Y_TgtDur</v>
      </c>
      <c r="H353" s="204" t="str">
        <f t="shared" si="402"/>
        <v>4Y_TgtDur</v>
      </c>
      <c r="I353" s="204" t="str">
        <f t="shared" si="402"/>
        <v>4Y_TgtDur</v>
      </c>
      <c r="J353" s="204" t="str">
        <f t="shared" si="402"/>
        <v>4Y_TgtDur</v>
      </c>
      <c r="K353" s="204">
        <v>100</v>
      </c>
      <c r="L353" s="204">
        <f t="shared" si="398"/>
        <v>4</v>
      </c>
      <c r="N353" s="204" t="str">
        <f t="shared" si="399"/>
        <v>4Y_TgtDur</v>
      </c>
      <c r="O353" s="204" t="str">
        <f t="shared" si="400"/>
        <v>7Y_I</v>
      </c>
      <c r="P353" s="204" t="str">
        <f t="shared" si="401"/>
        <v>9Y_I</v>
      </c>
    </row>
    <row r="354" spans="1:16" ht="13" x14ac:dyDescent="0.3">
      <c r="A354">
        <v>4</v>
      </c>
      <c r="B354">
        <v>5</v>
      </c>
      <c r="C354" s="221" t="s">
        <v>686</v>
      </c>
      <c r="D354" s="221" t="s">
        <v>704</v>
      </c>
      <c r="E354" s="221">
        <f>1</f>
        <v>1</v>
      </c>
      <c r="F354" s="255" t="str">
        <f t="shared" si="396"/>
        <v>4Y_TgtDur</v>
      </c>
      <c r="G354" s="204" t="str">
        <f t="shared" si="402"/>
        <v>4Y_TgtDur</v>
      </c>
      <c r="H354" s="204" t="str">
        <f t="shared" si="402"/>
        <v>4Y_TgtDur</v>
      </c>
      <c r="I354" s="204" t="str">
        <f t="shared" si="402"/>
        <v>4Y_TgtDur</v>
      </c>
      <c r="J354" s="204" t="str">
        <f t="shared" si="402"/>
        <v>4Y_TgtDur</v>
      </c>
      <c r="K354" s="204">
        <v>100</v>
      </c>
      <c r="L354" s="204">
        <f t="shared" si="398"/>
        <v>4</v>
      </c>
      <c r="N354" s="204" t="str">
        <f t="shared" si="399"/>
        <v>4Y_TgtDur</v>
      </c>
      <c r="O354" s="204" t="str">
        <f t="shared" si="400"/>
        <v>5Y_I</v>
      </c>
      <c r="P354" s="204" t="str">
        <f t="shared" si="401"/>
        <v>7Y_I</v>
      </c>
    </row>
    <row r="355" spans="1:16" ht="13" x14ac:dyDescent="0.3">
      <c r="A355">
        <v>5</v>
      </c>
      <c r="B355">
        <v>7</v>
      </c>
      <c r="C355" s="221" t="s">
        <v>693</v>
      </c>
      <c r="D355" s="221" t="s">
        <v>704</v>
      </c>
      <c r="E355" s="221">
        <f>1</f>
        <v>1</v>
      </c>
      <c r="F355" s="255" t="str">
        <f t="shared" si="396"/>
        <v>5Y_TgtDur</v>
      </c>
      <c r="G355" s="204" t="str">
        <f t="shared" si="402"/>
        <v>5Y_TgtDur</v>
      </c>
      <c r="H355" s="204" t="str">
        <f t="shared" si="402"/>
        <v>5Y_TgtDur</v>
      </c>
      <c r="I355" s="204" t="str">
        <f t="shared" si="402"/>
        <v>5Y_TgtDur</v>
      </c>
      <c r="J355" s="204" t="str">
        <f t="shared" si="402"/>
        <v>5Y_TgtDur</v>
      </c>
      <c r="K355" s="204">
        <v>100</v>
      </c>
      <c r="L355" s="204">
        <f t="shared" si="398"/>
        <v>5</v>
      </c>
      <c r="N355" s="204" t="str">
        <f t="shared" si="399"/>
        <v>5Y_TgtDur</v>
      </c>
      <c r="O355" s="204" t="str">
        <f t="shared" si="400"/>
        <v>7Y_I</v>
      </c>
      <c r="P355" s="204" t="str">
        <f t="shared" si="401"/>
        <v>9Y_I</v>
      </c>
    </row>
    <row r="356" spans="1:16" ht="13" x14ac:dyDescent="0.3">
      <c r="A356">
        <v>13</v>
      </c>
      <c r="B356">
        <v>10</v>
      </c>
      <c r="C356" s="221" t="s">
        <v>700</v>
      </c>
      <c r="D356" s="221" t="s">
        <v>705</v>
      </c>
      <c r="E356" s="221">
        <f>1</f>
        <v>1</v>
      </c>
      <c r="F356" s="255" t="str">
        <f t="shared" si="396"/>
        <v>13Y_TgtDur</v>
      </c>
      <c r="G356" s="204" t="str">
        <f t="shared" si="402"/>
        <v>13Y_TgtDur</v>
      </c>
      <c r="H356" s="204" t="str">
        <f t="shared" si="402"/>
        <v>13Y_TgtDur</v>
      </c>
      <c r="I356" s="204" t="str">
        <f t="shared" si="402"/>
        <v>13Y_TgtDur</v>
      </c>
      <c r="J356" s="204" t="str">
        <f t="shared" si="402"/>
        <v>13Y_TgtDur</v>
      </c>
      <c r="K356" s="204">
        <v>100</v>
      </c>
      <c r="L356" s="204">
        <f t="shared" si="398"/>
        <v>13</v>
      </c>
      <c r="N356" s="204" t="str">
        <f t="shared" si="399"/>
        <v>13Y_TgtDur</v>
      </c>
      <c r="O356" s="204" t="str">
        <f t="shared" si="400"/>
        <v>20Y_I</v>
      </c>
      <c r="P356" s="204" t="str">
        <f t="shared" si="401"/>
        <v>12Y_I</v>
      </c>
    </row>
    <row r="357" spans="1:16" ht="13" x14ac:dyDescent="0.3">
      <c r="A357">
        <v>13</v>
      </c>
      <c r="B357">
        <v>10</v>
      </c>
      <c r="C357" s="221" t="s">
        <v>702</v>
      </c>
      <c r="D357" s="221" t="s">
        <v>705</v>
      </c>
      <c r="E357" s="221">
        <f>1</f>
        <v>1</v>
      </c>
      <c r="F357" s="255" t="str">
        <f t="shared" si="396"/>
        <v>13Y_TgtDur</v>
      </c>
      <c r="G357" s="204" t="str">
        <f t="shared" si="402"/>
        <v>13Y_TgtDur</v>
      </c>
      <c r="H357" s="204" t="str">
        <f t="shared" si="402"/>
        <v>13Y_TgtDur</v>
      </c>
      <c r="I357" s="204" t="str">
        <f t="shared" si="402"/>
        <v>13Y_TgtDur</v>
      </c>
      <c r="J357" s="204" t="str">
        <f t="shared" si="402"/>
        <v>13Y_TgtDur</v>
      </c>
      <c r="K357" s="204">
        <v>100</v>
      </c>
      <c r="L357" s="204">
        <f t="shared" si="398"/>
        <v>13</v>
      </c>
      <c r="N357" s="204" t="str">
        <f t="shared" si="399"/>
        <v>13Y_TgtDur</v>
      </c>
      <c r="O357" s="204" t="str">
        <f t="shared" si="400"/>
        <v>20Y_I</v>
      </c>
      <c r="P357" s="204" t="str">
        <f t="shared" si="401"/>
        <v>12Y_I</v>
      </c>
    </row>
    <row r="358" spans="1:16" ht="13" x14ac:dyDescent="0.3">
      <c r="A358">
        <v>11</v>
      </c>
      <c r="B358">
        <v>7</v>
      </c>
      <c r="C358" s="221" t="s">
        <v>695</v>
      </c>
      <c r="D358" s="221" t="s">
        <v>705</v>
      </c>
      <c r="E358" s="221">
        <f>1</f>
        <v>1</v>
      </c>
      <c r="F358" s="255" t="str">
        <f t="shared" si="396"/>
        <v>11Y_TgtDur</v>
      </c>
      <c r="G358" s="204" t="str">
        <f t="shared" si="402"/>
        <v>11Y_TgtDur</v>
      </c>
      <c r="H358" s="204" t="str">
        <f t="shared" si="402"/>
        <v>11Y_TgtDur</v>
      </c>
      <c r="I358" s="204" t="str">
        <f t="shared" si="402"/>
        <v>11Y_TgtDur</v>
      </c>
      <c r="J358" s="204" t="str">
        <f t="shared" si="402"/>
        <v>11Y_TgtDur</v>
      </c>
      <c r="K358" s="204">
        <v>100</v>
      </c>
      <c r="L358" s="204">
        <f t="shared" si="398"/>
        <v>11</v>
      </c>
      <c r="N358" s="204" t="str">
        <f t="shared" si="399"/>
        <v>11Y_TgtDur</v>
      </c>
      <c r="O358" s="204" t="str">
        <f t="shared" si="400"/>
        <v>12Y_I</v>
      </c>
      <c r="P358" s="204" t="str">
        <f t="shared" si="401"/>
        <v>9Y_I</v>
      </c>
    </row>
    <row r="359" spans="1:16" ht="13" x14ac:dyDescent="0.3">
      <c r="A359">
        <v>13</v>
      </c>
      <c r="B359">
        <v>10</v>
      </c>
      <c r="C359" s="221" t="s">
        <v>699</v>
      </c>
      <c r="D359" s="221" t="s">
        <v>705</v>
      </c>
      <c r="E359" s="221">
        <f>1</f>
        <v>1</v>
      </c>
      <c r="F359" s="255" t="str">
        <f t="shared" si="396"/>
        <v>13Y_TgtDur</v>
      </c>
      <c r="G359" s="204" t="str">
        <f t="shared" si="402"/>
        <v>13Y_TgtDur</v>
      </c>
      <c r="H359" s="204" t="str">
        <f t="shared" si="402"/>
        <v>13Y_TgtDur</v>
      </c>
      <c r="I359" s="204" t="str">
        <f t="shared" si="402"/>
        <v>13Y_TgtDur</v>
      </c>
      <c r="J359" s="204" t="str">
        <f t="shared" si="402"/>
        <v>13Y_TgtDur</v>
      </c>
      <c r="K359" s="204">
        <v>100</v>
      </c>
      <c r="L359" s="204">
        <f t="shared" si="398"/>
        <v>13</v>
      </c>
      <c r="N359" s="204" t="str">
        <f t="shared" si="399"/>
        <v>13Y_TgtDur</v>
      </c>
      <c r="O359" s="204" t="str">
        <f t="shared" si="400"/>
        <v>20Y_I</v>
      </c>
      <c r="P359" s="204" t="str">
        <f t="shared" si="401"/>
        <v>12Y_I</v>
      </c>
    </row>
    <row r="360" spans="1:16" ht="13" x14ac:dyDescent="0.3">
      <c r="A360">
        <v>9</v>
      </c>
      <c r="B360">
        <v>7</v>
      </c>
      <c r="C360" s="221" t="s">
        <v>698</v>
      </c>
      <c r="D360" s="221" t="s">
        <v>705</v>
      </c>
      <c r="E360" s="221">
        <f>1</f>
        <v>1</v>
      </c>
      <c r="F360" s="255" t="str">
        <f t="shared" si="396"/>
        <v>9Y_TgtDur</v>
      </c>
      <c r="G360" s="204" t="str">
        <f t="shared" si="402"/>
        <v>9Y_TgtDur</v>
      </c>
      <c r="H360" s="204" t="str">
        <f t="shared" si="402"/>
        <v>9Y_TgtDur</v>
      </c>
      <c r="I360" s="204" t="str">
        <f t="shared" si="402"/>
        <v>9Y_TgtDur</v>
      </c>
      <c r="J360" s="204" t="str">
        <f t="shared" si="402"/>
        <v>9Y_TgtDur</v>
      </c>
      <c r="K360" s="204">
        <v>100</v>
      </c>
      <c r="L360" s="204">
        <f t="shared" si="398"/>
        <v>9</v>
      </c>
      <c r="N360" s="204" t="str">
        <f t="shared" si="399"/>
        <v>9Y_TgtDur</v>
      </c>
      <c r="O360" s="204" t="str">
        <f t="shared" si="400"/>
        <v>12Y_I</v>
      </c>
      <c r="P360" s="204" t="str">
        <f t="shared" si="401"/>
        <v>9Y_I</v>
      </c>
    </row>
    <row r="361" spans="1:16" ht="13" x14ac:dyDescent="0.3">
      <c r="A361">
        <v>9</v>
      </c>
      <c r="B361">
        <v>5</v>
      </c>
      <c r="C361" s="221" t="s">
        <v>686</v>
      </c>
      <c r="D361" s="221" t="s">
        <v>705</v>
      </c>
      <c r="E361" s="221">
        <f>1</f>
        <v>1</v>
      </c>
      <c r="F361" s="255" t="str">
        <f t="shared" si="396"/>
        <v>9Y_TgtDur</v>
      </c>
      <c r="G361" s="204" t="str">
        <f t="shared" si="402"/>
        <v>9Y_TgtDur</v>
      </c>
      <c r="H361" s="204" t="str">
        <f t="shared" si="402"/>
        <v>9Y_TgtDur</v>
      </c>
      <c r="I361" s="204" t="str">
        <f t="shared" si="402"/>
        <v>9Y_TgtDur</v>
      </c>
      <c r="J361" s="204" t="str">
        <f t="shared" si="402"/>
        <v>9Y_TgtDur</v>
      </c>
      <c r="K361" s="204">
        <v>100</v>
      </c>
      <c r="L361" s="204">
        <f t="shared" si="398"/>
        <v>9</v>
      </c>
      <c r="N361" s="204" t="str">
        <f t="shared" si="399"/>
        <v>9Y_TgtDur</v>
      </c>
      <c r="O361" s="204" t="str">
        <f t="shared" si="400"/>
        <v>9Y_I</v>
      </c>
      <c r="P361" s="204" t="str">
        <f t="shared" si="401"/>
        <v>7Y_I</v>
      </c>
    </row>
    <row r="362" spans="1:16" ht="13" x14ac:dyDescent="0.3">
      <c r="A362">
        <v>10</v>
      </c>
      <c r="B362">
        <v>7</v>
      </c>
      <c r="C362" s="221" t="s">
        <v>697</v>
      </c>
      <c r="D362" s="221" t="s">
        <v>705</v>
      </c>
      <c r="E362" s="221">
        <f>1</f>
        <v>1</v>
      </c>
      <c r="F362" s="255" t="str">
        <f t="shared" si="396"/>
        <v>10Y_TgtDur</v>
      </c>
      <c r="G362" s="204" t="str">
        <f t="shared" si="402"/>
        <v>10Y_TgtDur</v>
      </c>
      <c r="H362" s="204" t="str">
        <f t="shared" si="402"/>
        <v>10Y_TgtDur</v>
      </c>
      <c r="I362" s="204" t="str">
        <f t="shared" si="402"/>
        <v>10Y_TgtDur</v>
      </c>
      <c r="J362" s="204" t="str">
        <f t="shared" si="402"/>
        <v>10Y_TgtDur</v>
      </c>
      <c r="K362" s="204">
        <v>100</v>
      </c>
      <c r="L362" s="204">
        <f t="shared" si="398"/>
        <v>10</v>
      </c>
      <c r="N362" s="204" t="str">
        <f t="shared" si="399"/>
        <v>10Y_TgtDur</v>
      </c>
      <c r="O362" s="204" t="str">
        <f t="shared" si="400"/>
        <v>12Y_I</v>
      </c>
      <c r="P362" s="204" t="str">
        <f t="shared" si="401"/>
        <v>9Y_I</v>
      </c>
    </row>
    <row r="363" spans="1:16" ht="13" x14ac:dyDescent="0.3">
      <c r="A363">
        <v>10</v>
      </c>
      <c r="B363">
        <v>7</v>
      </c>
      <c r="C363" s="221" t="s">
        <v>1089</v>
      </c>
      <c r="D363" s="221" t="s">
        <v>705</v>
      </c>
      <c r="E363" s="221">
        <f>1</f>
        <v>1</v>
      </c>
      <c r="F363" s="255" t="str">
        <f t="shared" si="396"/>
        <v>10Y_TgtDur</v>
      </c>
      <c r="G363" s="204" t="str">
        <f t="shared" si="402"/>
        <v>10Y_TgtDur</v>
      </c>
      <c r="H363" s="204" t="str">
        <f t="shared" si="402"/>
        <v>10Y_TgtDur</v>
      </c>
      <c r="I363" s="204" t="str">
        <f t="shared" si="402"/>
        <v>10Y_TgtDur</v>
      </c>
      <c r="J363" s="204" t="str">
        <f t="shared" si="402"/>
        <v>10Y_TgtDur</v>
      </c>
      <c r="K363" s="204">
        <v>100</v>
      </c>
      <c r="L363" s="204">
        <f t="shared" si="398"/>
        <v>10</v>
      </c>
      <c r="N363" s="204" t="str">
        <f t="shared" si="399"/>
        <v>10Y_TgtDur</v>
      </c>
      <c r="O363" s="204" t="str">
        <f t="shared" si="400"/>
        <v>12Y_I</v>
      </c>
      <c r="P363" s="204" t="str">
        <f t="shared" si="401"/>
        <v>9Y_I</v>
      </c>
    </row>
    <row r="364" spans="1:16" ht="13" x14ac:dyDescent="0.3">
      <c r="A364">
        <v>13</v>
      </c>
      <c r="B364">
        <v>7</v>
      </c>
      <c r="C364" s="221" t="s">
        <v>693</v>
      </c>
      <c r="D364" s="221" t="s">
        <v>705</v>
      </c>
      <c r="E364" s="221">
        <f>1</f>
        <v>1</v>
      </c>
      <c r="F364" s="255" t="str">
        <f t="shared" si="396"/>
        <v>13Y_TgtDur</v>
      </c>
      <c r="G364" s="204" t="str">
        <f t="shared" si="402"/>
        <v>13Y_TgtDur</v>
      </c>
      <c r="H364" s="204" t="str">
        <f t="shared" si="402"/>
        <v>13Y_TgtDur</v>
      </c>
      <c r="I364" s="204" t="str">
        <f t="shared" si="402"/>
        <v>13Y_TgtDur</v>
      </c>
      <c r="J364" s="204" t="str">
        <f t="shared" si="402"/>
        <v>13Y_TgtDur</v>
      </c>
      <c r="K364" s="204">
        <v>100</v>
      </c>
      <c r="L364" s="204">
        <f t="shared" si="398"/>
        <v>13</v>
      </c>
      <c r="N364" s="204" t="str">
        <f t="shared" si="399"/>
        <v>13Y_TgtDur</v>
      </c>
      <c r="O364" s="204" t="str">
        <f t="shared" si="400"/>
        <v>12Y_I</v>
      </c>
      <c r="P364" s="204" t="str">
        <f t="shared" si="401"/>
        <v>9Y_I</v>
      </c>
    </row>
    <row r="365" spans="1:16" ht="13" x14ac:dyDescent="0.3">
      <c r="A365">
        <v>12</v>
      </c>
      <c r="B365">
        <v>7</v>
      </c>
      <c r="C365" s="221" t="s">
        <v>694</v>
      </c>
      <c r="D365" s="221" t="s">
        <v>705</v>
      </c>
      <c r="E365" s="221">
        <f>1</f>
        <v>1</v>
      </c>
      <c r="F365" s="255" t="str">
        <f t="shared" si="396"/>
        <v>12Y_TgtDur</v>
      </c>
      <c r="G365" s="204" t="str">
        <f t="shared" si="402"/>
        <v>12Y_TgtDur</v>
      </c>
      <c r="H365" s="204" t="str">
        <f t="shared" si="402"/>
        <v>12Y_TgtDur</v>
      </c>
      <c r="I365" s="204" t="str">
        <f t="shared" si="402"/>
        <v>12Y_TgtDur</v>
      </c>
      <c r="J365" s="204" t="str">
        <f t="shared" si="402"/>
        <v>12Y_TgtDur</v>
      </c>
      <c r="K365" s="204">
        <v>100</v>
      </c>
      <c r="L365" s="204">
        <f t="shared" si="398"/>
        <v>12</v>
      </c>
      <c r="N365" s="204" t="str">
        <f t="shared" si="399"/>
        <v>12Y_TgtDur</v>
      </c>
      <c r="O365" s="204" t="str">
        <f t="shared" si="400"/>
        <v>12Y_I</v>
      </c>
      <c r="P365" s="204" t="str">
        <f t="shared" si="401"/>
        <v>9Y_I</v>
      </c>
    </row>
    <row r="366" spans="1:16" ht="13" x14ac:dyDescent="0.3">
      <c r="A366">
        <v>15</v>
      </c>
      <c r="B366">
        <v>7</v>
      </c>
      <c r="C366" s="221" t="s">
        <v>692</v>
      </c>
      <c r="D366" s="221" t="s">
        <v>705</v>
      </c>
      <c r="E366" s="221">
        <f>1</f>
        <v>1</v>
      </c>
      <c r="F366" s="255" t="str">
        <f t="shared" si="396"/>
        <v>14Y_TgtDur</v>
      </c>
      <c r="G366" s="204" t="str">
        <f t="shared" si="402"/>
        <v>14Y_TgtDur</v>
      </c>
      <c r="H366" s="204" t="str">
        <f t="shared" si="402"/>
        <v>14Y_TgtDur</v>
      </c>
      <c r="I366" s="204" t="str">
        <f t="shared" si="402"/>
        <v>14Y_TgtDur</v>
      </c>
      <c r="J366" s="204" t="str">
        <f t="shared" si="402"/>
        <v>14Y_TgtDur</v>
      </c>
      <c r="K366" s="204">
        <v>100</v>
      </c>
      <c r="L366" s="204">
        <f t="shared" si="398"/>
        <v>15</v>
      </c>
      <c r="N366" s="204" t="str">
        <f t="shared" si="399"/>
        <v>14Y_TgtDur</v>
      </c>
      <c r="O366" s="204" t="str">
        <f t="shared" si="400"/>
        <v>12Y_I</v>
      </c>
      <c r="P366" s="204" t="str">
        <f t="shared" si="401"/>
        <v>9Y_I</v>
      </c>
    </row>
    <row r="367" spans="1:16" ht="13" x14ac:dyDescent="0.3">
      <c r="A367">
        <v>11</v>
      </c>
      <c r="B367">
        <v>10</v>
      </c>
      <c r="C367" s="221" t="s">
        <v>703</v>
      </c>
      <c r="D367" s="221" t="s">
        <v>705</v>
      </c>
      <c r="E367" s="221">
        <f>1</f>
        <v>1</v>
      </c>
      <c r="F367" s="255" t="str">
        <f t="shared" si="396"/>
        <v>11Y_TgtDur</v>
      </c>
      <c r="G367" s="204" t="str">
        <f t="shared" si="402"/>
        <v>11Y_TgtDur</v>
      </c>
      <c r="H367" s="204" t="str">
        <f t="shared" si="402"/>
        <v>11Y_TgtDur</v>
      </c>
      <c r="I367" s="204" t="str">
        <f t="shared" si="402"/>
        <v>11Y_TgtDur</v>
      </c>
      <c r="J367" s="204" t="str">
        <f t="shared" si="402"/>
        <v>11Y_TgtDur</v>
      </c>
      <c r="K367" s="204">
        <v>100</v>
      </c>
      <c r="L367" s="204">
        <f t="shared" si="398"/>
        <v>11</v>
      </c>
      <c r="N367" s="204" t="str">
        <f t="shared" si="399"/>
        <v>11Y_TgtDur</v>
      </c>
      <c r="O367" s="204" t="str">
        <f t="shared" si="400"/>
        <v>20Y_I</v>
      </c>
      <c r="P367" s="204" t="str">
        <f t="shared" si="401"/>
        <v>12Y_I</v>
      </c>
    </row>
    <row r="368" spans="1:16" ht="13" x14ac:dyDescent="0.3">
      <c r="A368">
        <v>13</v>
      </c>
      <c r="B368">
        <v>7</v>
      </c>
      <c r="C368" s="221" t="s">
        <v>696</v>
      </c>
      <c r="D368" s="221" t="s">
        <v>705</v>
      </c>
      <c r="E368" s="221">
        <f>1</f>
        <v>1</v>
      </c>
      <c r="F368" s="255" t="str">
        <f t="shared" si="396"/>
        <v>13Y_TgtDur</v>
      </c>
      <c r="G368" s="204" t="str">
        <f t="shared" ref="G368:J381" si="403">F368</f>
        <v>13Y_TgtDur</v>
      </c>
      <c r="H368" s="204" t="str">
        <f t="shared" si="403"/>
        <v>13Y_TgtDur</v>
      </c>
      <c r="I368" s="204" t="str">
        <f t="shared" si="403"/>
        <v>13Y_TgtDur</v>
      </c>
      <c r="J368" s="204" t="str">
        <f t="shared" si="403"/>
        <v>13Y_TgtDur</v>
      </c>
      <c r="K368" s="204">
        <v>100</v>
      </c>
      <c r="L368" s="204">
        <f t="shared" si="398"/>
        <v>13</v>
      </c>
      <c r="N368" s="204" t="str">
        <f t="shared" si="399"/>
        <v>13Y_TgtDur</v>
      </c>
      <c r="O368" s="204" t="str">
        <f t="shared" si="400"/>
        <v>12Y_I</v>
      </c>
      <c r="P368" s="204" t="str">
        <f t="shared" si="401"/>
        <v>9Y_I</v>
      </c>
    </row>
    <row r="369" spans="1:16" ht="13" x14ac:dyDescent="0.3">
      <c r="A369">
        <v>9</v>
      </c>
      <c r="B369">
        <v>7</v>
      </c>
      <c r="C369" s="221" t="s">
        <v>689</v>
      </c>
      <c r="D369" s="221" t="s">
        <v>705</v>
      </c>
      <c r="E369" s="221">
        <f>1</f>
        <v>1</v>
      </c>
      <c r="F369" s="255" t="str">
        <f t="shared" si="396"/>
        <v>9Y_TgtDur</v>
      </c>
      <c r="G369" s="204" t="str">
        <f t="shared" si="403"/>
        <v>9Y_TgtDur</v>
      </c>
      <c r="H369" s="204" t="str">
        <f t="shared" si="403"/>
        <v>9Y_TgtDur</v>
      </c>
      <c r="I369" s="204" t="str">
        <f t="shared" si="403"/>
        <v>9Y_TgtDur</v>
      </c>
      <c r="J369" s="204" t="str">
        <f t="shared" si="403"/>
        <v>9Y_TgtDur</v>
      </c>
      <c r="K369" s="204">
        <v>100</v>
      </c>
      <c r="L369" s="204">
        <f t="shared" si="398"/>
        <v>9</v>
      </c>
      <c r="N369" s="204" t="str">
        <f t="shared" si="399"/>
        <v>9Y_TgtDur</v>
      </c>
      <c r="O369" s="204" t="str">
        <f t="shared" si="400"/>
        <v>12Y_I</v>
      </c>
      <c r="P369" s="204" t="str">
        <f t="shared" si="401"/>
        <v>9Y_I</v>
      </c>
    </row>
    <row r="370" spans="1:16" ht="13" x14ac:dyDescent="0.3">
      <c r="A370">
        <v>9</v>
      </c>
      <c r="B370">
        <v>10</v>
      </c>
      <c r="C370" s="221" t="s">
        <v>700</v>
      </c>
      <c r="D370" s="221" t="s">
        <v>706</v>
      </c>
      <c r="E370" s="221">
        <f>1</f>
        <v>1</v>
      </c>
      <c r="F370" s="255" t="str">
        <f t="shared" si="396"/>
        <v>9Y_TgtDur</v>
      </c>
      <c r="G370" s="204" t="str">
        <f t="shared" si="403"/>
        <v>9Y_TgtDur</v>
      </c>
      <c r="H370" s="204" t="str">
        <f t="shared" si="403"/>
        <v>9Y_TgtDur</v>
      </c>
      <c r="I370" s="204" t="str">
        <f t="shared" si="403"/>
        <v>9Y_TgtDur</v>
      </c>
      <c r="J370" s="204" t="str">
        <f t="shared" si="403"/>
        <v>9Y_TgtDur</v>
      </c>
      <c r="K370" s="204">
        <v>100</v>
      </c>
      <c r="L370" s="204">
        <f t="shared" si="398"/>
        <v>9</v>
      </c>
      <c r="N370" s="204" t="str">
        <f t="shared" si="399"/>
        <v>9Y_TgtDur</v>
      </c>
      <c r="O370" s="204" t="str">
        <f t="shared" si="400"/>
        <v>20Y_I</v>
      </c>
      <c r="P370" s="204" t="str">
        <f t="shared" si="401"/>
        <v>12Y_I</v>
      </c>
    </row>
    <row r="371" spans="1:16" ht="13" x14ac:dyDescent="0.3">
      <c r="A371">
        <v>9</v>
      </c>
      <c r="B371">
        <v>10</v>
      </c>
      <c r="C371" s="221" t="s">
        <v>699</v>
      </c>
      <c r="D371" s="221" t="s">
        <v>706</v>
      </c>
      <c r="E371" s="221">
        <f>1</f>
        <v>1</v>
      </c>
      <c r="F371" s="255" t="str">
        <f t="shared" si="396"/>
        <v>9Y_TgtDur</v>
      </c>
      <c r="G371" s="204" t="str">
        <f t="shared" si="403"/>
        <v>9Y_TgtDur</v>
      </c>
      <c r="H371" s="204" t="str">
        <f t="shared" si="403"/>
        <v>9Y_TgtDur</v>
      </c>
      <c r="I371" s="204" t="str">
        <f t="shared" si="403"/>
        <v>9Y_TgtDur</v>
      </c>
      <c r="J371" s="204" t="str">
        <f t="shared" si="403"/>
        <v>9Y_TgtDur</v>
      </c>
      <c r="K371" s="204">
        <v>100</v>
      </c>
      <c r="L371" s="204">
        <f t="shared" si="398"/>
        <v>9</v>
      </c>
      <c r="N371" s="204" t="str">
        <f t="shared" si="399"/>
        <v>9Y_TgtDur</v>
      </c>
      <c r="O371" s="204" t="str">
        <f t="shared" si="400"/>
        <v>20Y_I</v>
      </c>
      <c r="P371" s="204" t="str">
        <f t="shared" si="401"/>
        <v>12Y_I</v>
      </c>
    </row>
    <row r="372" spans="1:16" ht="13" x14ac:dyDescent="0.3">
      <c r="A372">
        <v>6</v>
      </c>
      <c r="B372">
        <v>7</v>
      </c>
      <c r="C372" s="221" t="s">
        <v>698</v>
      </c>
      <c r="D372" s="221" t="s">
        <v>706</v>
      </c>
      <c r="E372" s="221">
        <f>1</f>
        <v>1</v>
      </c>
      <c r="F372" s="255" t="str">
        <f t="shared" si="396"/>
        <v>6Y_TgtDur</v>
      </c>
      <c r="G372" s="204" t="str">
        <f t="shared" si="403"/>
        <v>6Y_TgtDur</v>
      </c>
      <c r="H372" s="204" t="str">
        <f t="shared" si="403"/>
        <v>6Y_TgtDur</v>
      </c>
      <c r="I372" s="204" t="str">
        <f t="shared" si="403"/>
        <v>6Y_TgtDur</v>
      </c>
      <c r="J372" s="204" t="str">
        <f t="shared" si="403"/>
        <v>6Y_TgtDur</v>
      </c>
      <c r="K372" s="204">
        <v>100</v>
      </c>
      <c r="L372" s="204">
        <f t="shared" si="398"/>
        <v>6</v>
      </c>
      <c r="N372" s="204" t="str">
        <f t="shared" si="399"/>
        <v>6Y_TgtDur</v>
      </c>
      <c r="O372" s="204" t="str">
        <f t="shared" si="400"/>
        <v>12Y_I</v>
      </c>
      <c r="P372" s="204" t="str">
        <f t="shared" si="401"/>
        <v>9Y_I</v>
      </c>
    </row>
    <row r="373" spans="1:16" ht="13" x14ac:dyDescent="0.3">
      <c r="A373">
        <v>8</v>
      </c>
      <c r="B373">
        <v>5</v>
      </c>
      <c r="C373" s="221" t="s">
        <v>686</v>
      </c>
      <c r="D373" s="221" t="s">
        <v>706</v>
      </c>
      <c r="E373" s="221">
        <f>1</f>
        <v>1</v>
      </c>
      <c r="F373" s="255" t="str">
        <f t="shared" si="396"/>
        <v>8Y_TgtDur</v>
      </c>
      <c r="G373" s="204" t="str">
        <f t="shared" si="403"/>
        <v>8Y_TgtDur</v>
      </c>
      <c r="H373" s="204" t="str">
        <f t="shared" si="403"/>
        <v>8Y_TgtDur</v>
      </c>
      <c r="I373" s="204" t="str">
        <f t="shared" si="403"/>
        <v>8Y_TgtDur</v>
      </c>
      <c r="J373" s="204" t="str">
        <f t="shared" si="403"/>
        <v>8Y_TgtDur</v>
      </c>
      <c r="K373" s="204">
        <v>100</v>
      </c>
      <c r="L373" s="204">
        <f t="shared" si="398"/>
        <v>8</v>
      </c>
      <c r="N373" s="204" t="str">
        <f t="shared" si="399"/>
        <v>8Y_TgtDur</v>
      </c>
      <c r="O373" s="204" t="str">
        <f t="shared" si="400"/>
        <v>9Y_I</v>
      </c>
      <c r="P373" s="204" t="str">
        <f t="shared" si="401"/>
        <v>7Y_I</v>
      </c>
    </row>
    <row r="374" spans="1:16" ht="13" x14ac:dyDescent="0.3">
      <c r="A374">
        <v>8</v>
      </c>
      <c r="B374">
        <v>7</v>
      </c>
      <c r="C374" s="221" t="s">
        <v>697</v>
      </c>
      <c r="D374" s="221" t="s">
        <v>706</v>
      </c>
      <c r="E374" s="221">
        <f>1</f>
        <v>1</v>
      </c>
      <c r="F374" s="255" t="str">
        <f t="shared" si="396"/>
        <v>8Y_TgtDur</v>
      </c>
      <c r="G374" s="204" t="str">
        <f t="shared" si="403"/>
        <v>8Y_TgtDur</v>
      </c>
      <c r="H374" s="204" t="str">
        <f t="shared" si="403"/>
        <v>8Y_TgtDur</v>
      </c>
      <c r="I374" s="204" t="str">
        <f t="shared" si="403"/>
        <v>8Y_TgtDur</v>
      </c>
      <c r="J374" s="204" t="str">
        <f t="shared" si="403"/>
        <v>8Y_TgtDur</v>
      </c>
      <c r="K374" s="204">
        <v>100</v>
      </c>
      <c r="L374" s="204">
        <f t="shared" si="398"/>
        <v>8</v>
      </c>
      <c r="N374" s="204" t="str">
        <f t="shared" si="399"/>
        <v>8Y_TgtDur</v>
      </c>
      <c r="O374" s="204" t="str">
        <f t="shared" si="400"/>
        <v>12Y_I</v>
      </c>
      <c r="P374" s="204" t="str">
        <f t="shared" si="401"/>
        <v>9Y_I</v>
      </c>
    </row>
    <row r="375" spans="1:16" ht="13" x14ac:dyDescent="0.3">
      <c r="A375">
        <v>8</v>
      </c>
      <c r="B375">
        <v>7</v>
      </c>
      <c r="C375" s="221" t="s">
        <v>1089</v>
      </c>
      <c r="D375" s="221" t="s">
        <v>706</v>
      </c>
      <c r="E375" s="221">
        <f>1</f>
        <v>1</v>
      </c>
      <c r="F375" s="255" t="str">
        <f t="shared" si="396"/>
        <v>8Y_TgtDur</v>
      </c>
      <c r="G375" s="204" t="str">
        <f t="shared" si="403"/>
        <v>8Y_TgtDur</v>
      </c>
      <c r="H375" s="204" t="str">
        <f t="shared" si="403"/>
        <v>8Y_TgtDur</v>
      </c>
      <c r="I375" s="204" t="str">
        <f t="shared" si="403"/>
        <v>8Y_TgtDur</v>
      </c>
      <c r="J375" s="204" t="str">
        <f t="shared" si="403"/>
        <v>8Y_TgtDur</v>
      </c>
      <c r="K375" s="204">
        <v>100</v>
      </c>
      <c r="L375" s="204">
        <f t="shared" si="398"/>
        <v>8</v>
      </c>
      <c r="N375" s="204" t="str">
        <f t="shared" si="399"/>
        <v>8Y_TgtDur</v>
      </c>
      <c r="O375" s="204" t="str">
        <f t="shared" si="400"/>
        <v>12Y_I</v>
      </c>
      <c r="P375" s="204" t="str">
        <f t="shared" si="401"/>
        <v>9Y_I</v>
      </c>
    </row>
    <row r="376" spans="1:16" ht="13" x14ac:dyDescent="0.3">
      <c r="A376">
        <v>8</v>
      </c>
      <c r="B376">
        <v>7</v>
      </c>
      <c r="C376" s="221" t="s">
        <v>693</v>
      </c>
      <c r="D376" s="221" t="s">
        <v>706</v>
      </c>
      <c r="E376" s="221">
        <f>1</f>
        <v>1</v>
      </c>
      <c r="F376" s="255" t="str">
        <f t="shared" si="396"/>
        <v>8Y_TgtDur</v>
      </c>
      <c r="G376" s="204" t="str">
        <f t="shared" si="403"/>
        <v>8Y_TgtDur</v>
      </c>
      <c r="H376" s="204" t="str">
        <f t="shared" si="403"/>
        <v>8Y_TgtDur</v>
      </c>
      <c r="I376" s="204" t="str">
        <f t="shared" si="403"/>
        <v>8Y_TgtDur</v>
      </c>
      <c r="J376" s="204" t="str">
        <f t="shared" si="403"/>
        <v>8Y_TgtDur</v>
      </c>
      <c r="K376" s="204">
        <v>100</v>
      </c>
      <c r="L376" s="204">
        <f t="shared" si="398"/>
        <v>8</v>
      </c>
      <c r="N376" s="204" t="str">
        <f t="shared" si="399"/>
        <v>8Y_TgtDur</v>
      </c>
      <c r="O376" s="204" t="str">
        <f t="shared" si="400"/>
        <v>12Y_I</v>
      </c>
      <c r="P376" s="204" t="str">
        <f t="shared" si="401"/>
        <v>9Y_I</v>
      </c>
    </row>
    <row r="377" spans="1:16" ht="13" x14ac:dyDescent="0.3">
      <c r="A377">
        <v>9</v>
      </c>
      <c r="B377">
        <v>7</v>
      </c>
      <c r="C377" s="221" t="s">
        <v>694</v>
      </c>
      <c r="D377" s="221" t="s">
        <v>706</v>
      </c>
      <c r="E377" s="221">
        <f>1</f>
        <v>1</v>
      </c>
      <c r="F377" s="255" t="str">
        <f t="shared" si="396"/>
        <v>9Y_TgtDur</v>
      </c>
      <c r="G377" s="204" t="str">
        <f t="shared" si="403"/>
        <v>9Y_TgtDur</v>
      </c>
      <c r="H377" s="204" t="str">
        <f t="shared" si="403"/>
        <v>9Y_TgtDur</v>
      </c>
      <c r="I377" s="204" t="str">
        <f t="shared" si="403"/>
        <v>9Y_TgtDur</v>
      </c>
      <c r="J377" s="204" t="str">
        <f t="shared" si="403"/>
        <v>9Y_TgtDur</v>
      </c>
      <c r="K377" s="204">
        <v>100</v>
      </c>
      <c r="L377" s="204">
        <f t="shared" si="398"/>
        <v>9</v>
      </c>
      <c r="N377" s="204" t="str">
        <f t="shared" si="399"/>
        <v>9Y_TgtDur</v>
      </c>
      <c r="O377" s="204" t="str">
        <f t="shared" si="400"/>
        <v>12Y_I</v>
      </c>
      <c r="P377" s="204" t="str">
        <f t="shared" si="401"/>
        <v>9Y_I</v>
      </c>
    </row>
    <row r="378" spans="1:16" ht="13" x14ac:dyDescent="0.3">
      <c r="A378">
        <v>9</v>
      </c>
      <c r="B378">
        <v>7</v>
      </c>
      <c r="C378" s="221" t="s">
        <v>692</v>
      </c>
      <c r="D378" s="221" t="s">
        <v>706</v>
      </c>
      <c r="E378" s="221">
        <f>1</f>
        <v>1</v>
      </c>
      <c r="F378" s="255" t="str">
        <f t="shared" si="396"/>
        <v>9Y_TgtDur</v>
      </c>
      <c r="G378" s="204" t="str">
        <f t="shared" si="403"/>
        <v>9Y_TgtDur</v>
      </c>
      <c r="H378" s="204" t="str">
        <f t="shared" si="403"/>
        <v>9Y_TgtDur</v>
      </c>
      <c r="I378" s="204" t="str">
        <f t="shared" si="403"/>
        <v>9Y_TgtDur</v>
      </c>
      <c r="J378" s="204" t="str">
        <f t="shared" si="403"/>
        <v>9Y_TgtDur</v>
      </c>
      <c r="K378" s="204">
        <v>100</v>
      </c>
      <c r="L378" s="204">
        <f t="shared" si="398"/>
        <v>9</v>
      </c>
      <c r="N378" s="204" t="str">
        <f t="shared" si="399"/>
        <v>9Y_TgtDur</v>
      </c>
      <c r="O378" s="204" t="str">
        <f t="shared" si="400"/>
        <v>12Y_I</v>
      </c>
      <c r="P378" s="204" t="str">
        <f t="shared" si="401"/>
        <v>9Y_I</v>
      </c>
    </row>
    <row r="379" spans="1:16" ht="13" x14ac:dyDescent="0.3">
      <c r="A379">
        <v>9</v>
      </c>
      <c r="B379">
        <v>10</v>
      </c>
      <c r="C379" s="221" t="s">
        <v>703</v>
      </c>
      <c r="D379" s="221" t="s">
        <v>706</v>
      </c>
      <c r="E379" s="221">
        <f>1</f>
        <v>1</v>
      </c>
      <c r="F379" s="255" t="str">
        <f t="shared" si="396"/>
        <v>9Y_TgtDur</v>
      </c>
      <c r="G379" s="204" t="str">
        <f t="shared" si="403"/>
        <v>9Y_TgtDur</v>
      </c>
      <c r="H379" s="204" t="str">
        <f t="shared" si="403"/>
        <v>9Y_TgtDur</v>
      </c>
      <c r="I379" s="204" t="str">
        <f t="shared" si="403"/>
        <v>9Y_TgtDur</v>
      </c>
      <c r="J379" s="204" t="str">
        <f t="shared" si="403"/>
        <v>9Y_TgtDur</v>
      </c>
      <c r="K379" s="204">
        <v>100</v>
      </c>
      <c r="L379" s="204">
        <f t="shared" si="398"/>
        <v>9</v>
      </c>
      <c r="N379" s="204" t="str">
        <f t="shared" si="399"/>
        <v>9Y_TgtDur</v>
      </c>
      <c r="O379" s="204" t="str">
        <f t="shared" si="400"/>
        <v>20Y_I</v>
      </c>
      <c r="P379" s="204" t="str">
        <f t="shared" si="401"/>
        <v>12Y_I</v>
      </c>
    </row>
    <row r="380" spans="1:16" ht="13" x14ac:dyDescent="0.3">
      <c r="A380">
        <f>A379</f>
        <v>9</v>
      </c>
      <c r="B380">
        <f>B379</f>
        <v>10</v>
      </c>
      <c r="C380" s="221" t="s">
        <v>709</v>
      </c>
      <c r="D380" s="221" t="s">
        <v>706</v>
      </c>
      <c r="E380" s="221">
        <f>1</f>
        <v>1</v>
      </c>
      <c r="F380" s="255" t="str">
        <f t="shared" si="396"/>
        <v>9Y_TgtDur</v>
      </c>
      <c r="G380" s="204" t="str">
        <f t="shared" si="403"/>
        <v>9Y_TgtDur</v>
      </c>
      <c r="H380" s="204" t="str">
        <f t="shared" si="403"/>
        <v>9Y_TgtDur</v>
      </c>
      <c r="I380" s="204" t="str">
        <f t="shared" si="403"/>
        <v>9Y_TgtDur</v>
      </c>
      <c r="J380" s="204" t="str">
        <f t="shared" si="403"/>
        <v>9Y_TgtDur</v>
      </c>
      <c r="K380" s="204">
        <v>100</v>
      </c>
      <c r="L380" s="204">
        <f t="shared" si="398"/>
        <v>9</v>
      </c>
      <c r="N380" s="204" t="str">
        <f t="shared" si="399"/>
        <v>9Y_TgtDur</v>
      </c>
      <c r="O380" s="204" t="str">
        <f t="shared" si="400"/>
        <v>20Y_I</v>
      </c>
      <c r="P380" s="204" t="str">
        <f t="shared" si="401"/>
        <v>12Y_I</v>
      </c>
    </row>
    <row r="381" spans="1:16" ht="13" x14ac:dyDescent="0.3">
      <c r="A381">
        <v>8</v>
      </c>
      <c r="B381">
        <v>7</v>
      </c>
      <c r="C381" s="221" t="s">
        <v>696</v>
      </c>
      <c r="D381" s="221" t="s">
        <v>706</v>
      </c>
      <c r="E381" s="221">
        <f>1</f>
        <v>1</v>
      </c>
      <c r="F381" s="255" t="str">
        <f t="shared" si="396"/>
        <v>8Y_TgtDur</v>
      </c>
      <c r="G381" s="204" t="str">
        <f t="shared" si="403"/>
        <v>8Y_TgtDur</v>
      </c>
      <c r="H381" s="204" t="str">
        <f t="shared" si="403"/>
        <v>8Y_TgtDur</v>
      </c>
      <c r="I381" s="204" t="str">
        <f t="shared" si="403"/>
        <v>8Y_TgtDur</v>
      </c>
      <c r="J381" s="204" t="str">
        <f t="shared" si="403"/>
        <v>8Y_TgtDur</v>
      </c>
      <c r="K381" s="204">
        <v>100</v>
      </c>
      <c r="L381" s="204">
        <f t="shared" si="398"/>
        <v>8</v>
      </c>
      <c r="N381" s="204" t="str">
        <f t="shared" si="399"/>
        <v>8Y_TgtDur</v>
      </c>
      <c r="O381" s="204" t="str">
        <f t="shared" si="400"/>
        <v>12Y_I</v>
      </c>
      <c r="P381" s="204" t="str">
        <f t="shared" si="401"/>
        <v>9Y_I</v>
      </c>
    </row>
    <row r="382" spans="1:16" ht="13" x14ac:dyDescent="0.3">
      <c r="A382">
        <v>10</v>
      </c>
      <c r="B382">
        <v>10</v>
      </c>
      <c r="C382" s="221" t="s">
        <v>701</v>
      </c>
      <c r="D382" s="221" t="s">
        <v>706</v>
      </c>
      <c r="E382" s="221">
        <f>1</f>
        <v>1</v>
      </c>
      <c r="F382" s="255" t="str">
        <f t="shared" si="396"/>
        <v>10Y_TgtDur</v>
      </c>
      <c r="G382" s="204" t="str">
        <f t="shared" ref="G382:J386" si="404">F382</f>
        <v>10Y_TgtDur</v>
      </c>
      <c r="H382" s="204" t="str">
        <f t="shared" si="404"/>
        <v>10Y_TgtDur</v>
      </c>
      <c r="I382" s="204" t="str">
        <f t="shared" si="404"/>
        <v>10Y_TgtDur</v>
      </c>
      <c r="J382" s="204" t="str">
        <f t="shared" si="404"/>
        <v>10Y_TgtDur</v>
      </c>
      <c r="K382" s="204">
        <v>100</v>
      </c>
      <c r="L382" s="204">
        <f t="shared" si="398"/>
        <v>10</v>
      </c>
      <c r="N382" s="204" t="str">
        <f t="shared" si="399"/>
        <v>10Y_TgtDur</v>
      </c>
      <c r="O382" s="204" t="str">
        <f t="shared" si="400"/>
        <v>20Y_I</v>
      </c>
      <c r="P382" s="204" t="str">
        <f t="shared" si="401"/>
        <v>12Y_I</v>
      </c>
    </row>
    <row r="383" spans="1:16" ht="13" x14ac:dyDescent="0.3">
      <c r="A383">
        <v>7</v>
      </c>
      <c r="B383">
        <v>10</v>
      </c>
      <c r="C383" s="221" t="s">
        <v>701</v>
      </c>
      <c r="D383" s="221" t="s">
        <v>704</v>
      </c>
      <c r="E383" s="221">
        <f>1</f>
        <v>1</v>
      </c>
      <c r="F383" s="255" t="str">
        <f t="shared" si="396"/>
        <v>7Y_TgtDur</v>
      </c>
      <c r="G383" s="204" t="str">
        <f t="shared" si="404"/>
        <v>7Y_TgtDur</v>
      </c>
      <c r="H383" s="204" t="str">
        <f t="shared" si="404"/>
        <v>7Y_TgtDur</v>
      </c>
      <c r="I383" s="204" t="str">
        <f t="shared" si="404"/>
        <v>7Y_TgtDur</v>
      </c>
      <c r="J383" s="204" t="str">
        <f t="shared" si="404"/>
        <v>7Y_TgtDur</v>
      </c>
      <c r="K383" s="204">
        <v>100</v>
      </c>
      <c r="L383" s="204">
        <f t="shared" si="398"/>
        <v>7</v>
      </c>
      <c r="N383" s="204" t="str">
        <f t="shared" si="399"/>
        <v>7Y_TgtDur</v>
      </c>
      <c r="O383" s="204" t="str">
        <f t="shared" si="400"/>
        <v>10Y_I</v>
      </c>
      <c r="P383" s="204" t="str">
        <f t="shared" si="401"/>
        <v>12Y_I</v>
      </c>
    </row>
    <row r="384" spans="1:16" ht="13" x14ac:dyDescent="0.3">
      <c r="A384">
        <v>4</v>
      </c>
      <c r="B384">
        <v>10</v>
      </c>
      <c r="C384" s="221" t="s">
        <v>691</v>
      </c>
      <c r="D384" s="221" t="s">
        <v>704</v>
      </c>
      <c r="E384" s="221">
        <f>1</f>
        <v>1</v>
      </c>
      <c r="F384" s="255" t="str">
        <f t="shared" si="396"/>
        <v>4Y_TgtDur</v>
      </c>
      <c r="G384" s="204" t="str">
        <f t="shared" si="404"/>
        <v>4Y_TgtDur</v>
      </c>
      <c r="H384" s="204" t="str">
        <f t="shared" si="404"/>
        <v>4Y_TgtDur</v>
      </c>
      <c r="I384" s="204" t="str">
        <f t="shared" si="404"/>
        <v>4Y_TgtDur</v>
      </c>
      <c r="J384" s="204" t="str">
        <f t="shared" si="404"/>
        <v>4Y_TgtDur</v>
      </c>
      <c r="K384" s="204">
        <v>100</v>
      </c>
      <c r="L384" s="204">
        <f t="shared" si="398"/>
        <v>4</v>
      </c>
      <c r="N384" s="204" t="str">
        <f t="shared" si="399"/>
        <v>4Y_TgtDur</v>
      </c>
      <c r="O384" s="204" t="str">
        <f t="shared" si="400"/>
        <v>10Y_I</v>
      </c>
      <c r="P384" s="204" t="str">
        <f t="shared" si="401"/>
        <v>12Y_I</v>
      </c>
    </row>
    <row r="385" spans="1:16" ht="13" x14ac:dyDescent="0.3">
      <c r="A385">
        <v>6</v>
      </c>
      <c r="B385">
        <v>10</v>
      </c>
      <c r="C385" s="221" t="s">
        <v>690</v>
      </c>
      <c r="D385" s="221" t="s">
        <v>704</v>
      </c>
      <c r="E385" s="221">
        <f>1</f>
        <v>1</v>
      </c>
      <c r="F385" s="255" t="str">
        <f t="shared" si="396"/>
        <v>6Y_TgtDur</v>
      </c>
      <c r="G385" s="204" t="str">
        <f t="shared" si="404"/>
        <v>6Y_TgtDur</v>
      </c>
      <c r="H385" s="204" t="str">
        <f t="shared" si="404"/>
        <v>6Y_TgtDur</v>
      </c>
      <c r="I385" s="204" t="str">
        <f t="shared" si="404"/>
        <v>6Y_TgtDur</v>
      </c>
      <c r="J385" s="204" t="str">
        <f t="shared" si="404"/>
        <v>6Y_TgtDur</v>
      </c>
      <c r="K385" s="204">
        <v>100</v>
      </c>
      <c r="L385" s="204">
        <f t="shared" si="398"/>
        <v>6</v>
      </c>
      <c r="N385" s="204" t="str">
        <f t="shared" si="399"/>
        <v>6Y_TgtDur</v>
      </c>
      <c r="O385" s="204" t="str">
        <f t="shared" si="400"/>
        <v>10Y_I</v>
      </c>
      <c r="P385" s="204" t="str">
        <f t="shared" si="401"/>
        <v>12Y_I</v>
      </c>
    </row>
    <row r="386" spans="1:16" ht="13" x14ac:dyDescent="0.3">
      <c r="A386">
        <v>9</v>
      </c>
      <c r="B386">
        <v>10</v>
      </c>
      <c r="C386" s="221" t="s">
        <v>690</v>
      </c>
      <c r="D386" s="221" t="s">
        <v>705</v>
      </c>
      <c r="E386" s="221">
        <f>1</f>
        <v>1</v>
      </c>
      <c r="F386" s="255" t="str">
        <f t="shared" si="396"/>
        <v>9Y_TgtDur</v>
      </c>
      <c r="G386" s="204" t="str">
        <f t="shared" si="404"/>
        <v>9Y_TgtDur</v>
      </c>
      <c r="H386" s="204" t="str">
        <f t="shared" si="404"/>
        <v>9Y_TgtDur</v>
      </c>
      <c r="I386" s="204" t="str">
        <f t="shared" si="404"/>
        <v>9Y_TgtDur</v>
      </c>
      <c r="J386" s="204" t="str">
        <f t="shared" si="404"/>
        <v>9Y_TgtDur</v>
      </c>
      <c r="K386" s="204">
        <v>100</v>
      </c>
      <c r="L386" s="204">
        <f t="shared" si="398"/>
        <v>9</v>
      </c>
      <c r="N386" s="204" t="str">
        <f t="shared" si="399"/>
        <v>9Y_TgtDur</v>
      </c>
      <c r="O386" s="204" t="str">
        <f t="shared" si="400"/>
        <v>20Y_I</v>
      </c>
      <c r="P386" s="204" t="str">
        <f t="shared" si="401"/>
        <v>12Y_I</v>
      </c>
    </row>
    <row r="387" spans="1:16" ht="13" x14ac:dyDescent="0.3">
      <c r="A387">
        <v>5</v>
      </c>
      <c r="B387">
        <v>5</v>
      </c>
      <c r="C387" s="221" t="s">
        <v>1111</v>
      </c>
      <c r="D387" s="221" t="s">
        <v>704</v>
      </c>
      <c r="E387" s="221">
        <f>1</f>
        <v>1</v>
      </c>
      <c r="F387" s="255" t="str">
        <f t="shared" si="396"/>
        <v>5Y_TgtDur</v>
      </c>
      <c r="G387" s="204" t="str">
        <f t="shared" ref="G387" si="405">F387</f>
        <v>5Y_TgtDur</v>
      </c>
      <c r="H387" s="204" t="str">
        <f t="shared" ref="H387" si="406">G387</f>
        <v>5Y_TgtDur</v>
      </c>
      <c r="I387" s="204" t="str">
        <f t="shared" ref="I387" si="407">H387</f>
        <v>5Y_TgtDur</v>
      </c>
      <c r="J387" s="204" t="str">
        <f t="shared" ref="J387" si="408">I387</f>
        <v>5Y_TgtDur</v>
      </c>
      <c r="K387" s="204">
        <v>100</v>
      </c>
      <c r="L387" s="204">
        <f t="shared" si="398"/>
        <v>5</v>
      </c>
      <c r="N387" s="204" t="str">
        <f t="shared" si="399"/>
        <v>5Y_TgtDur</v>
      </c>
      <c r="O387" s="204" t="str">
        <f t="shared" si="400"/>
        <v>5Y_I</v>
      </c>
      <c r="P387" s="204" t="str">
        <f t="shared" si="401"/>
        <v>7Y_I</v>
      </c>
    </row>
  </sheetData>
  <autoFilter ref="A4:AF4" xr:uid="{00000000-0001-0000-0900-000000000000}"/>
  <conditionalFormatting sqref="F5:J17 N100:P104 N5:P17 N80:P80 N84:P84 N88:P95 N108:P108 N112:P112 N116:P116 N120:P120 N124:P124 N128:P128 N132:P132 N136:P136 N140:P140 N144:P144 N148:P148 N152:P152 N156:P156 N160:P160 N164:P164 N168:P168 N172:P172 N176:P176 N180:P180 N184:P184 N323:P330 N334:P337 N188:P188 N192:P192 N196:P196 N200:P200 N204:P204 N208:P208 N212:P212 N216:P216 N220:P220 N224:P224 N228:P228 N232:P232 N236:P236 N240:P240 N244:P244 N248:P248 N252:P252 N256:P256 N260:P260 N264:P264 N268:P268 N272:P272 N276:P276 N280:P280 N284:P284 N288:P288 N292:P292 N296:P296 N300:P300 N304:P304 N308:P308 N312:P319 F304:J337 N22:P52 F22:J52 F58:J302 N58:P76">
    <cfRule type="cellIs" dxfId="1161" priority="343" operator="notEqual">
      <formula>F$358</formula>
    </cfRule>
  </conditionalFormatting>
  <conditionalFormatting sqref="F5:J17 N100:P104 N5:P17 N80:P80 N84:P84 N88:P95 N108:P108 N112:P112 N116:P116 N120:P120 N124:P124 N128:P128 N132:P132 N136:P136 N140:P140 N144:P144 N148:P148 N152:P152 N156:P156 N160:P160 N164:P164 N168:P168 N172:P172 N176:P176 N180:P180 N184:P184 N323:P330 N334:P337 N188:P188 N192:P192 N196:P196 N200:P200 N204:P204 N208:P208 N212:P212 N216:P216 N220:P220 N224:P224 N228:P228 N232:P232 N236:P236 N240:P240 N244:P244 N248:P248 N252:P252 N256:P256 N260:P260 N264:P264 N268:P268 N272:P272 N276:P276 N280:P280 N284:P284 N288:P288 N292:P292 N296:P296 N300:P300 N304:P304 N308:P308 N312:P319 F304:J337 N22:P52 F22:J52 F58:J302 N58:P76">
    <cfRule type="cellIs" dxfId="1160" priority="345" operator="notEqual">
      <formula>E$423</formula>
    </cfRule>
  </conditionalFormatting>
  <conditionalFormatting sqref="K5:L17 K100:L104 K80:L80 K84:L84 K88:L95 K108:L108 K112:L112 K116:L116 K120:L120 K124:L124 K128:L128 K132:L132 K136:L136 K140:L140 K144:L144 K148:L148 K152:L152 K156:L156 K160:L160 K164:L164 K168:L168 K172:L172 K176:L176 K180:L180 K184:L184 K323:L330 K334:L337 K188:L188 K192:L192 K196:L196 K200:L200 K204:L204 K208:L208 K212:L212 K216:L216 K220:L220 K224:L224 K228:L228 K232:L232 K236:L236 K240:L240 K244:L244 K248:L248 K252:L252 K256:L256 K260:L260 K264:L264 K268:L268 K272:L272 K276:L276 K280:L280 K284:L284 K288:L288 K292:L292 K296:L296 K300:L300 K304:L304 K308:L308 K312:L319 K22:L52 K58:L76">
    <cfRule type="cellIs" dxfId="1159" priority="337" operator="notEqual">
      <formula>K$360</formula>
    </cfRule>
  </conditionalFormatting>
  <conditionalFormatting sqref="G18:J18">
    <cfRule type="cellIs" dxfId="1158" priority="306" operator="notEqual">
      <formula>G$358</formula>
    </cfRule>
  </conditionalFormatting>
  <conditionalFormatting sqref="G18:J18">
    <cfRule type="cellIs" dxfId="1157" priority="307" operator="notEqual">
      <formula>F$423</formula>
    </cfRule>
  </conditionalFormatting>
  <conditionalFormatting sqref="K18:L18">
    <cfRule type="cellIs" dxfId="1156" priority="305" operator="notEqual">
      <formula>K$360</formula>
    </cfRule>
  </conditionalFormatting>
  <conditionalFormatting sqref="P18">
    <cfRule type="cellIs" dxfId="1155" priority="304" operator="notEqual">
      <formula>P$358</formula>
    </cfRule>
  </conditionalFormatting>
  <conditionalFormatting sqref="P18">
    <cfRule type="cellIs" dxfId="1154" priority="303" operator="notEqual">
      <formula>O$423</formula>
    </cfRule>
  </conditionalFormatting>
  <conditionalFormatting sqref="O18">
    <cfRule type="cellIs" dxfId="1153" priority="302" operator="notEqual">
      <formula>O$358</formula>
    </cfRule>
  </conditionalFormatting>
  <conditionalFormatting sqref="O18">
    <cfRule type="cellIs" dxfId="1152" priority="301" operator="notEqual">
      <formula>N$423</formula>
    </cfRule>
  </conditionalFormatting>
  <conditionalFormatting sqref="N18">
    <cfRule type="cellIs" dxfId="1151" priority="300" operator="notEqual">
      <formula>N$358</formula>
    </cfRule>
  </conditionalFormatting>
  <conditionalFormatting sqref="N18">
    <cfRule type="cellIs" dxfId="1150" priority="299" operator="notEqual">
      <formula>M$423</formula>
    </cfRule>
  </conditionalFormatting>
  <conditionalFormatting sqref="F18">
    <cfRule type="cellIs" dxfId="1149" priority="297" operator="notEqual">
      <formula>F$358</formula>
    </cfRule>
  </conditionalFormatting>
  <conditionalFormatting sqref="F18">
    <cfRule type="cellIs" dxfId="1148" priority="298" operator="notEqual">
      <formula>E$423</formula>
    </cfRule>
  </conditionalFormatting>
  <conditionalFormatting sqref="G19:J21">
    <cfRule type="cellIs" dxfId="1147" priority="295" operator="notEqual">
      <formula>G$358</formula>
    </cfRule>
  </conditionalFormatting>
  <conditionalFormatting sqref="G19:J21">
    <cfRule type="cellIs" dxfId="1146" priority="296" operator="notEqual">
      <formula>F$423</formula>
    </cfRule>
  </conditionalFormatting>
  <conditionalFormatting sqref="K19:L21">
    <cfRule type="cellIs" dxfId="1145" priority="294" operator="notEqual">
      <formula>K$360</formula>
    </cfRule>
  </conditionalFormatting>
  <conditionalFormatting sqref="P19:P21">
    <cfRule type="cellIs" dxfId="1144" priority="293" operator="notEqual">
      <formula>P$358</formula>
    </cfRule>
  </conditionalFormatting>
  <conditionalFormatting sqref="P19:P21">
    <cfRule type="cellIs" dxfId="1143" priority="292" operator="notEqual">
      <formula>O$423</formula>
    </cfRule>
  </conditionalFormatting>
  <conditionalFormatting sqref="O19:O21">
    <cfRule type="cellIs" dxfId="1142" priority="291" operator="notEqual">
      <formula>O$358</formula>
    </cfRule>
  </conditionalFormatting>
  <conditionalFormatting sqref="O19:O21">
    <cfRule type="cellIs" dxfId="1141" priority="290" operator="notEqual">
      <formula>N$423</formula>
    </cfRule>
  </conditionalFormatting>
  <conditionalFormatting sqref="N19:N21">
    <cfRule type="cellIs" dxfId="1140" priority="289" operator="notEqual">
      <formula>N$358</formula>
    </cfRule>
  </conditionalFormatting>
  <conditionalFormatting sqref="N19:N21">
    <cfRule type="cellIs" dxfId="1139" priority="288" operator="notEqual">
      <formula>M$423</formula>
    </cfRule>
  </conditionalFormatting>
  <conditionalFormatting sqref="F19:F21">
    <cfRule type="cellIs" dxfId="1138" priority="286" operator="notEqual">
      <formula>F$358</formula>
    </cfRule>
  </conditionalFormatting>
  <conditionalFormatting sqref="F19:F21">
    <cfRule type="cellIs" dxfId="1137" priority="287" operator="notEqual">
      <formula>E$423</formula>
    </cfRule>
  </conditionalFormatting>
  <conditionalFormatting sqref="N96:P99">
    <cfRule type="cellIs" dxfId="1136" priority="284" operator="notEqual">
      <formula>N$358</formula>
    </cfRule>
  </conditionalFormatting>
  <conditionalFormatting sqref="N96:P99">
    <cfRule type="cellIs" dxfId="1135" priority="285" operator="notEqual">
      <formula>M$423</formula>
    </cfRule>
  </conditionalFormatting>
  <conditionalFormatting sqref="K96:L99">
    <cfRule type="cellIs" dxfId="1134" priority="283" operator="notEqual">
      <formula>K$360</formula>
    </cfRule>
  </conditionalFormatting>
  <conditionalFormatting sqref="N77:P79">
    <cfRule type="cellIs" dxfId="1133" priority="278" operator="notEqual">
      <formula>N$358</formula>
    </cfRule>
  </conditionalFormatting>
  <conditionalFormatting sqref="N77:P79">
    <cfRule type="cellIs" dxfId="1132" priority="279" operator="notEqual">
      <formula>M$423</formula>
    </cfRule>
  </conditionalFormatting>
  <conditionalFormatting sqref="K77:L79">
    <cfRule type="cellIs" dxfId="1131" priority="277" operator="notEqual">
      <formula>K$360</formula>
    </cfRule>
  </conditionalFormatting>
  <conditionalFormatting sqref="N81:P83">
    <cfRule type="cellIs" dxfId="1130" priority="275" operator="notEqual">
      <formula>N$358</formula>
    </cfRule>
  </conditionalFormatting>
  <conditionalFormatting sqref="N81:P83">
    <cfRule type="cellIs" dxfId="1129" priority="276" operator="notEqual">
      <formula>M$423</formula>
    </cfRule>
  </conditionalFormatting>
  <conditionalFormatting sqref="K81:L83">
    <cfRule type="cellIs" dxfId="1128" priority="274" operator="notEqual">
      <formula>K$360</formula>
    </cfRule>
  </conditionalFormatting>
  <conditionalFormatting sqref="N85:P87">
    <cfRule type="cellIs" dxfId="1127" priority="272" operator="notEqual">
      <formula>N$358</formula>
    </cfRule>
  </conditionalFormatting>
  <conditionalFormatting sqref="N85:P87">
    <cfRule type="cellIs" dxfId="1126" priority="273" operator="notEqual">
      <formula>M$423</formula>
    </cfRule>
  </conditionalFormatting>
  <conditionalFormatting sqref="K85:L87">
    <cfRule type="cellIs" dxfId="1125" priority="271" operator="notEqual">
      <formula>K$360</formula>
    </cfRule>
  </conditionalFormatting>
  <conditionalFormatting sqref="N105:P107">
    <cfRule type="cellIs" dxfId="1124" priority="269" operator="notEqual">
      <formula>N$358</formula>
    </cfRule>
  </conditionalFormatting>
  <conditionalFormatting sqref="N105:P107">
    <cfRule type="cellIs" dxfId="1123" priority="270" operator="notEqual">
      <formula>M$423</formula>
    </cfRule>
  </conditionalFormatting>
  <conditionalFormatting sqref="K105:L107">
    <cfRule type="cellIs" dxfId="1122" priority="268" operator="notEqual">
      <formula>K$360</formula>
    </cfRule>
  </conditionalFormatting>
  <conditionalFormatting sqref="N109:P111">
    <cfRule type="cellIs" dxfId="1121" priority="266" operator="notEqual">
      <formula>N$358</formula>
    </cfRule>
  </conditionalFormatting>
  <conditionalFormatting sqref="N109:P111">
    <cfRule type="cellIs" dxfId="1120" priority="267" operator="notEqual">
      <formula>M$423</formula>
    </cfRule>
  </conditionalFormatting>
  <conditionalFormatting sqref="K109:L111">
    <cfRule type="cellIs" dxfId="1119" priority="265" operator="notEqual">
      <formula>K$360</formula>
    </cfRule>
  </conditionalFormatting>
  <conditionalFormatting sqref="N113:P115">
    <cfRule type="cellIs" dxfId="1118" priority="263" operator="notEqual">
      <formula>N$358</formula>
    </cfRule>
  </conditionalFormatting>
  <conditionalFormatting sqref="N113:P115">
    <cfRule type="cellIs" dxfId="1117" priority="264" operator="notEqual">
      <formula>M$423</formula>
    </cfRule>
  </conditionalFormatting>
  <conditionalFormatting sqref="K113:L115">
    <cfRule type="cellIs" dxfId="1116" priority="262" operator="notEqual">
      <formula>K$360</formula>
    </cfRule>
  </conditionalFormatting>
  <conditionalFormatting sqref="N117:P119">
    <cfRule type="cellIs" dxfId="1115" priority="260" operator="notEqual">
      <formula>N$358</formula>
    </cfRule>
  </conditionalFormatting>
  <conditionalFormatting sqref="N117:P119">
    <cfRule type="cellIs" dxfId="1114" priority="261" operator="notEqual">
      <formula>M$423</formula>
    </cfRule>
  </conditionalFormatting>
  <conditionalFormatting sqref="K117:L119">
    <cfRule type="cellIs" dxfId="1113" priority="259" operator="notEqual">
      <formula>K$360</formula>
    </cfRule>
  </conditionalFormatting>
  <conditionalFormatting sqref="N121:P123">
    <cfRule type="cellIs" dxfId="1112" priority="257" operator="notEqual">
      <formula>N$358</formula>
    </cfRule>
  </conditionalFormatting>
  <conditionalFormatting sqref="N121:P123">
    <cfRule type="cellIs" dxfId="1111" priority="258" operator="notEqual">
      <formula>M$423</formula>
    </cfRule>
  </conditionalFormatting>
  <conditionalFormatting sqref="K121:L123">
    <cfRule type="cellIs" dxfId="1110" priority="256" operator="notEqual">
      <formula>K$360</formula>
    </cfRule>
  </conditionalFormatting>
  <conditionalFormatting sqref="N125:P127">
    <cfRule type="cellIs" dxfId="1109" priority="254" operator="notEqual">
      <formula>N$358</formula>
    </cfRule>
  </conditionalFormatting>
  <conditionalFormatting sqref="N125:P127">
    <cfRule type="cellIs" dxfId="1108" priority="255" operator="notEqual">
      <formula>M$423</formula>
    </cfRule>
  </conditionalFormatting>
  <conditionalFormatting sqref="K125:L127">
    <cfRule type="cellIs" dxfId="1107" priority="253" operator="notEqual">
      <formula>K$360</formula>
    </cfRule>
  </conditionalFormatting>
  <conditionalFormatting sqref="N129:P131">
    <cfRule type="cellIs" dxfId="1106" priority="251" operator="notEqual">
      <formula>N$358</formula>
    </cfRule>
  </conditionalFormatting>
  <conditionalFormatting sqref="N129:P131">
    <cfRule type="cellIs" dxfId="1105" priority="252" operator="notEqual">
      <formula>M$423</formula>
    </cfRule>
  </conditionalFormatting>
  <conditionalFormatting sqref="K129:L131">
    <cfRule type="cellIs" dxfId="1104" priority="250" operator="notEqual">
      <formula>K$360</formula>
    </cfRule>
  </conditionalFormatting>
  <conditionalFormatting sqref="N133:P135">
    <cfRule type="cellIs" dxfId="1103" priority="248" operator="notEqual">
      <formula>N$358</formula>
    </cfRule>
  </conditionalFormatting>
  <conditionalFormatting sqref="N133:P135">
    <cfRule type="cellIs" dxfId="1102" priority="249" operator="notEqual">
      <formula>M$423</formula>
    </cfRule>
  </conditionalFormatting>
  <conditionalFormatting sqref="K133:L135">
    <cfRule type="cellIs" dxfId="1101" priority="247" operator="notEqual">
      <formula>K$360</formula>
    </cfRule>
  </conditionalFormatting>
  <conditionalFormatting sqref="N137:P139">
    <cfRule type="cellIs" dxfId="1100" priority="245" operator="notEqual">
      <formula>N$358</formula>
    </cfRule>
  </conditionalFormatting>
  <conditionalFormatting sqref="N137:P139">
    <cfRule type="cellIs" dxfId="1099" priority="246" operator="notEqual">
      <formula>M$423</formula>
    </cfRule>
  </conditionalFormatting>
  <conditionalFormatting sqref="K137:L139">
    <cfRule type="cellIs" dxfId="1098" priority="244" operator="notEqual">
      <formula>K$360</formula>
    </cfRule>
  </conditionalFormatting>
  <conditionalFormatting sqref="N141:P143">
    <cfRule type="cellIs" dxfId="1097" priority="242" operator="notEqual">
      <formula>N$358</formula>
    </cfRule>
  </conditionalFormatting>
  <conditionalFormatting sqref="N141:P143">
    <cfRule type="cellIs" dxfId="1096" priority="243" operator="notEqual">
      <formula>M$423</formula>
    </cfRule>
  </conditionalFormatting>
  <conditionalFormatting sqref="K141:L143">
    <cfRule type="cellIs" dxfId="1095" priority="241" operator="notEqual">
      <formula>K$360</formula>
    </cfRule>
  </conditionalFormatting>
  <conditionalFormatting sqref="N145:P147">
    <cfRule type="cellIs" dxfId="1094" priority="239" operator="notEqual">
      <formula>N$358</formula>
    </cfRule>
  </conditionalFormatting>
  <conditionalFormatting sqref="N145:P147">
    <cfRule type="cellIs" dxfId="1093" priority="240" operator="notEqual">
      <formula>M$423</formula>
    </cfRule>
  </conditionalFormatting>
  <conditionalFormatting sqref="K145:L147">
    <cfRule type="cellIs" dxfId="1092" priority="238" operator="notEqual">
      <formula>K$360</formula>
    </cfRule>
  </conditionalFormatting>
  <conditionalFormatting sqref="N149:P151">
    <cfRule type="cellIs" dxfId="1091" priority="236" operator="notEqual">
      <formula>N$358</formula>
    </cfRule>
  </conditionalFormatting>
  <conditionalFormatting sqref="N149:P151">
    <cfRule type="cellIs" dxfId="1090" priority="237" operator="notEqual">
      <formula>M$423</formula>
    </cfRule>
  </conditionalFormatting>
  <conditionalFormatting sqref="K149:L151">
    <cfRule type="cellIs" dxfId="1089" priority="235" operator="notEqual">
      <formula>K$360</formula>
    </cfRule>
  </conditionalFormatting>
  <conditionalFormatting sqref="N153:P155">
    <cfRule type="cellIs" dxfId="1088" priority="233" operator="notEqual">
      <formula>N$358</formula>
    </cfRule>
  </conditionalFormatting>
  <conditionalFormatting sqref="N153:P155">
    <cfRule type="cellIs" dxfId="1087" priority="234" operator="notEqual">
      <formula>M$423</formula>
    </cfRule>
  </conditionalFormatting>
  <conditionalFormatting sqref="K153:L155">
    <cfRule type="cellIs" dxfId="1086" priority="232" operator="notEqual">
      <formula>K$360</formula>
    </cfRule>
  </conditionalFormatting>
  <conditionalFormatting sqref="N157:P159">
    <cfRule type="cellIs" dxfId="1085" priority="230" operator="notEqual">
      <formula>N$358</formula>
    </cfRule>
  </conditionalFormatting>
  <conditionalFormatting sqref="N157:P159">
    <cfRule type="cellIs" dxfId="1084" priority="231" operator="notEqual">
      <formula>M$423</formula>
    </cfRule>
  </conditionalFormatting>
  <conditionalFormatting sqref="K157:L159">
    <cfRule type="cellIs" dxfId="1083" priority="229" operator="notEqual">
      <formula>K$360</formula>
    </cfRule>
  </conditionalFormatting>
  <conditionalFormatting sqref="N161:P163">
    <cfRule type="cellIs" dxfId="1082" priority="227" operator="notEqual">
      <formula>N$358</formula>
    </cfRule>
  </conditionalFormatting>
  <conditionalFormatting sqref="N161:P163">
    <cfRule type="cellIs" dxfId="1081" priority="228" operator="notEqual">
      <formula>M$423</formula>
    </cfRule>
  </conditionalFormatting>
  <conditionalFormatting sqref="K161:L163">
    <cfRule type="cellIs" dxfId="1080" priority="226" operator="notEqual">
      <formula>K$360</formula>
    </cfRule>
  </conditionalFormatting>
  <conditionalFormatting sqref="N165:P167">
    <cfRule type="cellIs" dxfId="1079" priority="224" operator="notEqual">
      <formula>N$358</formula>
    </cfRule>
  </conditionalFormatting>
  <conditionalFormatting sqref="N165:P167">
    <cfRule type="cellIs" dxfId="1078" priority="225" operator="notEqual">
      <formula>M$423</formula>
    </cfRule>
  </conditionalFormatting>
  <conditionalFormatting sqref="K165:L167">
    <cfRule type="cellIs" dxfId="1077" priority="223" operator="notEqual">
      <formula>K$360</formula>
    </cfRule>
  </conditionalFormatting>
  <conditionalFormatting sqref="N169:P171">
    <cfRule type="cellIs" dxfId="1076" priority="221" operator="notEqual">
      <formula>N$358</formula>
    </cfRule>
  </conditionalFormatting>
  <conditionalFormatting sqref="N169:P171">
    <cfRule type="cellIs" dxfId="1075" priority="222" operator="notEqual">
      <formula>M$423</formula>
    </cfRule>
  </conditionalFormatting>
  <conditionalFormatting sqref="K169:L171">
    <cfRule type="cellIs" dxfId="1074" priority="220" operator="notEqual">
      <formula>K$360</formula>
    </cfRule>
  </conditionalFormatting>
  <conditionalFormatting sqref="N173:P175">
    <cfRule type="cellIs" dxfId="1073" priority="218" operator="notEqual">
      <formula>N$358</formula>
    </cfRule>
  </conditionalFormatting>
  <conditionalFormatting sqref="N173:P175">
    <cfRule type="cellIs" dxfId="1072" priority="219" operator="notEqual">
      <formula>M$423</formula>
    </cfRule>
  </conditionalFormatting>
  <conditionalFormatting sqref="K173:L175">
    <cfRule type="cellIs" dxfId="1071" priority="217" operator="notEqual">
      <formula>K$360</formula>
    </cfRule>
  </conditionalFormatting>
  <conditionalFormatting sqref="N177:P179">
    <cfRule type="cellIs" dxfId="1070" priority="215" operator="notEqual">
      <formula>N$358</formula>
    </cfRule>
  </conditionalFormatting>
  <conditionalFormatting sqref="N177:P179">
    <cfRule type="cellIs" dxfId="1069" priority="216" operator="notEqual">
      <formula>M$423</formula>
    </cfRule>
  </conditionalFormatting>
  <conditionalFormatting sqref="K177:L179">
    <cfRule type="cellIs" dxfId="1068" priority="214" operator="notEqual">
      <formula>K$360</formula>
    </cfRule>
  </conditionalFormatting>
  <conditionalFormatting sqref="N181:P183">
    <cfRule type="cellIs" dxfId="1067" priority="212" operator="notEqual">
      <formula>N$358</formula>
    </cfRule>
  </conditionalFormatting>
  <conditionalFormatting sqref="N181:P183">
    <cfRule type="cellIs" dxfId="1066" priority="213" operator="notEqual">
      <formula>M$423</formula>
    </cfRule>
  </conditionalFormatting>
  <conditionalFormatting sqref="K181:L183">
    <cfRule type="cellIs" dxfId="1065" priority="211" operator="notEqual">
      <formula>K$360</formula>
    </cfRule>
  </conditionalFormatting>
  <conditionalFormatting sqref="N320:P322">
    <cfRule type="cellIs" dxfId="1064" priority="209" operator="notEqual">
      <formula>N$358</formula>
    </cfRule>
  </conditionalFormatting>
  <conditionalFormatting sqref="N320:P322">
    <cfRule type="cellIs" dxfId="1063" priority="210" operator="notEqual">
      <formula>M$423</formula>
    </cfRule>
  </conditionalFormatting>
  <conditionalFormatting sqref="K320:L322">
    <cfRule type="cellIs" dxfId="1062" priority="208" operator="notEqual">
      <formula>K$360</formula>
    </cfRule>
  </conditionalFormatting>
  <conditionalFormatting sqref="N331:P333">
    <cfRule type="cellIs" dxfId="1061" priority="206" operator="notEqual">
      <formula>N$358</formula>
    </cfRule>
  </conditionalFormatting>
  <conditionalFormatting sqref="N331:P333">
    <cfRule type="cellIs" dxfId="1060" priority="207" operator="notEqual">
      <formula>M$423</formula>
    </cfRule>
  </conditionalFormatting>
  <conditionalFormatting sqref="K331:L333">
    <cfRule type="cellIs" dxfId="1059" priority="205" operator="notEqual">
      <formula>K$360</formula>
    </cfRule>
  </conditionalFormatting>
  <conditionalFormatting sqref="N185:P187">
    <cfRule type="cellIs" dxfId="1058" priority="203" operator="notEqual">
      <formula>N$358</formula>
    </cfRule>
  </conditionalFormatting>
  <conditionalFormatting sqref="N185:P187">
    <cfRule type="cellIs" dxfId="1057" priority="204" operator="notEqual">
      <formula>M$423</formula>
    </cfRule>
  </conditionalFormatting>
  <conditionalFormatting sqref="K185:L187">
    <cfRule type="cellIs" dxfId="1056" priority="202" operator="notEqual">
      <formula>K$360</formula>
    </cfRule>
  </conditionalFormatting>
  <conditionalFormatting sqref="N189:P191">
    <cfRule type="cellIs" dxfId="1055" priority="200" operator="notEqual">
      <formula>N$358</formula>
    </cfRule>
  </conditionalFormatting>
  <conditionalFormatting sqref="N189:P191">
    <cfRule type="cellIs" dxfId="1054" priority="201" operator="notEqual">
      <formula>M$423</formula>
    </cfRule>
  </conditionalFormatting>
  <conditionalFormatting sqref="K189:L191">
    <cfRule type="cellIs" dxfId="1053" priority="199" operator="notEqual">
      <formula>K$360</formula>
    </cfRule>
  </conditionalFormatting>
  <conditionalFormatting sqref="N193:P195">
    <cfRule type="cellIs" dxfId="1052" priority="197" operator="notEqual">
      <formula>N$358</formula>
    </cfRule>
  </conditionalFormatting>
  <conditionalFormatting sqref="N193:P195">
    <cfRule type="cellIs" dxfId="1051" priority="198" operator="notEqual">
      <formula>M$423</formula>
    </cfRule>
  </conditionalFormatting>
  <conditionalFormatting sqref="K193:L195">
    <cfRule type="cellIs" dxfId="1050" priority="196" operator="notEqual">
      <formula>K$360</formula>
    </cfRule>
  </conditionalFormatting>
  <conditionalFormatting sqref="N197:P199">
    <cfRule type="cellIs" dxfId="1049" priority="194" operator="notEqual">
      <formula>N$358</formula>
    </cfRule>
  </conditionalFormatting>
  <conditionalFormatting sqref="N197:P199">
    <cfRule type="cellIs" dxfId="1048" priority="195" operator="notEqual">
      <formula>M$423</formula>
    </cfRule>
  </conditionalFormatting>
  <conditionalFormatting sqref="K197:L199">
    <cfRule type="cellIs" dxfId="1047" priority="193" operator="notEqual">
      <formula>K$360</formula>
    </cfRule>
  </conditionalFormatting>
  <conditionalFormatting sqref="N201:P203">
    <cfRule type="cellIs" dxfId="1046" priority="191" operator="notEqual">
      <formula>N$358</formula>
    </cfRule>
  </conditionalFormatting>
  <conditionalFormatting sqref="N201:P203">
    <cfRule type="cellIs" dxfId="1045" priority="192" operator="notEqual">
      <formula>M$423</formula>
    </cfRule>
  </conditionalFormatting>
  <conditionalFormatting sqref="K201:L203">
    <cfRule type="cellIs" dxfId="1044" priority="190" operator="notEqual">
      <formula>K$360</formula>
    </cfRule>
  </conditionalFormatting>
  <conditionalFormatting sqref="N205:P207">
    <cfRule type="cellIs" dxfId="1043" priority="188" operator="notEqual">
      <formula>N$358</formula>
    </cfRule>
  </conditionalFormatting>
  <conditionalFormatting sqref="N205:P207">
    <cfRule type="cellIs" dxfId="1042" priority="189" operator="notEqual">
      <formula>M$423</formula>
    </cfRule>
  </conditionalFormatting>
  <conditionalFormatting sqref="K205:L207">
    <cfRule type="cellIs" dxfId="1041" priority="187" operator="notEqual">
      <formula>K$360</formula>
    </cfRule>
  </conditionalFormatting>
  <conditionalFormatting sqref="N209:P211">
    <cfRule type="cellIs" dxfId="1040" priority="185" operator="notEqual">
      <formula>N$358</formula>
    </cfRule>
  </conditionalFormatting>
  <conditionalFormatting sqref="N209:P211">
    <cfRule type="cellIs" dxfId="1039" priority="186" operator="notEqual">
      <formula>M$423</formula>
    </cfRule>
  </conditionalFormatting>
  <conditionalFormatting sqref="K209:L211">
    <cfRule type="cellIs" dxfId="1038" priority="184" operator="notEqual">
      <formula>K$360</formula>
    </cfRule>
  </conditionalFormatting>
  <conditionalFormatting sqref="N213:P215">
    <cfRule type="cellIs" dxfId="1037" priority="182" operator="notEqual">
      <formula>N$358</formula>
    </cfRule>
  </conditionalFormatting>
  <conditionalFormatting sqref="N213:P215">
    <cfRule type="cellIs" dxfId="1036" priority="183" operator="notEqual">
      <formula>M$423</formula>
    </cfRule>
  </conditionalFormatting>
  <conditionalFormatting sqref="K213:L215">
    <cfRule type="cellIs" dxfId="1035" priority="181" operator="notEqual">
      <formula>K$360</formula>
    </cfRule>
  </conditionalFormatting>
  <conditionalFormatting sqref="N217:P219">
    <cfRule type="cellIs" dxfId="1034" priority="179" operator="notEqual">
      <formula>N$358</formula>
    </cfRule>
  </conditionalFormatting>
  <conditionalFormatting sqref="N217:P219">
    <cfRule type="cellIs" dxfId="1033" priority="180" operator="notEqual">
      <formula>M$423</formula>
    </cfRule>
  </conditionalFormatting>
  <conditionalFormatting sqref="K217:L219">
    <cfRule type="cellIs" dxfId="1032" priority="178" operator="notEqual">
      <formula>K$360</formula>
    </cfRule>
  </conditionalFormatting>
  <conditionalFormatting sqref="N221:P223">
    <cfRule type="cellIs" dxfId="1031" priority="176" operator="notEqual">
      <formula>N$358</formula>
    </cfRule>
  </conditionalFormatting>
  <conditionalFormatting sqref="N221:P223">
    <cfRule type="cellIs" dxfId="1030" priority="177" operator="notEqual">
      <formula>M$423</formula>
    </cfRule>
  </conditionalFormatting>
  <conditionalFormatting sqref="K221:L223">
    <cfRule type="cellIs" dxfId="1029" priority="175" operator="notEqual">
      <formula>K$360</formula>
    </cfRule>
  </conditionalFormatting>
  <conditionalFormatting sqref="N225:P227">
    <cfRule type="cellIs" dxfId="1028" priority="173" operator="notEqual">
      <formula>N$358</formula>
    </cfRule>
  </conditionalFormatting>
  <conditionalFormatting sqref="N225:P227">
    <cfRule type="cellIs" dxfId="1027" priority="174" operator="notEqual">
      <formula>M$423</formula>
    </cfRule>
  </conditionalFormatting>
  <conditionalFormatting sqref="K225:L227">
    <cfRule type="cellIs" dxfId="1026" priority="172" operator="notEqual">
      <formula>K$360</formula>
    </cfRule>
  </conditionalFormatting>
  <conditionalFormatting sqref="N229:P231">
    <cfRule type="cellIs" dxfId="1025" priority="170" operator="notEqual">
      <formula>N$358</formula>
    </cfRule>
  </conditionalFormatting>
  <conditionalFormatting sqref="N229:P231">
    <cfRule type="cellIs" dxfId="1024" priority="171" operator="notEqual">
      <formula>M$423</formula>
    </cfRule>
  </conditionalFormatting>
  <conditionalFormatting sqref="K229:L231">
    <cfRule type="cellIs" dxfId="1023" priority="169" operator="notEqual">
      <formula>K$360</formula>
    </cfRule>
  </conditionalFormatting>
  <conditionalFormatting sqref="N233:P235">
    <cfRule type="cellIs" dxfId="1022" priority="167" operator="notEqual">
      <formula>N$358</formula>
    </cfRule>
  </conditionalFormatting>
  <conditionalFormatting sqref="N233:P235">
    <cfRule type="cellIs" dxfId="1021" priority="168" operator="notEqual">
      <formula>M$423</formula>
    </cfRule>
  </conditionalFormatting>
  <conditionalFormatting sqref="K233:L235">
    <cfRule type="cellIs" dxfId="1020" priority="166" operator="notEqual">
      <formula>K$360</formula>
    </cfRule>
  </conditionalFormatting>
  <conditionalFormatting sqref="N237:P239">
    <cfRule type="cellIs" dxfId="1019" priority="164" operator="notEqual">
      <formula>N$358</formula>
    </cfRule>
  </conditionalFormatting>
  <conditionalFormatting sqref="N237:P239">
    <cfRule type="cellIs" dxfId="1018" priority="165" operator="notEqual">
      <formula>M$423</formula>
    </cfRule>
  </conditionalFormatting>
  <conditionalFormatting sqref="K237:L239">
    <cfRule type="cellIs" dxfId="1017" priority="163" operator="notEqual">
      <formula>K$360</formula>
    </cfRule>
  </conditionalFormatting>
  <conditionalFormatting sqref="N241:P243">
    <cfRule type="cellIs" dxfId="1016" priority="161" operator="notEqual">
      <formula>N$358</formula>
    </cfRule>
  </conditionalFormatting>
  <conditionalFormatting sqref="N241:P243">
    <cfRule type="cellIs" dxfId="1015" priority="162" operator="notEqual">
      <formula>M$423</formula>
    </cfRule>
  </conditionalFormatting>
  <conditionalFormatting sqref="K241:L243">
    <cfRule type="cellIs" dxfId="1014" priority="160" operator="notEqual">
      <formula>K$360</formula>
    </cfRule>
  </conditionalFormatting>
  <conditionalFormatting sqref="N245:P247">
    <cfRule type="cellIs" dxfId="1013" priority="158" operator="notEqual">
      <formula>N$358</formula>
    </cfRule>
  </conditionalFormatting>
  <conditionalFormatting sqref="N245:P247">
    <cfRule type="cellIs" dxfId="1012" priority="159" operator="notEqual">
      <formula>M$423</formula>
    </cfRule>
  </conditionalFormatting>
  <conditionalFormatting sqref="K245:L247">
    <cfRule type="cellIs" dxfId="1011" priority="157" operator="notEqual">
      <formula>K$360</formula>
    </cfRule>
  </conditionalFormatting>
  <conditionalFormatting sqref="N249:P251">
    <cfRule type="cellIs" dxfId="1010" priority="155" operator="notEqual">
      <formula>N$358</formula>
    </cfRule>
  </conditionalFormatting>
  <conditionalFormatting sqref="N249:P251">
    <cfRule type="cellIs" dxfId="1009" priority="156" operator="notEqual">
      <formula>M$423</formula>
    </cfRule>
  </conditionalFormatting>
  <conditionalFormatting sqref="K249:L251">
    <cfRule type="cellIs" dxfId="1008" priority="154" operator="notEqual">
      <formula>K$360</formula>
    </cfRule>
  </conditionalFormatting>
  <conditionalFormatting sqref="N253:P255">
    <cfRule type="cellIs" dxfId="1007" priority="152" operator="notEqual">
      <formula>N$358</formula>
    </cfRule>
  </conditionalFormatting>
  <conditionalFormatting sqref="N253:P255">
    <cfRule type="cellIs" dxfId="1006" priority="153" operator="notEqual">
      <formula>M$423</formula>
    </cfRule>
  </conditionalFormatting>
  <conditionalFormatting sqref="K253:L255">
    <cfRule type="cellIs" dxfId="1005" priority="151" operator="notEqual">
      <formula>K$360</formula>
    </cfRule>
  </conditionalFormatting>
  <conditionalFormatting sqref="N257:P259">
    <cfRule type="cellIs" dxfId="1004" priority="149" operator="notEqual">
      <formula>N$358</formula>
    </cfRule>
  </conditionalFormatting>
  <conditionalFormatting sqref="N257:P259">
    <cfRule type="cellIs" dxfId="1003" priority="150" operator="notEqual">
      <formula>M$423</formula>
    </cfRule>
  </conditionalFormatting>
  <conditionalFormatting sqref="K257:L259">
    <cfRule type="cellIs" dxfId="1002" priority="148" operator="notEqual">
      <formula>K$360</formula>
    </cfRule>
  </conditionalFormatting>
  <conditionalFormatting sqref="N261:P263">
    <cfRule type="cellIs" dxfId="1001" priority="146" operator="notEqual">
      <formula>N$358</formula>
    </cfRule>
  </conditionalFormatting>
  <conditionalFormatting sqref="N261:P263">
    <cfRule type="cellIs" dxfId="1000" priority="147" operator="notEqual">
      <formula>M$423</formula>
    </cfRule>
  </conditionalFormatting>
  <conditionalFormatting sqref="K261:L263">
    <cfRule type="cellIs" dxfId="999" priority="145" operator="notEqual">
      <formula>K$360</formula>
    </cfRule>
  </conditionalFormatting>
  <conditionalFormatting sqref="N265:P267">
    <cfRule type="cellIs" dxfId="998" priority="143" operator="notEqual">
      <formula>N$358</formula>
    </cfRule>
  </conditionalFormatting>
  <conditionalFormatting sqref="N265:P267">
    <cfRule type="cellIs" dxfId="997" priority="144" operator="notEqual">
      <formula>M$423</formula>
    </cfRule>
  </conditionalFormatting>
  <conditionalFormatting sqref="K265:L267">
    <cfRule type="cellIs" dxfId="996" priority="142" operator="notEqual">
      <formula>K$360</formula>
    </cfRule>
  </conditionalFormatting>
  <conditionalFormatting sqref="N269:P271">
    <cfRule type="cellIs" dxfId="995" priority="140" operator="notEqual">
      <formula>N$358</formula>
    </cfRule>
  </conditionalFormatting>
  <conditionalFormatting sqref="N269:P271">
    <cfRule type="cellIs" dxfId="994" priority="141" operator="notEqual">
      <formula>M$423</formula>
    </cfRule>
  </conditionalFormatting>
  <conditionalFormatting sqref="K269:L271">
    <cfRule type="cellIs" dxfId="993" priority="139" operator="notEqual">
      <formula>K$360</formula>
    </cfRule>
  </conditionalFormatting>
  <conditionalFormatting sqref="N273:P275">
    <cfRule type="cellIs" dxfId="992" priority="137" operator="notEqual">
      <formula>N$358</formula>
    </cfRule>
  </conditionalFormatting>
  <conditionalFormatting sqref="N273:P275">
    <cfRule type="cellIs" dxfId="991" priority="138" operator="notEqual">
      <formula>M$423</formula>
    </cfRule>
  </conditionalFormatting>
  <conditionalFormatting sqref="K273:L275">
    <cfRule type="cellIs" dxfId="990" priority="136" operator="notEqual">
      <formula>K$360</formula>
    </cfRule>
  </conditionalFormatting>
  <conditionalFormatting sqref="N277:P279">
    <cfRule type="cellIs" dxfId="989" priority="134" operator="notEqual">
      <formula>N$358</formula>
    </cfRule>
  </conditionalFormatting>
  <conditionalFormatting sqref="N277:P279">
    <cfRule type="cellIs" dxfId="988" priority="135" operator="notEqual">
      <formula>M$423</formula>
    </cfRule>
  </conditionalFormatting>
  <conditionalFormatting sqref="K277:L279">
    <cfRule type="cellIs" dxfId="987" priority="133" operator="notEqual">
      <formula>K$360</formula>
    </cfRule>
  </conditionalFormatting>
  <conditionalFormatting sqref="N281:P283">
    <cfRule type="cellIs" dxfId="986" priority="131" operator="notEqual">
      <formula>N$358</formula>
    </cfRule>
  </conditionalFormatting>
  <conditionalFormatting sqref="N281:P283">
    <cfRule type="cellIs" dxfId="985" priority="132" operator="notEqual">
      <formula>M$423</formula>
    </cfRule>
  </conditionalFormatting>
  <conditionalFormatting sqref="K281:L283">
    <cfRule type="cellIs" dxfId="984" priority="130" operator="notEqual">
      <formula>K$360</formula>
    </cfRule>
  </conditionalFormatting>
  <conditionalFormatting sqref="N285:P287">
    <cfRule type="cellIs" dxfId="983" priority="128" operator="notEqual">
      <formula>N$358</formula>
    </cfRule>
  </conditionalFormatting>
  <conditionalFormatting sqref="N285:P287">
    <cfRule type="cellIs" dxfId="982" priority="129" operator="notEqual">
      <formula>M$423</formula>
    </cfRule>
  </conditionalFormatting>
  <conditionalFormatting sqref="K285:L287">
    <cfRule type="cellIs" dxfId="981" priority="127" operator="notEqual">
      <formula>K$360</formula>
    </cfRule>
  </conditionalFormatting>
  <conditionalFormatting sqref="N289:P291">
    <cfRule type="cellIs" dxfId="980" priority="125" operator="notEqual">
      <formula>N$358</formula>
    </cfRule>
  </conditionalFormatting>
  <conditionalFormatting sqref="N289:P291">
    <cfRule type="cellIs" dxfId="979" priority="126" operator="notEqual">
      <formula>M$423</formula>
    </cfRule>
  </conditionalFormatting>
  <conditionalFormatting sqref="K289:L291">
    <cfRule type="cellIs" dxfId="978" priority="124" operator="notEqual">
      <formula>K$360</formula>
    </cfRule>
  </conditionalFormatting>
  <conditionalFormatting sqref="N293:P295">
    <cfRule type="cellIs" dxfId="977" priority="122" operator="notEqual">
      <formula>N$358</formula>
    </cfRule>
  </conditionalFormatting>
  <conditionalFormatting sqref="N293:P295">
    <cfRule type="cellIs" dxfId="976" priority="123" operator="notEqual">
      <formula>M$423</formula>
    </cfRule>
  </conditionalFormatting>
  <conditionalFormatting sqref="K293:L295">
    <cfRule type="cellIs" dxfId="975" priority="121" operator="notEqual">
      <formula>K$360</formula>
    </cfRule>
  </conditionalFormatting>
  <conditionalFormatting sqref="N297:P299">
    <cfRule type="cellIs" dxfId="974" priority="119" operator="notEqual">
      <formula>N$358</formula>
    </cfRule>
  </conditionalFormatting>
  <conditionalFormatting sqref="N297:P299">
    <cfRule type="cellIs" dxfId="973" priority="120" operator="notEqual">
      <formula>M$423</formula>
    </cfRule>
  </conditionalFormatting>
  <conditionalFormatting sqref="K297:L299">
    <cfRule type="cellIs" dxfId="972" priority="118" operator="notEqual">
      <formula>K$360</formula>
    </cfRule>
  </conditionalFormatting>
  <conditionalFormatting sqref="N301:P302">
    <cfRule type="cellIs" dxfId="971" priority="116" operator="notEqual">
      <formula>N$358</formula>
    </cfRule>
  </conditionalFormatting>
  <conditionalFormatting sqref="N301:P302">
    <cfRule type="cellIs" dxfId="970" priority="117" operator="notEqual">
      <formula>M$423</formula>
    </cfRule>
  </conditionalFormatting>
  <conditionalFormatting sqref="K301:L302">
    <cfRule type="cellIs" dxfId="969" priority="115" operator="notEqual">
      <formula>K$360</formula>
    </cfRule>
  </conditionalFormatting>
  <conditionalFormatting sqref="F303:J303">
    <cfRule type="cellIs" dxfId="968" priority="113" operator="notEqual">
      <formula>F$358</formula>
    </cfRule>
  </conditionalFormatting>
  <conditionalFormatting sqref="F303:J303">
    <cfRule type="cellIs" dxfId="967" priority="114" operator="notEqual">
      <formula>E$423</formula>
    </cfRule>
  </conditionalFormatting>
  <conditionalFormatting sqref="N303:P303">
    <cfRule type="cellIs" dxfId="966" priority="111" operator="notEqual">
      <formula>N$358</formula>
    </cfRule>
  </conditionalFormatting>
  <conditionalFormatting sqref="N303:P303">
    <cfRule type="cellIs" dxfId="965" priority="112" operator="notEqual">
      <formula>M$423</formula>
    </cfRule>
  </conditionalFormatting>
  <conditionalFormatting sqref="K303:L303">
    <cfRule type="cellIs" dxfId="964" priority="110" operator="notEqual">
      <formula>K$360</formula>
    </cfRule>
  </conditionalFormatting>
  <conditionalFormatting sqref="N305:P307">
    <cfRule type="cellIs" dxfId="963" priority="108" operator="notEqual">
      <formula>N$358</formula>
    </cfRule>
  </conditionalFormatting>
  <conditionalFormatting sqref="N305:P307">
    <cfRule type="cellIs" dxfId="962" priority="109" operator="notEqual">
      <formula>M$423</formula>
    </cfRule>
  </conditionalFormatting>
  <conditionalFormatting sqref="K305:L307">
    <cfRule type="cellIs" dxfId="961" priority="107" operator="notEqual">
      <formula>K$360</formula>
    </cfRule>
  </conditionalFormatting>
  <conditionalFormatting sqref="N309:P311">
    <cfRule type="cellIs" dxfId="960" priority="105" operator="notEqual">
      <formula>N$358</formula>
    </cfRule>
  </conditionalFormatting>
  <conditionalFormatting sqref="N309:P311">
    <cfRule type="cellIs" dxfId="959" priority="106" operator="notEqual">
      <formula>M$423</formula>
    </cfRule>
  </conditionalFormatting>
  <conditionalFormatting sqref="K309:L311">
    <cfRule type="cellIs" dxfId="958" priority="104" operator="notEqual">
      <formula>K$360</formula>
    </cfRule>
  </conditionalFormatting>
  <conditionalFormatting sqref="F338:J344 F346:J346 N346:P346 N354:P362 F354:J362 F348:J352 N348:P352 F364:J374 N364:P374 F376:F386 G376:J385 N376:N386 O376:P385">
    <cfRule type="cellIs" dxfId="957" priority="102" operator="notEqual">
      <formula>F$30</formula>
    </cfRule>
  </conditionalFormatting>
  <conditionalFormatting sqref="G338:J344 F346:J346 N346:P346 N354:P362 F354:J362 F348:J352 N348:P352 N364:P374 F364:J375 G376:J385 F376:F386 N376:N386 O376:P385">
    <cfRule type="cellIs" dxfId="956" priority="103" operator="notEqual">
      <formula>E$99</formula>
    </cfRule>
  </conditionalFormatting>
  <conditionalFormatting sqref="F338:F344">
    <cfRule type="cellIs" dxfId="955" priority="101" operator="notEqual">
      <formula>E$99</formula>
    </cfRule>
  </conditionalFormatting>
  <conditionalFormatting sqref="K338:L344 K346:L346 K354:L362 K348:L352 K364:L374 L376:L386 K376:K385">
    <cfRule type="cellIs" dxfId="954" priority="100" operator="notEqual">
      <formula>K$33</formula>
    </cfRule>
  </conditionalFormatting>
  <conditionalFormatting sqref="N338:N344">
    <cfRule type="cellIs" dxfId="953" priority="99" operator="notEqual">
      <formula>N$30</formula>
    </cfRule>
  </conditionalFormatting>
  <conditionalFormatting sqref="N338:N344">
    <cfRule type="cellIs" dxfId="952" priority="98" operator="notEqual">
      <formula>M$99</formula>
    </cfRule>
  </conditionalFormatting>
  <conditionalFormatting sqref="P338:P344">
    <cfRule type="cellIs" dxfId="951" priority="97" operator="notEqual">
      <formula>P$30</formula>
    </cfRule>
  </conditionalFormatting>
  <conditionalFormatting sqref="P338:P344">
    <cfRule type="cellIs" dxfId="950" priority="96" operator="notEqual">
      <formula>O$99</formula>
    </cfRule>
  </conditionalFormatting>
  <conditionalFormatting sqref="O338:O344">
    <cfRule type="cellIs" dxfId="949" priority="95" operator="notEqual">
      <formula>O$30</formula>
    </cfRule>
  </conditionalFormatting>
  <conditionalFormatting sqref="O338:O344">
    <cfRule type="cellIs" dxfId="948" priority="94" operator="notEqual">
      <formula>N$99</formula>
    </cfRule>
  </conditionalFormatting>
  <conditionalFormatting sqref="G386:J386">
    <cfRule type="cellIs" dxfId="947" priority="92" operator="notEqual">
      <formula>G$30</formula>
    </cfRule>
  </conditionalFormatting>
  <conditionalFormatting sqref="G386:J386">
    <cfRule type="cellIs" dxfId="946" priority="93" operator="notEqual">
      <formula>F$99</formula>
    </cfRule>
  </conditionalFormatting>
  <conditionalFormatting sqref="K386">
    <cfRule type="cellIs" dxfId="945" priority="91" operator="notEqual">
      <formula>K$33</formula>
    </cfRule>
  </conditionalFormatting>
  <conditionalFormatting sqref="P386">
    <cfRule type="cellIs" dxfId="944" priority="90" operator="notEqual">
      <formula>P$30</formula>
    </cfRule>
  </conditionalFormatting>
  <conditionalFormatting sqref="P386">
    <cfRule type="cellIs" dxfId="943" priority="89" operator="notEqual">
      <formula>O$99</formula>
    </cfRule>
  </conditionalFormatting>
  <conditionalFormatting sqref="O386">
    <cfRule type="cellIs" dxfId="942" priority="88" operator="notEqual">
      <formula>O$30</formula>
    </cfRule>
  </conditionalFormatting>
  <conditionalFormatting sqref="O386">
    <cfRule type="cellIs" dxfId="941" priority="87" operator="notEqual">
      <formula>N$99</formula>
    </cfRule>
  </conditionalFormatting>
  <conditionalFormatting sqref="F347:J347">
    <cfRule type="cellIs" dxfId="940" priority="85" operator="notEqual">
      <formula>F$30</formula>
    </cfRule>
  </conditionalFormatting>
  <conditionalFormatting sqref="G347:J347">
    <cfRule type="cellIs" dxfId="939" priority="86" operator="notEqual">
      <formula>F$99</formula>
    </cfRule>
  </conditionalFormatting>
  <conditionalFormatting sqref="F347">
    <cfRule type="cellIs" dxfId="938" priority="84" operator="notEqual">
      <formula>E$99</formula>
    </cfRule>
  </conditionalFormatting>
  <conditionalFormatting sqref="K347:L347">
    <cfRule type="cellIs" dxfId="937" priority="83" operator="notEqual">
      <formula>K$33</formula>
    </cfRule>
  </conditionalFormatting>
  <conditionalFormatting sqref="N347">
    <cfRule type="cellIs" dxfId="936" priority="82" operator="notEqual">
      <formula>N$30</formula>
    </cfRule>
  </conditionalFormatting>
  <conditionalFormatting sqref="N347">
    <cfRule type="cellIs" dxfId="935" priority="81" operator="notEqual">
      <formula>M$99</formula>
    </cfRule>
  </conditionalFormatting>
  <conditionalFormatting sqref="P347">
    <cfRule type="cellIs" dxfId="934" priority="80" operator="notEqual">
      <formula>P$30</formula>
    </cfRule>
  </conditionalFormatting>
  <conditionalFormatting sqref="P347">
    <cfRule type="cellIs" dxfId="933" priority="79" operator="notEqual">
      <formula>O$99</formula>
    </cfRule>
  </conditionalFormatting>
  <conditionalFormatting sqref="O347">
    <cfRule type="cellIs" dxfId="932" priority="78" operator="notEqual">
      <formula>O$30</formula>
    </cfRule>
  </conditionalFormatting>
  <conditionalFormatting sqref="O347">
    <cfRule type="cellIs" dxfId="931" priority="77" operator="notEqual">
      <formula>N$99</formula>
    </cfRule>
  </conditionalFormatting>
  <conditionalFormatting sqref="N363:P363">
    <cfRule type="cellIs" dxfId="930" priority="76" operator="notEqual">
      <formula>#REF!</formula>
    </cfRule>
  </conditionalFormatting>
  <conditionalFormatting sqref="F363:J363">
    <cfRule type="cellIs" dxfId="929" priority="74" operator="notEqual">
      <formula>F$30</formula>
    </cfRule>
  </conditionalFormatting>
  <conditionalFormatting sqref="F363:J363">
    <cfRule type="cellIs" dxfId="928" priority="75" operator="notEqual">
      <formula>#REF!</formula>
    </cfRule>
  </conditionalFormatting>
  <conditionalFormatting sqref="K363:L363">
    <cfRule type="cellIs" dxfId="927" priority="73" operator="notEqual">
      <formula>K$33</formula>
    </cfRule>
  </conditionalFormatting>
  <conditionalFormatting sqref="N363">
    <cfRule type="cellIs" dxfId="926" priority="72" operator="notEqual">
      <formula>N$30</formula>
    </cfRule>
  </conditionalFormatting>
  <conditionalFormatting sqref="P363">
    <cfRule type="cellIs" dxfId="925" priority="71" operator="notEqual">
      <formula>P$30</formula>
    </cfRule>
  </conditionalFormatting>
  <conditionalFormatting sqref="O363">
    <cfRule type="cellIs" dxfId="924" priority="70" operator="notEqual">
      <formula>O$30</formula>
    </cfRule>
  </conditionalFormatting>
  <conditionalFormatting sqref="F375:J375">
    <cfRule type="cellIs" dxfId="923" priority="68" operator="notEqual">
      <formula>F$30</formula>
    </cfRule>
  </conditionalFormatting>
  <conditionalFormatting sqref="N375:P375">
    <cfRule type="cellIs" dxfId="922" priority="69" operator="notEqual">
      <formula>M$99</formula>
    </cfRule>
  </conditionalFormatting>
  <conditionalFormatting sqref="K375:L375">
    <cfRule type="cellIs" dxfId="921" priority="67" operator="notEqual">
      <formula>K$33</formula>
    </cfRule>
  </conditionalFormatting>
  <conditionalFormatting sqref="N375">
    <cfRule type="cellIs" dxfId="920" priority="66" operator="notEqual">
      <formula>N$30</formula>
    </cfRule>
  </conditionalFormatting>
  <conditionalFormatting sqref="P375">
    <cfRule type="cellIs" dxfId="919" priority="65" operator="notEqual">
      <formula>P$30</formula>
    </cfRule>
  </conditionalFormatting>
  <conditionalFormatting sqref="O375">
    <cfRule type="cellIs" dxfId="918" priority="64" operator="notEqual">
      <formula>O$30</formula>
    </cfRule>
  </conditionalFormatting>
  <conditionalFormatting sqref="F345:J345">
    <cfRule type="cellIs" dxfId="917" priority="62" operator="notEqual">
      <formula>F$30</formula>
    </cfRule>
  </conditionalFormatting>
  <conditionalFormatting sqref="G345:J345">
    <cfRule type="cellIs" dxfId="916" priority="63" operator="notEqual">
      <formula>F$99</formula>
    </cfRule>
  </conditionalFormatting>
  <conditionalFormatting sqref="F345">
    <cfRule type="cellIs" dxfId="915" priority="61" operator="notEqual">
      <formula>E$99</formula>
    </cfRule>
  </conditionalFormatting>
  <conditionalFormatting sqref="K345:L345">
    <cfRule type="cellIs" dxfId="914" priority="60" operator="notEqual">
      <formula>K$33</formula>
    </cfRule>
  </conditionalFormatting>
  <conditionalFormatting sqref="N345">
    <cfRule type="cellIs" dxfId="913" priority="59" operator="notEqual">
      <formula>N$30</formula>
    </cfRule>
  </conditionalFormatting>
  <conditionalFormatting sqref="N345">
    <cfRule type="cellIs" dxfId="912" priority="58" operator="notEqual">
      <formula>M$99</formula>
    </cfRule>
  </conditionalFormatting>
  <conditionalFormatting sqref="P345">
    <cfRule type="cellIs" dxfId="911" priority="57" operator="notEqual">
      <formula>P$30</formula>
    </cfRule>
  </conditionalFormatting>
  <conditionalFormatting sqref="P345">
    <cfRule type="cellIs" dxfId="910" priority="56" operator="notEqual">
      <formula>O$99</formula>
    </cfRule>
  </conditionalFormatting>
  <conditionalFormatting sqref="O345">
    <cfRule type="cellIs" dxfId="909" priority="55" operator="notEqual">
      <formula>O$30</formula>
    </cfRule>
  </conditionalFormatting>
  <conditionalFormatting sqref="O345">
    <cfRule type="cellIs" dxfId="908" priority="54" operator="notEqual">
      <formula>N$99</formula>
    </cfRule>
  </conditionalFormatting>
  <conditionalFormatting sqref="F353:J353">
    <cfRule type="cellIs" dxfId="907" priority="52" operator="notEqual">
      <formula>F$30</formula>
    </cfRule>
  </conditionalFormatting>
  <conditionalFormatting sqref="G353:J353">
    <cfRule type="cellIs" dxfId="906" priority="53" operator="notEqual">
      <formula>F$99</formula>
    </cfRule>
  </conditionalFormatting>
  <conditionalFormatting sqref="F353">
    <cfRule type="cellIs" dxfId="905" priority="51" operator="notEqual">
      <formula>E$99</formula>
    </cfRule>
  </conditionalFormatting>
  <conditionalFormatting sqref="K353:L353">
    <cfRule type="cellIs" dxfId="904" priority="50" operator="notEqual">
      <formula>K$33</formula>
    </cfRule>
  </conditionalFormatting>
  <conditionalFormatting sqref="N353">
    <cfRule type="cellIs" dxfId="903" priority="49" operator="notEqual">
      <formula>N$30</formula>
    </cfRule>
  </conditionalFormatting>
  <conditionalFormatting sqref="N353">
    <cfRule type="cellIs" dxfId="902" priority="48" operator="notEqual">
      <formula>M$99</formula>
    </cfRule>
  </conditionalFormatting>
  <conditionalFormatting sqref="P353">
    <cfRule type="cellIs" dxfId="901" priority="47" operator="notEqual">
      <formula>P$30</formula>
    </cfRule>
  </conditionalFormatting>
  <conditionalFormatting sqref="P353">
    <cfRule type="cellIs" dxfId="900" priority="46" operator="notEqual">
      <formula>O$99</formula>
    </cfRule>
  </conditionalFormatting>
  <conditionalFormatting sqref="O353">
    <cfRule type="cellIs" dxfId="899" priority="45" operator="notEqual">
      <formula>O$30</formula>
    </cfRule>
  </conditionalFormatting>
  <conditionalFormatting sqref="O353">
    <cfRule type="cellIs" dxfId="898" priority="44" operator="notEqual">
      <formula>N$99</formula>
    </cfRule>
  </conditionalFormatting>
  <conditionalFormatting sqref="N53:P57 F53:J57">
    <cfRule type="cellIs" dxfId="897" priority="32" operator="notEqual">
      <formula>F$177</formula>
    </cfRule>
  </conditionalFormatting>
  <conditionalFormatting sqref="N53:P57 F53:J57">
    <cfRule type="cellIs" dxfId="896" priority="33" operator="notEqual">
      <formula>E$248</formula>
    </cfRule>
  </conditionalFormatting>
  <conditionalFormatting sqref="K53:L57">
    <cfRule type="cellIs" dxfId="895" priority="31" operator="notEqual">
      <formula>K$179</formula>
    </cfRule>
  </conditionalFormatting>
  <conditionalFormatting sqref="F387:J387">
    <cfRule type="cellIs" dxfId="894" priority="29" operator="notEqual">
      <formula>F$30</formula>
    </cfRule>
  </conditionalFormatting>
  <conditionalFormatting sqref="G387:J387">
    <cfRule type="cellIs" dxfId="893" priority="30" operator="notEqual">
      <formula>F$99</formula>
    </cfRule>
  </conditionalFormatting>
  <conditionalFormatting sqref="F387">
    <cfRule type="cellIs" dxfId="892" priority="28" operator="notEqual">
      <formula>E$99</formula>
    </cfRule>
  </conditionalFormatting>
  <conditionalFormatting sqref="K387:L387">
    <cfRule type="cellIs" dxfId="891" priority="27" operator="notEqual">
      <formula>K$33</formula>
    </cfRule>
  </conditionalFormatting>
  <conditionalFormatting sqref="N387">
    <cfRule type="cellIs" dxfId="890" priority="26" operator="notEqual">
      <formula>N$30</formula>
    </cfRule>
  </conditionalFormatting>
  <conditionalFormatting sqref="N387">
    <cfRule type="cellIs" dxfId="889" priority="25" operator="notEqual">
      <formula>M$99</formula>
    </cfRule>
  </conditionalFormatting>
  <conditionalFormatting sqref="P387">
    <cfRule type="cellIs" dxfId="888" priority="24" operator="notEqual">
      <formula>P$30</formula>
    </cfRule>
  </conditionalFormatting>
  <conditionalFormatting sqref="P387">
    <cfRule type="cellIs" dxfId="887" priority="23" operator="notEqual">
      <formula>O$99</formula>
    </cfRule>
  </conditionalFormatting>
  <conditionalFormatting sqref="O387">
    <cfRule type="cellIs" dxfId="886" priority="22" operator="notEqual">
      <formula>O$30</formula>
    </cfRule>
  </conditionalFormatting>
  <conditionalFormatting sqref="O387">
    <cfRule type="cellIs" dxfId="885" priority="21" operator="notEqual">
      <formula>N$99</formula>
    </cfRule>
  </conditionalFormatting>
  <hyperlinks>
    <hyperlink ref="A3" location="Strategy!B24" display="Back To Main" xr:uid="{00000000-0004-0000-0900-000000000000}"/>
  </hyperlinks>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NB239"/>
  <sheetViews>
    <sheetView showGridLines="0" tabSelected="1" zoomScale="85" zoomScaleNormal="85" workbookViewId="0">
      <pane xSplit="2" ySplit="6" topLeftCell="L37" activePane="bottomRight" state="frozen"/>
      <selection pane="topRight" activeCell="C1" sqref="C1"/>
      <selection pane="bottomLeft" activeCell="A7" sqref="A7"/>
      <selection pane="bottomRight" activeCell="M41" sqref="M41"/>
    </sheetView>
  </sheetViews>
  <sheetFormatPr defaultColWidth="15.54296875" defaultRowHeight="12.5" x14ac:dyDescent="0.25"/>
  <cols>
    <col min="1" max="1" width="15" customWidth="1"/>
    <col min="2" max="2" width="46.81640625" customWidth="1"/>
    <col min="3" max="3" width="36.453125" customWidth="1"/>
    <col min="4" max="4" width="21.54296875" customWidth="1"/>
    <col min="5" max="5" width="20.453125" customWidth="1"/>
    <col min="6" max="6" width="21.54296875" customWidth="1"/>
    <col min="7" max="7" width="21.453125" customWidth="1"/>
    <col min="8" max="8" width="19.453125" customWidth="1"/>
    <col min="9" max="9" width="20.54296875" customWidth="1"/>
    <col min="10" max="10" width="19.54296875" customWidth="1"/>
    <col min="12" max="12" width="18.81640625" customWidth="1"/>
    <col min="14" max="14" width="20" customWidth="1"/>
    <col min="16" max="16" width="19.453125" customWidth="1"/>
    <col min="18" max="18" width="18.1796875" customWidth="1"/>
    <col min="20" max="20" width="17.453125" bestFit="1" customWidth="1"/>
    <col min="22" max="22" width="17.453125" bestFit="1" customWidth="1"/>
    <col min="23" max="23" width="9.453125" bestFit="1" customWidth="1"/>
    <col min="24" max="24" width="17.453125" bestFit="1" customWidth="1"/>
    <col min="25" max="25" width="9.453125" bestFit="1" customWidth="1"/>
    <col min="26" max="26" width="17.453125" bestFit="1" customWidth="1"/>
    <col min="27" max="27" width="9.453125" bestFit="1" customWidth="1"/>
    <col min="28" max="28" width="17.453125" bestFit="1" customWidth="1"/>
    <col min="29" max="29" width="9.453125" bestFit="1" customWidth="1"/>
    <col min="30" max="30" width="17.453125" bestFit="1" customWidth="1"/>
    <col min="31" max="31" width="9.453125" bestFit="1" customWidth="1"/>
    <col min="32" max="32" width="12" customWidth="1"/>
    <col min="33" max="33" width="9.453125" bestFit="1" customWidth="1"/>
    <col min="34" max="34" width="17.453125" bestFit="1" customWidth="1"/>
    <col min="35" max="35" width="9.453125" bestFit="1" customWidth="1"/>
    <col min="36" max="36" width="17.453125" bestFit="1" customWidth="1"/>
    <col min="37" max="37" width="9.453125" bestFit="1" customWidth="1"/>
    <col min="38" max="38" width="17.453125" bestFit="1" customWidth="1"/>
  </cols>
  <sheetData>
    <row r="1" spans="1:5" s="11" customFormat="1" ht="15.5" x14ac:dyDescent="0.25">
      <c r="A1" s="13" t="s">
        <v>9</v>
      </c>
      <c r="B1" s="18" t="s">
        <v>281</v>
      </c>
      <c r="C1" s="251" t="s">
        <v>879</v>
      </c>
    </row>
    <row r="2" spans="1:5" s="11" customFormat="1" x14ac:dyDescent="0.25">
      <c r="A2" s="14"/>
    </row>
    <row r="3" spans="1:5" s="11" customFormat="1" ht="13" x14ac:dyDescent="0.25">
      <c r="A3" s="14"/>
      <c r="B3" s="17" t="str">
        <f ca="1">GetNameRange(B4)</f>
        <v>Strategy</v>
      </c>
    </row>
    <row r="4" spans="1:5" s="11" customFormat="1" ht="13" x14ac:dyDescent="0.25">
      <c r="A4" s="55"/>
      <c r="B4" s="57" t="s">
        <v>10</v>
      </c>
      <c r="C4" s="42" t="s">
        <v>449</v>
      </c>
    </row>
    <row r="5" spans="1:5" s="11" customFormat="1" ht="13" x14ac:dyDescent="0.25">
      <c r="A5" s="55"/>
      <c r="B5" s="108" t="s">
        <v>280</v>
      </c>
      <c r="C5" s="24" t="s">
        <v>403</v>
      </c>
    </row>
    <row r="6" spans="1:5" s="11" customFormat="1" ht="13" x14ac:dyDescent="0.25">
      <c r="A6" s="56" t="s">
        <v>8</v>
      </c>
      <c r="B6" s="19" t="s">
        <v>0</v>
      </c>
      <c r="C6" s="24"/>
    </row>
    <row r="7" spans="1:5" s="11" customFormat="1" ht="13" x14ac:dyDescent="0.25">
      <c r="A7" s="20"/>
      <c r="B7" s="59"/>
      <c r="C7" s="60"/>
    </row>
    <row r="8" spans="1:5" s="11" customFormat="1" ht="13" x14ac:dyDescent="0.25">
      <c r="A8" s="20"/>
      <c r="B8" s="59" t="s">
        <v>399</v>
      </c>
      <c r="C8" s="27"/>
    </row>
    <row r="9" spans="1:5" s="11" customFormat="1" x14ac:dyDescent="0.25">
      <c r="A9" s="67">
        <v>0</v>
      </c>
      <c r="B9" s="92" t="s">
        <v>269</v>
      </c>
      <c r="C9" s="62">
        <v>100</v>
      </c>
    </row>
    <row r="10" spans="1:5" s="11" customFormat="1" x14ac:dyDescent="0.25">
      <c r="A10" s="66">
        <v>120</v>
      </c>
      <c r="B10" s="92" t="s">
        <v>270</v>
      </c>
      <c r="C10" s="27">
        <v>120</v>
      </c>
    </row>
    <row r="11" spans="1:5" s="11" customFormat="1" x14ac:dyDescent="0.25">
      <c r="A11" s="106">
        <v>120</v>
      </c>
      <c r="B11" s="92" t="s">
        <v>271</v>
      </c>
      <c r="C11" s="107">
        <v>120</v>
      </c>
    </row>
    <row r="12" spans="1:5" s="11" customFormat="1" x14ac:dyDescent="0.25">
      <c r="A12" s="68" t="s">
        <v>6</v>
      </c>
      <c r="B12" s="92" t="s">
        <v>273</v>
      </c>
      <c r="C12" s="225" t="str">
        <f>E12</f>
        <v>3Y_Public Corp_A,3Y_Public Corp_AA,3Y_Public Corp_AAA,3Y_Public Corp_BBB,5Y_Public Corp_A,5Y_Public Corp_AA,5Y_Public Corp_B,5Y_Public Corp_BB,5Y_Public Corp_BBB,7Y_Public Corp_A,7Y_Public Corp_AA,7Y_Public Corp_AAA,7Y_Public Corp_BB,7Y_Public Corp_BBB,10Y_Public Corp_A,10Y_Public Corp_AA,10Y_Public Corp_AAA,10Y_Public Corp_BB,10Y_Public Corp_BBB,20Y_Public Corp_BBB,30Y_Public Corp_A,30Y_Public Corp_BBB,5Y_Private Corp_A,5Y_Private Corp_BB,5Y_Private Corp_BBB,7Y_Private Corp_A,7Y_Private Corp_BB,7Y_Private Corp_BBB,10Y_Private Corp_A,10Y_Private Corp_AA,10Y_Private Corp_AAA,10Y_Private Corp_BBB,30Y_Private Corp_A,30Y_Private Corp_BBB</v>
      </c>
      <c r="E12" s="61" t="str">
        <f>_xlfn.TEXTJOIN(",",TRUE,'Purch Bond Defn'!C4:AJ4)</f>
        <v>3Y_Public Corp_A,3Y_Public Corp_AA,3Y_Public Corp_AAA,3Y_Public Corp_BBB,5Y_Public Corp_A,5Y_Public Corp_AA,5Y_Public Corp_B,5Y_Public Corp_BB,5Y_Public Corp_BBB,7Y_Public Corp_A,7Y_Public Corp_AA,7Y_Public Corp_AAA,7Y_Public Corp_BB,7Y_Public Corp_BBB,10Y_Public Corp_A,10Y_Public Corp_AA,10Y_Public Corp_AAA,10Y_Public Corp_BB,10Y_Public Corp_BBB,20Y_Public Corp_BBB,30Y_Public Corp_A,30Y_Public Corp_BBB,5Y_Private Corp_A,5Y_Private Corp_BB,5Y_Private Corp_BBB,7Y_Private Corp_A,7Y_Private Corp_BB,7Y_Private Corp_BBB,10Y_Private Corp_A,10Y_Private Corp_AA,10Y_Private Corp_AAA,10Y_Private Corp_BBB,30Y_Private Corp_A,30Y_Private Corp_BBB</v>
      </c>
    </row>
    <row r="13" spans="1:5" s="11" customFormat="1" x14ac:dyDescent="0.25">
      <c r="A13" s="66" t="s">
        <v>6</v>
      </c>
      <c r="B13" s="92" t="s">
        <v>274</v>
      </c>
      <c r="C13" s="225" t="str">
        <f>E13</f>
        <v>3Y_CML,5Y_CML,7Y_CML,5Y_RML,7Y_RML,10Y_CML</v>
      </c>
      <c r="E13" s="61" t="str">
        <f>_xlfn.TEXTJOIN(",",TRUE,'Purch Mtg Defn'!C4:H4)</f>
        <v>3Y_CML,5Y_CML,7Y_CML,5Y_RML,7Y_RML,10Y_CML</v>
      </c>
    </row>
    <row r="14" spans="1:5" s="11" customFormat="1" x14ac:dyDescent="0.25">
      <c r="A14" s="66" t="s">
        <v>6</v>
      </c>
      <c r="B14" s="92" t="s">
        <v>275</v>
      </c>
      <c r="C14" s="27" t="s">
        <v>6</v>
      </c>
    </row>
    <row r="15" spans="1:5" s="11" customFormat="1" x14ac:dyDescent="0.25">
      <c r="A15" s="66" t="s">
        <v>6</v>
      </c>
      <c r="B15" s="92" t="s">
        <v>276</v>
      </c>
      <c r="C15" s="27" t="s">
        <v>6</v>
      </c>
    </row>
    <row r="16" spans="1:5" s="11" customFormat="1" x14ac:dyDescent="0.25">
      <c r="A16" s="66" t="s">
        <v>6</v>
      </c>
      <c r="B16" s="92" t="s">
        <v>277</v>
      </c>
      <c r="C16" s="27" t="s">
        <v>6</v>
      </c>
    </row>
    <row r="17" spans="1:6" s="11" customFormat="1" x14ac:dyDescent="0.25">
      <c r="A17" s="66" t="s">
        <v>6</v>
      </c>
      <c r="B17" s="92" t="s">
        <v>278</v>
      </c>
      <c r="C17" s="27" t="s">
        <v>6</v>
      </c>
    </row>
    <row r="18" spans="1:6" s="11" customFormat="1" x14ac:dyDescent="0.25">
      <c r="A18" s="66" t="s">
        <v>6</v>
      </c>
      <c r="B18" s="92" t="s">
        <v>279</v>
      </c>
      <c r="C18" s="27" t="s">
        <v>6</v>
      </c>
    </row>
    <row r="19" spans="1:6" s="11" customFormat="1" x14ac:dyDescent="0.25">
      <c r="A19" s="14"/>
      <c r="B19" s="58"/>
      <c r="C19" s="91"/>
    </row>
    <row r="20" spans="1:6" s="11" customFormat="1" ht="13" x14ac:dyDescent="0.25">
      <c r="A20" s="14"/>
      <c r="B20" s="59" t="s">
        <v>400</v>
      </c>
      <c r="C20" s="91"/>
    </row>
    <row r="21" spans="1:6" s="11" customFormat="1" x14ac:dyDescent="0.25">
      <c r="A21" s="70"/>
      <c r="B21" s="127" t="s">
        <v>369</v>
      </c>
      <c r="C21" s="27" t="s">
        <v>369</v>
      </c>
    </row>
    <row r="22" spans="1:6" s="11" customFormat="1" x14ac:dyDescent="0.25">
      <c r="A22" s="14"/>
      <c r="B22" s="58"/>
      <c r="C22" s="91"/>
    </row>
    <row r="23" spans="1:6" s="11" customFormat="1" ht="13" x14ac:dyDescent="0.25">
      <c r="A23" s="14"/>
      <c r="B23" s="59" t="s">
        <v>401</v>
      </c>
      <c r="C23" s="91"/>
    </row>
    <row r="24" spans="1:6" s="11" customFormat="1" x14ac:dyDescent="0.25">
      <c r="A24" s="14"/>
      <c r="B24" s="127" t="s">
        <v>286</v>
      </c>
      <c r="C24" s="27" t="s">
        <v>369</v>
      </c>
    </row>
    <row r="25" spans="1:6" s="11" customFormat="1" x14ac:dyDescent="0.25">
      <c r="A25" s="14"/>
      <c r="B25" s="127" t="s">
        <v>564</v>
      </c>
      <c r="C25" s="27" t="s">
        <v>369</v>
      </c>
    </row>
    <row r="26" spans="1:6" s="11" customFormat="1" x14ac:dyDescent="0.25">
      <c r="A26" s="14"/>
      <c r="B26" s="58"/>
      <c r="C26" s="91"/>
    </row>
    <row r="27" spans="1:6" s="11" customFormat="1" ht="13" x14ac:dyDescent="0.25">
      <c r="A27" s="14"/>
      <c r="B27" s="59" t="s">
        <v>402</v>
      </c>
      <c r="C27" s="91"/>
    </row>
    <row r="28" spans="1:6" s="11" customFormat="1" x14ac:dyDescent="0.25">
      <c r="A28" s="14">
        <v>0</v>
      </c>
      <c r="B28" s="92" t="s">
        <v>272</v>
      </c>
      <c r="C28" s="216">
        <v>0</v>
      </c>
    </row>
    <row r="29" spans="1:6" s="11" customFormat="1" x14ac:dyDescent="0.25">
      <c r="A29" s="14"/>
      <c r="B29" s="127" t="s">
        <v>566</v>
      </c>
      <c r="C29" s="27" t="s">
        <v>369</v>
      </c>
    </row>
    <row r="30" spans="1:6" s="11" customFormat="1" x14ac:dyDescent="0.25">
      <c r="A30" s="14">
        <v>0</v>
      </c>
      <c r="B30" s="92" t="s">
        <v>565</v>
      </c>
      <c r="C30" s="216">
        <v>0</v>
      </c>
    </row>
    <row r="31" spans="1:6" s="11" customFormat="1" x14ac:dyDescent="0.25">
      <c r="A31" s="14"/>
      <c r="B31" s="127" t="s">
        <v>567</v>
      </c>
      <c r="C31" s="27" t="s">
        <v>369</v>
      </c>
      <c r="D31" s="218"/>
      <c r="F31" s="219"/>
    </row>
    <row r="32" spans="1:6" s="11" customFormat="1" x14ac:dyDescent="0.25">
      <c r="A32" s="14"/>
      <c r="B32" s="58"/>
      <c r="C32" s="91"/>
      <c r="D32" s="218"/>
      <c r="F32" s="219"/>
    </row>
    <row r="33" spans="1:204" s="11" customFormat="1" ht="13" x14ac:dyDescent="0.25">
      <c r="A33" s="14"/>
      <c r="B33" s="59" t="s">
        <v>568</v>
      </c>
      <c r="C33" s="91"/>
      <c r="D33" s="218"/>
      <c r="F33" s="219"/>
    </row>
    <row r="34" spans="1:204" s="11" customFormat="1" x14ac:dyDescent="0.25">
      <c r="A34" s="66" t="s">
        <v>39</v>
      </c>
      <c r="B34" s="92" t="s">
        <v>307</v>
      </c>
      <c r="C34" s="27" t="s">
        <v>39</v>
      </c>
      <c r="D34" s="218"/>
      <c r="F34" s="219"/>
    </row>
    <row r="35" spans="1:204" s="11" customFormat="1" x14ac:dyDescent="0.25">
      <c r="A35" s="66" t="s">
        <v>309</v>
      </c>
      <c r="B35" s="92" t="s">
        <v>308</v>
      </c>
      <c r="C35" s="27" t="s">
        <v>309</v>
      </c>
      <c r="D35" s="218"/>
      <c r="F35" s="219"/>
    </row>
    <row r="36" spans="1:204" s="11" customFormat="1" x14ac:dyDescent="0.25">
      <c r="A36" s="66" t="s">
        <v>5</v>
      </c>
      <c r="B36" s="92" t="s">
        <v>310</v>
      </c>
      <c r="C36" s="27" t="s">
        <v>5</v>
      </c>
      <c r="D36" s="218"/>
      <c r="F36" s="219"/>
    </row>
    <row r="37" spans="1:204" s="11" customFormat="1" x14ac:dyDescent="0.25">
      <c r="A37" s="66">
        <v>1</v>
      </c>
      <c r="B37" s="92" t="s">
        <v>569</v>
      </c>
      <c r="C37" s="27">
        <v>1</v>
      </c>
      <c r="D37" s="218"/>
      <c r="F37" s="219"/>
    </row>
    <row r="38" spans="1:204" s="11" customFormat="1" x14ac:dyDescent="0.25">
      <c r="A38" s="66">
        <v>1</v>
      </c>
      <c r="B38" s="92" t="s">
        <v>570</v>
      </c>
      <c r="C38" s="27">
        <v>1</v>
      </c>
      <c r="D38" s="218"/>
      <c r="F38" s="219"/>
    </row>
    <row r="39" spans="1:204" s="11" customFormat="1" x14ac:dyDescent="0.25">
      <c r="A39" s="66">
        <v>0</v>
      </c>
      <c r="B39" s="92" t="s">
        <v>571</v>
      </c>
      <c r="C39" s="27">
        <v>0</v>
      </c>
      <c r="D39" s="218"/>
      <c r="F39" s="219"/>
    </row>
    <row r="40" spans="1:204" s="11" customFormat="1" x14ac:dyDescent="0.25">
      <c r="A40" s="66">
        <v>1</v>
      </c>
      <c r="B40" s="93" t="s">
        <v>572</v>
      </c>
      <c r="C40" s="29">
        <v>1</v>
      </c>
    </row>
    <row r="41" spans="1:204" s="11" customFormat="1" x14ac:dyDescent="0.25">
      <c r="A41" s="14"/>
    </row>
    <row r="42" spans="1:204" ht="13" x14ac:dyDescent="0.25">
      <c r="A42" s="13" t="s">
        <v>9</v>
      </c>
      <c r="B42" s="17" t="str">
        <f ca="1">GetNameRange(B43)</f>
        <v>InvStratCashPctDistribnDefn</v>
      </c>
      <c r="C42" s="25"/>
      <c r="D42" s="25"/>
      <c r="E42" s="11"/>
      <c r="F42" s="11"/>
      <c r="G42" s="11"/>
      <c r="H42" s="11"/>
      <c r="I42" s="11"/>
      <c r="J42" s="11"/>
      <c r="K42" s="11"/>
      <c r="L42" s="11">
        <v>4</v>
      </c>
      <c r="M42" s="11">
        <f>L42+1</f>
        <v>5</v>
      </c>
      <c r="N42" s="11">
        <f t="shared" ref="N42:W42" si="0">M42+1</f>
        <v>6</v>
      </c>
      <c r="O42" s="11">
        <f t="shared" si="0"/>
        <v>7</v>
      </c>
      <c r="P42" s="11">
        <f t="shared" si="0"/>
        <v>8</v>
      </c>
      <c r="Q42" s="11">
        <f t="shared" si="0"/>
        <v>9</v>
      </c>
      <c r="R42" s="11">
        <f t="shared" si="0"/>
        <v>10</v>
      </c>
      <c r="S42" s="11">
        <f t="shared" si="0"/>
        <v>11</v>
      </c>
      <c r="T42" s="11">
        <f t="shared" si="0"/>
        <v>12</v>
      </c>
      <c r="U42" s="11">
        <f t="shared" si="0"/>
        <v>13</v>
      </c>
      <c r="V42" s="11">
        <f t="shared" si="0"/>
        <v>14</v>
      </c>
      <c r="W42" s="11">
        <f t="shared" si="0"/>
        <v>15</v>
      </c>
      <c r="X42" s="11"/>
      <c r="Y42" s="11"/>
      <c r="Z42" s="11"/>
      <c r="AA42" s="11"/>
      <c r="AB42" s="11"/>
      <c r="AC42" s="11"/>
      <c r="AD42" s="11"/>
      <c r="AE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row>
    <row r="43" spans="1:204" ht="13" x14ac:dyDescent="0.25">
      <c r="A43" s="32" t="s">
        <v>404</v>
      </c>
      <c r="B43" s="117" t="s">
        <v>282</v>
      </c>
      <c r="C43" s="101" t="s">
        <v>637</v>
      </c>
      <c r="D43" s="101" t="s">
        <v>638</v>
      </c>
      <c r="E43" s="101" t="s">
        <v>639</v>
      </c>
      <c r="F43" s="101" t="s">
        <v>640</v>
      </c>
      <c r="G43" s="101" t="s">
        <v>641</v>
      </c>
      <c r="H43" s="101" t="s">
        <v>642</v>
      </c>
      <c r="I43" s="101" t="s">
        <v>643</v>
      </c>
      <c r="J43" s="101" t="s">
        <v>644</v>
      </c>
      <c r="K43" s="101" t="s">
        <v>645</v>
      </c>
      <c r="L43" s="101" t="s">
        <v>675</v>
      </c>
      <c r="M43" s="101" t="s">
        <v>676</v>
      </c>
      <c r="N43" s="101" t="s">
        <v>677</v>
      </c>
      <c r="O43" s="101" t="s">
        <v>678</v>
      </c>
      <c r="P43" s="101" t="s">
        <v>679</v>
      </c>
      <c r="Q43" s="101" t="s">
        <v>680</v>
      </c>
      <c r="R43" s="101" t="s">
        <v>681</v>
      </c>
      <c r="S43" s="101" t="s">
        <v>682</v>
      </c>
      <c r="T43" s="101" t="s">
        <v>683</v>
      </c>
      <c r="U43" s="101" t="s">
        <v>684</v>
      </c>
      <c r="V43" s="101" t="s">
        <v>685</v>
      </c>
      <c r="W43" s="101" t="s">
        <v>886</v>
      </c>
      <c r="X43" s="101" t="s">
        <v>843</v>
      </c>
      <c r="Y43" s="101" t="s">
        <v>844</v>
      </c>
      <c r="Z43" s="101" t="s">
        <v>845</v>
      </c>
      <c r="AA43" s="101" t="s">
        <v>846</v>
      </c>
      <c r="AB43" s="101" t="s">
        <v>847</v>
      </c>
      <c r="AC43" s="101" t="s">
        <v>848</v>
      </c>
      <c r="AD43" s="101" t="s">
        <v>849</v>
      </c>
      <c r="AE43" s="101" t="s">
        <v>850</v>
      </c>
      <c r="AF43" s="101" t="s">
        <v>851</v>
      </c>
      <c r="AG43" s="101" t="s">
        <v>852</v>
      </c>
      <c r="AH43" s="101" t="s">
        <v>739</v>
      </c>
      <c r="AI43" s="101" t="s">
        <v>738</v>
      </c>
      <c r="AJ43" s="101" t="s">
        <v>740</v>
      </c>
      <c r="AK43" s="101" t="s">
        <v>853</v>
      </c>
      <c r="AL43" s="101" t="s">
        <v>854</v>
      </c>
      <c r="AM43" s="101" t="s">
        <v>855</v>
      </c>
      <c r="AN43" s="101" t="s">
        <v>856</v>
      </c>
      <c r="AO43" s="101" t="s">
        <v>857</v>
      </c>
      <c r="AP43" s="101" t="s">
        <v>858</v>
      </c>
      <c r="AQ43" s="101" t="s">
        <v>859</v>
      </c>
      <c r="AR43" s="101" t="s">
        <v>860</v>
      </c>
      <c r="AS43" s="101" t="s">
        <v>861</v>
      </c>
      <c r="AT43" s="101" t="s">
        <v>862</v>
      </c>
      <c r="AU43" s="101" t="s">
        <v>863</v>
      </c>
      <c r="AV43" s="101" t="s">
        <v>864</v>
      </c>
      <c r="AW43" s="101" t="s">
        <v>865</v>
      </c>
      <c r="AX43" s="101" t="s">
        <v>866</v>
      </c>
      <c r="AY43" s="101" t="s">
        <v>867</v>
      </c>
      <c r="AZ43" s="101" t="s">
        <v>868</v>
      </c>
      <c r="BA43" s="101" t="s">
        <v>869</v>
      </c>
      <c r="BB43" s="101" t="s">
        <v>870</v>
      </c>
      <c r="BC43" s="101" t="s">
        <v>871</v>
      </c>
      <c r="BD43" s="101" t="s">
        <v>872</v>
      </c>
      <c r="BE43" s="101" t="s">
        <v>873</v>
      </c>
      <c r="BF43" s="101" t="s">
        <v>874</v>
      </c>
      <c r="BG43" s="101" t="s">
        <v>875</v>
      </c>
      <c r="BH43" s="101" t="s">
        <v>876</v>
      </c>
      <c r="BI43" s="101" t="s">
        <v>877</v>
      </c>
      <c r="BJ43" s="101" t="s">
        <v>878</v>
      </c>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row>
    <row r="44" spans="1:204" ht="13" x14ac:dyDescent="0.25">
      <c r="A44" s="20"/>
      <c r="B44" s="118" t="s">
        <v>0</v>
      </c>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119"/>
      <c r="BH44" s="46"/>
      <c r="BI44" s="46"/>
      <c r="BJ44" s="46"/>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row>
    <row r="45" spans="1:204" x14ac:dyDescent="0.25">
      <c r="A45" s="113">
        <v>0</v>
      </c>
      <c r="B45" s="161" t="s">
        <v>283</v>
      </c>
      <c r="C45" s="231">
        <v>0</v>
      </c>
      <c r="D45" s="231">
        <v>0</v>
      </c>
      <c r="E45" s="231">
        <v>0</v>
      </c>
      <c r="F45" s="231">
        <v>0</v>
      </c>
      <c r="G45" s="231">
        <v>0</v>
      </c>
      <c r="H45" s="231">
        <v>0</v>
      </c>
      <c r="I45" s="231">
        <v>0</v>
      </c>
      <c r="J45" s="231">
        <v>0</v>
      </c>
      <c r="K45" s="231">
        <v>0</v>
      </c>
      <c r="L45" s="231">
        <v>0</v>
      </c>
      <c r="M45" s="231">
        <v>0</v>
      </c>
      <c r="N45" s="231">
        <v>0</v>
      </c>
      <c r="O45" s="231">
        <v>0</v>
      </c>
      <c r="P45" s="231">
        <v>0</v>
      </c>
      <c r="Q45" s="231">
        <v>0</v>
      </c>
      <c r="R45" s="231">
        <v>0</v>
      </c>
      <c r="S45" s="231">
        <v>0</v>
      </c>
      <c r="T45" s="231">
        <v>0</v>
      </c>
      <c r="U45" s="231">
        <v>0</v>
      </c>
      <c r="V45" s="231">
        <v>0</v>
      </c>
      <c r="W45" s="231">
        <v>0</v>
      </c>
      <c r="X45" s="231">
        <v>0</v>
      </c>
      <c r="Y45" s="231">
        <v>0</v>
      </c>
      <c r="Z45" s="231">
        <v>0</v>
      </c>
      <c r="AA45" s="231">
        <v>0</v>
      </c>
      <c r="AB45" s="231">
        <v>0</v>
      </c>
      <c r="AC45" s="231">
        <v>0</v>
      </c>
      <c r="AD45" s="231">
        <v>0</v>
      </c>
      <c r="AE45" s="231">
        <v>0</v>
      </c>
      <c r="AF45" s="231">
        <v>0</v>
      </c>
      <c r="AG45" s="231">
        <v>0</v>
      </c>
      <c r="AH45" s="231">
        <v>0</v>
      </c>
      <c r="AI45" s="231">
        <v>0</v>
      </c>
      <c r="AJ45" s="231">
        <v>0</v>
      </c>
      <c r="AK45" s="231">
        <v>0</v>
      </c>
      <c r="AL45" s="231">
        <v>0</v>
      </c>
      <c r="AM45" s="231">
        <v>0</v>
      </c>
      <c r="AN45" s="231">
        <v>0</v>
      </c>
      <c r="AO45" s="231">
        <v>0</v>
      </c>
      <c r="AP45" s="231">
        <v>0</v>
      </c>
      <c r="AQ45" s="231">
        <v>0</v>
      </c>
      <c r="AR45" s="231">
        <v>0</v>
      </c>
      <c r="AS45" s="231">
        <v>0</v>
      </c>
      <c r="AT45" s="231">
        <v>0</v>
      </c>
      <c r="AU45" s="231">
        <v>0</v>
      </c>
      <c r="AV45" s="231">
        <v>0</v>
      </c>
      <c r="AW45" s="231">
        <v>0</v>
      </c>
      <c r="AX45" s="231">
        <v>0</v>
      </c>
      <c r="AY45" s="231">
        <v>0</v>
      </c>
      <c r="AZ45" s="231">
        <v>0</v>
      </c>
      <c r="BA45" s="231">
        <v>0</v>
      </c>
      <c r="BB45" s="231">
        <v>0</v>
      </c>
      <c r="BC45" s="231">
        <v>0</v>
      </c>
      <c r="BD45" s="231">
        <v>0</v>
      </c>
      <c r="BE45" s="231">
        <v>0</v>
      </c>
      <c r="BF45" s="231">
        <v>0</v>
      </c>
      <c r="BG45" s="231">
        <v>0</v>
      </c>
      <c r="BH45" s="231">
        <v>0</v>
      </c>
      <c r="BI45" s="231">
        <v>0</v>
      </c>
      <c r="BJ45" s="231">
        <v>0</v>
      </c>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row>
    <row r="46" spans="1:204" x14ac:dyDescent="0.25">
      <c r="A46" s="14" t="s">
        <v>285</v>
      </c>
      <c r="B46" s="162" t="s">
        <v>284</v>
      </c>
      <c r="C46" s="236" t="s">
        <v>285</v>
      </c>
      <c r="D46" s="236" t="s">
        <v>285</v>
      </c>
      <c r="E46" s="236" t="s">
        <v>285</v>
      </c>
      <c r="F46" s="236" t="s">
        <v>285</v>
      </c>
      <c r="G46" s="236" t="s">
        <v>285</v>
      </c>
      <c r="H46" s="236" t="s">
        <v>285</v>
      </c>
      <c r="I46" s="236" t="s">
        <v>285</v>
      </c>
      <c r="J46" s="236" t="s">
        <v>285</v>
      </c>
      <c r="K46" s="236" t="s">
        <v>285</v>
      </c>
      <c r="L46" s="236" t="s">
        <v>285</v>
      </c>
      <c r="M46" s="236" t="s">
        <v>285</v>
      </c>
      <c r="N46" s="236" t="s">
        <v>285</v>
      </c>
      <c r="O46" s="236" t="s">
        <v>285</v>
      </c>
      <c r="P46" s="236" t="s">
        <v>285</v>
      </c>
      <c r="Q46" s="236" t="s">
        <v>285</v>
      </c>
      <c r="R46" s="236" t="s">
        <v>285</v>
      </c>
      <c r="S46" s="236" t="s">
        <v>285</v>
      </c>
      <c r="T46" s="236" t="s">
        <v>285</v>
      </c>
      <c r="U46" s="236" t="s">
        <v>285</v>
      </c>
      <c r="V46" s="236" t="s">
        <v>285</v>
      </c>
      <c r="W46" s="236" t="s">
        <v>285</v>
      </c>
      <c r="X46" s="236" t="s">
        <v>285</v>
      </c>
      <c r="Y46" s="236" t="s">
        <v>285</v>
      </c>
      <c r="Z46" s="236" t="s">
        <v>285</v>
      </c>
      <c r="AA46" s="236" t="s">
        <v>285</v>
      </c>
      <c r="AB46" s="236" t="s">
        <v>285</v>
      </c>
      <c r="AC46" s="236" t="s">
        <v>285</v>
      </c>
      <c r="AD46" s="236" t="s">
        <v>285</v>
      </c>
      <c r="AE46" s="236" t="s">
        <v>285</v>
      </c>
      <c r="AF46" s="236" t="s">
        <v>285</v>
      </c>
      <c r="AG46" s="236" t="s">
        <v>285</v>
      </c>
      <c r="AH46" s="236" t="s">
        <v>285</v>
      </c>
      <c r="AI46" s="236" t="s">
        <v>285</v>
      </c>
      <c r="AJ46" s="236" t="s">
        <v>285</v>
      </c>
      <c r="AK46" s="236" t="s">
        <v>285</v>
      </c>
      <c r="AL46" s="236" t="s">
        <v>285</v>
      </c>
      <c r="AM46" s="236" t="s">
        <v>285</v>
      </c>
      <c r="AN46" s="236" t="s">
        <v>285</v>
      </c>
      <c r="AO46" s="236" t="s">
        <v>285</v>
      </c>
      <c r="AP46" s="236" t="s">
        <v>285</v>
      </c>
      <c r="AQ46" s="236" t="s">
        <v>285</v>
      </c>
      <c r="AR46" s="236" t="s">
        <v>285</v>
      </c>
      <c r="AS46" s="236" t="s">
        <v>285</v>
      </c>
      <c r="AT46" s="236" t="s">
        <v>285</v>
      </c>
      <c r="AU46" s="236" t="s">
        <v>285</v>
      </c>
      <c r="AV46" s="236" t="s">
        <v>285</v>
      </c>
      <c r="AW46" s="236" t="s">
        <v>285</v>
      </c>
      <c r="AX46" s="236" t="s">
        <v>285</v>
      </c>
      <c r="AY46" s="236" t="s">
        <v>285</v>
      </c>
      <c r="AZ46" s="236" t="s">
        <v>285</v>
      </c>
      <c r="BA46" s="236" t="s">
        <v>285</v>
      </c>
      <c r="BB46" s="236" t="s">
        <v>285</v>
      </c>
      <c r="BC46" s="236" t="s">
        <v>285</v>
      </c>
      <c r="BD46" s="236" t="s">
        <v>285</v>
      </c>
      <c r="BE46" s="236" t="s">
        <v>285</v>
      </c>
      <c r="BF46" s="236" t="s">
        <v>285</v>
      </c>
      <c r="BG46" s="236" t="s">
        <v>285</v>
      </c>
      <c r="BH46" s="236" t="s">
        <v>285</v>
      </c>
      <c r="BI46" s="236" t="s">
        <v>285</v>
      </c>
      <c r="BJ46" s="236" t="s">
        <v>285</v>
      </c>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row>
    <row r="47" spans="1:204" ht="13" x14ac:dyDescent="0.25">
      <c r="A47" s="20"/>
      <c r="C47" s="111"/>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row>
    <row r="48" spans="1:204" ht="13" x14ac:dyDescent="0.25">
      <c r="A48" s="13" t="s">
        <v>9</v>
      </c>
      <c r="B48" s="17" t="str">
        <f ca="1">GetNameRange(B49)</f>
        <v>InvStratAssetSubPortInvTgtPct</v>
      </c>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row>
    <row r="49" spans="1:205" ht="13" x14ac:dyDescent="0.25">
      <c r="A49" s="32" t="s">
        <v>404</v>
      </c>
      <c r="B49" s="117" t="s">
        <v>282</v>
      </c>
      <c r="C49" s="101" t="s">
        <v>637</v>
      </c>
      <c r="D49" s="101" t="s">
        <v>638</v>
      </c>
      <c r="E49" s="101" t="s">
        <v>639</v>
      </c>
      <c r="F49" s="101" t="s">
        <v>640</v>
      </c>
      <c r="G49" s="101" t="s">
        <v>641</v>
      </c>
      <c r="H49" s="101" t="s">
        <v>642</v>
      </c>
      <c r="I49" s="101" t="s">
        <v>643</v>
      </c>
      <c r="J49" s="101" t="s">
        <v>644</v>
      </c>
      <c r="K49" s="101" t="s">
        <v>645</v>
      </c>
      <c r="L49" s="101" t="s">
        <v>675</v>
      </c>
      <c r="M49" s="101" t="s">
        <v>676</v>
      </c>
      <c r="N49" s="101" t="s">
        <v>677</v>
      </c>
      <c r="O49" s="101" t="s">
        <v>678</v>
      </c>
      <c r="P49" s="101" t="s">
        <v>679</v>
      </c>
      <c r="Q49" s="101" t="s">
        <v>680</v>
      </c>
      <c r="R49" s="101" t="s">
        <v>681</v>
      </c>
      <c r="S49" s="101" t="s">
        <v>682</v>
      </c>
      <c r="T49" s="101" t="s">
        <v>683</v>
      </c>
      <c r="U49" s="101" t="s">
        <v>684</v>
      </c>
      <c r="V49" s="101" t="s">
        <v>685</v>
      </c>
      <c r="W49" s="101" t="s">
        <v>886</v>
      </c>
      <c r="X49" s="101" t="s">
        <v>843</v>
      </c>
      <c r="Y49" s="101" t="s">
        <v>844</v>
      </c>
      <c r="Z49" s="101" t="s">
        <v>845</v>
      </c>
      <c r="AA49" s="101" t="s">
        <v>846</v>
      </c>
      <c r="AB49" s="101" t="s">
        <v>847</v>
      </c>
      <c r="AC49" s="101" t="s">
        <v>848</v>
      </c>
      <c r="AD49" s="101" t="s">
        <v>849</v>
      </c>
      <c r="AE49" s="101" t="s">
        <v>850</v>
      </c>
      <c r="AF49" s="101" t="s">
        <v>851</v>
      </c>
      <c r="AG49" s="101" t="s">
        <v>852</v>
      </c>
      <c r="AH49" s="101" t="s">
        <v>739</v>
      </c>
      <c r="AI49" s="101" t="s">
        <v>738</v>
      </c>
      <c r="AJ49" s="101" t="s">
        <v>740</v>
      </c>
      <c r="AK49" s="101" t="s">
        <v>853</v>
      </c>
      <c r="AL49" s="101" t="s">
        <v>854</v>
      </c>
      <c r="AM49" s="101" t="s">
        <v>855</v>
      </c>
      <c r="AN49" s="101" t="s">
        <v>856</v>
      </c>
      <c r="AO49" s="101" t="s">
        <v>857</v>
      </c>
      <c r="AP49" s="101" t="s">
        <v>858</v>
      </c>
      <c r="AQ49" s="101" t="s">
        <v>859</v>
      </c>
      <c r="AR49" s="101" t="s">
        <v>860</v>
      </c>
      <c r="AS49" s="101" t="s">
        <v>861</v>
      </c>
      <c r="AT49" s="101" t="s">
        <v>862</v>
      </c>
      <c r="AU49" s="101" t="s">
        <v>863</v>
      </c>
      <c r="AV49" s="101" t="s">
        <v>864</v>
      </c>
      <c r="AW49" s="101" t="s">
        <v>865</v>
      </c>
      <c r="AX49" s="101" t="s">
        <v>866</v>
      </c>
      <c r="AY49" s="101" t="s">
        <v>867</v>
      </c>
      <c r="AZ49" s="101" t="s">
        <v>868</v>
      </c>
      <c r="BA49" s="101" t="s">
        <v>869</v>
      </c>
      <c r="BB49" s="101" t="s">
        <v>870</v>
      </c>
      <c r="BC49" s="101" t="s">
        <v>871</v>
      </c>
      <c r="BD49" s="101" t="s">
        <v>872</v>
      </c>
      <c r="BE49" s="101" t="s">
        <v>873</v>
      </c>
      <c r="BF49" s="101" t="s">
        <v>874</v>
      </c>
      <c r="BG49" s="47" t="s">
        <v>875</v>
      </c>
      <c r="BH49" s="101" t="s">
        <v>876</v>
      </c>
      <c r="BI49" s="101" t="s">
        <v>877</v>
      </c>
      <c r="BJ49" s="101" t="s">
        <v>878</v>
      </c>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row>
    <row r="50" spans="1:205" ht="13" x14ac:dyDescent="0.25">
      <c r="B50" s="118" t="s">
        <v>496</v>
      </c>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row>
    <row r="51" spans="1:205" x14ac:dyDescent="0.25">
      <c r="A51" s="113">
        <v>0</v>
      </c>
      <c r="B51" s="120" t="s">
        <v>609</v>
      </c>
      <c r="C51" s="254">
        <v>0.4</v>
      </c>
      <c r="D51" s="254">
        <v>9.7406293721681025E-2</v>
      </c>
      <c r="E51" s="254">
        <v>5.0345770785066198E-2</v>
      </c>
      <c r="F51" s="254">
        <v>3.7141780865338501E-2</v>
      </c>
      <c r="G51" s="254">
        <v>0.3212522722581988</v>
      </c>
      <c r="H51" s="254">
        <v>9.2274693682229708E-2</v>
      </c>
      <c r="I51" s="254">
        <v>0</v>
      </c>
      <c r="J51" s="254">
        <v>0.45869110608422381</v>
      </c>
      <c r="K51" s="254">
        <v>0.54411362609938241</v>
      </c>
      <c r="L51" s="254">
        <v>6.9169979959712136E-2</v>
      </c>
      <c r="M51" s="254">
        <v>4.5064174817175118E-2</v>
      </c>
      <c r="N51" s="254">
        <v>9.3963879143910564E-2</v>
      </c>
      <c r="O51" s="254">
        <v>9.2274693682229708E-2</v>
      </c>
      <c r="P51" s="254">
        <v>0</v>
      </c>
      <c r="Q51" s="254">
        <v>0.13760733182526713</v>
      </c>
      <c r="R51" s="254">
        <v>0.32108377425895668</v>
      </c>
      <c r="S51" s="254">
        <v>0.45869110608422381</v>
      </c>
      <c r="T51" s="254">
        <v>0.48431786208877137</v>
      </c>
      <c r="U51" s="254">
        <v>0.51848687009483474</v>
      </c>
      <c r="V51" s="254">
        <v>0.54411362609938241</v>
      </c>
      <c r="W51" s="254">
        <v>0.54411362609938241</v>
      </c>
      <c r="X51" s="254">
        <v>0.12766566434951293</v>
      </c>
      <c r="Y51" s="254">
        <v>8.1349996730641277E-2</v>
      </c>
      <c r="Z51" s="254">
        <v>0.15866075019666276</v>
      </c>
      <c r="AA51" s="254">
        <v>0.26043377145958824</v>
      </c>
      <c r="AB51" s="254">
        <v>0.14044232351659813</v>
      </c>
      <c r="AC51" s="254">
        <v>6.9169979959712136E-2</v>
      </c>
      <c r="AD51" s="254">
        <v>7.975835457426754E-2</v>
      </c>
      <c r="AE51" s="254">
        <v>4.0442778345270422E-2</v>
      </c>
      <c r="AF51" s="254">
        <v>0.275456756543005</v>
      </c>
      <c r="AG51" s="254">
        <v>0.25849458633251737</v>
      </c>
      <c r="AH51" s="254">
        <v>9.5284278135883332E-2</v>
      </c>
      <c r="AI51" s="254">
        <v>0.14209995195129688</v>
      </c>
      <c r="AJ51" s="254">
        <v>0.24345649273290237</v>
      </c>
      <c r="AK51" s="254">
        <v>0.13387731710770717</v>
      </c>
      <c r="AL51" s="254">
        <v>0.20331409091909264</v>
      </c>
      <c r="AM51" s="254">
        <v>5.9757875372389163E-2</v>
      </c>
      <c r="AN51" s="254">
        <v>3.9782578849284045E-2</v>
      </c>
      <c r="AO51" s="254">
        <v>0.20331409091909264</v>
      </c>
      <c r="AP51" s="254">
        <v>5.9757875372389163E-2</v>
      </c>
      <c r="AQ51" s="254">
        <v>3.9782578849284045E-2</v>
      </c>
      <c r="AR51" s="254">
        <v>0.20331409091909264</v>
      </c>
      <c r="AS51" s="254">
        <v>5.9757875372389163E-2</v>
      </c>
      <c r="AT51" s="254">
        <v>3.9782578849284045E-2</v>
      </c>
      <c r="AU51" s="254">
        <v>0</v>
      </c>
      <c r="AV51" s="254">
        <v>0</v>
      </c>
      <c r="AW51" s="254">
        <v>0</v>
      </c>
      <c r="AX51" s="254">
        <v>0</v>
      </c>
      <c r="AY51" s="254">
        <v>0</v>
      </c>
      <c r="AZ51" s="254">
        <v>0</v>
      </c>
      <c r="BA51" s="254">
        <v>0</v>
      </c>
      <c r="BB51" s="254">
        <v>0</v>
      </c>
      <c r="BC51" s="254">
        <v>0</v>
      </c>
      <c r="BD51" s="254">
        <v>0</v>
      </c>
      <c r="BE51" s="254">
        <v>0.18347644243368955</v>
      </c>
      <c r="BF51" s="254">
        <v>0.3304453617435259</v>
      </c>
      <c r="BG51" s="254">
        <v>0.18347644243368955</v>
      </c>
      <c r="BH51" s="254">
        <v>0.14318244781270345</v>
      </c>
      <c r="BI51" s="254">
        <v>0.3212522722581988</v>
      </c>
      <c r="BJ51" s="254">
        <v>0.3212522722581988</v>
      </c>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row>
    <row r="52" spans="1:205" x14ac:dyDescent="0.25">
      <c r="A52" s="113">
        <v>0</v>
      </c>
      <c r="B52" s="120" t="s">
        <v>613</v>
      </c>
      <c r="C52" s="254">
        <v>0.2</v>
      </c>
      <c r="D52" s="254">
        <v>0.12906967567012828</v>
      </c>
      <c r="E52" s="254">
        <v>1.2034632438402247E-2</v>
      </c>
      <c r="F52" s="254">
        <v>0</v>
      </c>
      <c r="G52" s="254">
        <v>1.5562315965182601E-2</v>
      </c>
      <c r="H52" s="254">
        <v>0</v>
      </c>
      <c r="I52" s="254">
        <v>0</v>
      </c>
      <c r="J52" s="254">
        <v>1.7723123783252401E-2</v>
      </c>
      <c r="K52" s="254">
        <v>0</v>
      </c>
      <c r="L52" s="254">
        <v>5.8848649731092662E-2</v>
      </c>
      <c r="M52" s="254">
        <v>7.2207794630413475E-3</v>
      </c>
      <c r="N52" s="254">
        <v>3.1124631930365201E-3</v>
      </c>
      <c r="O52" s="254">
        <v>0</v>
      </c>
      <c r="P52" s="254">
        <v>0</v>
      </c>
      <c r="Q52" s="254">
        <v>5.3169371349757197E-3</v>
      </c>
      <c r="R52" s="254">
        <v>1.240618664827668E-2</v>
      </c>
      <c r="S52" s="254">
        <v>1.7723123783252401E-2</v>
      </c>
      <c r="T52" s="254">
        <v>1.240618664827668E-2</v>
      </c>
      <c r="U52" s="254">
        <v>5.3169371349757197E-3</v>
      </c>
      <c r="V52" s="254">
        <v>0</v>
      </c>
      <c r="W52" s="254">
        <v>0</v>
      </c>
      <c r="X52" s="254">
        <v>0.13616270810311548</v>
      </c>
      <c r="Y52" s="254">
        <v>2.7220779463041349E-2</v>
      </c>
      <c r="Z52" s="254">
        <v>2.4668694789554784E-2</v>
      </c>
      <c r="AA52" s="254">
        <v>2.9337389579109564E-2</v>
      </c>
      <c r="AB52" s="254">
        <v>0.13385747215802277</v>
      </c>
      <c r="AC52" s="254">
        <v>5.8848649731092662E-2</v>
      </c>
      <c r="AD52" s="254">
        <v>2.3343473947773901E-3</v>
      </c>
      <c r="AE52" s="254">
        <v>3.0086581096005617E-3</v>
      </c>
      <c r="AF52" s="254">
        <v>1.2449852772146081E-2</v>
      </c>
      <c r="AG52" s="254">
        <v>1.1671736973886951E-2</v>
      </c>
      <c r="AH52" s="254">
        <v>4.3159264368767452E-3</v>
      </c>
      <c r="AI52" s="254">
        <v>1.0084279386835791E-2</v>
      </c>
      <c r="AJ52" s="254">
        <v>1.2273468595807063E-2</v>
      </c>
      <c r="AK52" s="254">
        <v>4.3159264368767452E-3</v>
      </c>
      <c r="AL52" s="254">
        <v>0.15389528918558337</v>
      </c>
      <c r="AM52" s="254">
        <v>3.5441641084747455E-2</v>
      </c>
      <c r="AN52" s="254">
        <v>2.4069264876804496E-3</v>
      </c>
      <c r="AO52" s="254">
        <v>0.15389528918558337</v>
      </c>
      <c r="AP52" s="254">
        <v>3.5441641084747455E-2</v>
      </c>
      <c r="AQ52" s="254">
        <v>2.4069264876804496E-3</v>
      </c>
      <c r="AR52" s="254">
        <v>0.15389528918558337</v>
      </c>
      <c r="AS52" s="254">
        <v>3.5441641084747455E-2</v>
      </c>
      <c r="AT52" s="254">
        <v>2.4069264876804496E-3</v>
      </c>
      <c r="AU52" s="254">
        <v>0</v>
      </c>
      <c r="AV52" s="254">
        <v>0</v>
      </c>
      <c r="AW52" s="254">
        <v>0</v>
      </c>
      <c r="AX52" s="254">
        <v>0</v>
      </c>
      <c r="AY52" s="254">
        <v>0</v>
      </c>
      <c r="AZ52" s="254">
        <v>0</v>
      </c>
      <c r="BA52" s="254">
        <v>0</v>
      </c>
      <c r="BB52" s="254">
        <v>0</v>
      </c>
      <c r="BC52" s="254">
        <v>0</v>
      </c>
      <c r="BD52" s="254">
        <v>0</v>
      </c>
      <c r="BE52" s="254">
        <v>7.0892495133009605E-3</v>
      </c>
      <c r="BF52" s="254">
        <v>1.1520030459114062E-2</v>
      </c>
      <c r="BG52" s="254">
        <v>7.0892495133009605E-3</v>
      </c>
      <c r="BH52" s="254">
        <v>1.1464126807015033E-2</v>
      </c>
      <c r="BI52" s="254">
        <v>1.5562315965182601E-2</v>
      </c>
      <c r="BJ52" s="254">
        <v>1.5562315965182601E-2</v>
      </c>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row>
    <row r="53" spans="1:205" x14ac:dyDescent="0.25">
      <c r="A53" s="113">
        <v>0</v>
      </c>
      <c r="B53" s="120" t="s">
        <v>612</v>
      </c>
      <c r="C53" s="254">
        <v>5.1759195117512605E-2</v>
      </c>
      <c r="D53" s="254">
        <v>0.13348796600109442</v>
      </c>
      <c r="E53" s="254">
        <v>2.5109720805113221E-2</v>
      </c>
      <c r="F53" s="254">
        <v>6.6050450386280296E-2</v>
      </c>
      <c r="G53" s="254">
        <v>0</v>
      </c>
      <c r="H53" s="254">
        <v>0</v>
      </c>
      <c r="I53" s="254">
        <v>0</v>
      </c>
      <c r="J53" s="254">
        <v>0</v>
      </c>
      <c r="K53" s="254">
        <v>0</v>
      </c>
      <c r="L53" s="254">
        <v>6.8461018883505698E-2</v>
      </c>
      <c r="M53" s="254">
        <v>4.1486012637580054E-2</v>
      </c>
      <c r="N53" s="254">
        <v>5.284036030902424E-2</v>
      </c>
      <c r="O53" s="254">
        <v>0</v>
      </c>
      <c r="P53" s="254">
        <v>0</v>
      </c>
      <c r="Q53" s="254">
        <v>0</v>
      </c>
      <c r="R53" s="254">
        <v>0</v>
      </c>
      <c r="S53" s="254">
        <v>0</v>
      </c>
      <c r="T53" s="254">
        <v>0</v>
      </c>
      <c r="U53" s="254">
        <v>0</v>
      </c>
      <c r="V53" s="254">
        <v>0</v>
      </c>
      <c r="W53" s="254">
        <v>0</v>
      </c>
      <c r="X53" s="254">
        <v>0.12531508891273624</v>
      </c>
      <c r="Y53" s="254">
        <v>4.0056887110703279E-2</v>
      </c>
      <c r="Z53" s="254">
        <v>4.4806189743519437E-2</v>
      </c>
      <c r="AA53" s="254">
        <v>5.1759195117512605E-3</v>
      </c>
      <c r="AB53" s="254">
        <v>0.11580973810875808</v>
      </c>
      <c r="AC53" s="254">
        <v>6.8461018883505698E-2</v>
      </c>
      <c r="AD53" s="254">
        <v>5.614288282833825E-2</v>
      </c>
      <c r="AE53" s="254">
        <v>5.5815267990988529E-2</v>
      </c>
      <c r="AF53" s="254">
        <v>0</v>
      </c>
      <c r="AG53" s="254">
        <v>6.60504503862803E-3</v>
      </c>
      <c r="AH53" s="254">
        <v>4.8746287350907525E-2</v>
      </c>
      <c r="AI53" s="254">
        <v>1.1299374362300951E-2</v>
      </c>
      <c r="AJ53" s="254">
        <v>1.2554860402556611E-3</v>
      </c>
      <c r="AK53" s="254">
        <v>2.5109720805113222E-3</v>
      </c>
      <c r="AL53" s="254">
        <v>0.10488289619184078</v>
      </c>
      <c r="AM53" s="254">
        <v>4.6785369844309463E-2</v>
      </c>
      <c r="AN53" s="254">
        <v>5.7862304470046887E-2</v>
      </c>
      <c r="AO53" s="254">
        <v>0.10488289619184078</v>
      </c>
      <c r="AP53" s="254">
        <v>4.6785369844309463E-2</v>
      </c>
      <c r="AQ53" s="254">
        <v>5.7862304470046887E-2</v>
      </c>
      <c r="AR53" s="254">
        <v>0.10488289619184078</v>
      </c>
      <c r="AS53" s="254">
        <v>4.6785369844309463E-2</v>
      </c>
      <c r="AT53" s="254">
        <v>5.7862304470046887E-2</v>
      </c>
      <c r="AU53" s="254">
        <v>0</v>
      </c>
      <c r="AV53" s="254">
        <v>0</v>
      </c>
      <c r="AW53" s="254">
        <v>0</v>
      </c>
      <c r="AX53" s="254">
        <v>0</v>
      </c>
      <c r="AY53" s="254">
        <v>0</v>
      </c>
      <c r="AZ53" s="254">
        <v>0</v>
      </c>
      <c r="BA53" s="254">
        <v>0</v>
      </c>
      <c r="BB53" s="254">
        <v>0</v>
      </c>
      <c r="BC53" s="254">
        <v>0</v>
      </c>
      <c r="BD53" s="254">
        <v>0</v>
      </c>
      <c r="BE53" s="254">
        <v>0</v>
      </c>
      <c r="BF53" s="254">
        <v>0</v>
      </c>
      <c r="BG53" s="254">
        <v>0</v>
      </c>
      <c r="BH53" s="254">
        <v>2.2462427960498653E-2</v>
      </c>
      <c r="BI53" s="254">
        <v>0</v>
      </c>
      <c r="BJ53" s="254">
        <v>0</v>
      </c>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row>
    <row r="54" spans="1:205" x14ac:dyDescent="0.25">
      <c r="A54" s="113">
        <v>0</v>
      </c>
      <c r="B54" s="120" t="s">
        <v>616</v>
      </c>
      <c r="C54" s="254">
        <v>3.1482859553175102E-3</v>
      </c>
      <c r="D54" s="254">
        <v>0.13406041304407321</v>
      </c>
      <c r="E54" s="254">
        <v>1.7322520081078902E-2</v>
      </c>
      <c r="F54" s="254">
        <v>0</v>
      </c>
      <c r="G54" s="254">
        <v>0</v>
      </c>
      <c r="H54" s="254">
        <v>0</v>
      </c>
      <c r="I54" s="254">
        <v>0</v>
      </c>
      <c r="J54" s="254">
        <v>0</v>
      </c>
      <c r="K54" s="254">
        <v>0</v>
      </c>
      <c r="L54" s="254">
        <v>6.4017677266276621E-2</v>
      </c>
      <c r="M54" s="254">
        <v>1.039351204864734E-2</v>
      </c>
      <c r="N54" s="254">
        <v>0</v>
      </c>
      <c r="O54" s="254">
        <v>0</v>
      </c>
      <c r="P54" s="254">
        <v>0</v>
      </c>
      <c r="Q54" s="254">
        <v>0</v>
      </c>
      <c r="R54" s="254">
        <v>0</v>
      </c>
      <c r="S54" s="254">
        <v>0</v>
      </c>
      <c r="T54" s="254">
        <v>0</v>
      </c>
      <c r="U54" s="254">
        <v>0</v>
      </c>
      <c r="V54" s="254">
        <v>0</v>
      </c>
      <c r="W54" s="254">
        <v>0</v>
      </c>
      <c r="X54" s="254">
        <v>0.12096920033519765</v>
      </c>
      <c r="Y54" s="254">
        <v>1.070834064417909E-2</v>
      </c>
      <c r="Z54" s="254">
        <v>3.1482859553175104E-4</v>
      </c>
      <c r="AA54" s="254">
        <v>3.1482859553175104E-4</v>
      </c>
      <c r="AB54" s="254">
        <v>0.10858669933261014</v>
      </c>
      <c r="AC54" s="254">
        <v>6.4017677266276621E-2</v>
      </c>
      <c r="AD54" s="254">
        <v>0</v>
      </c>
      <c r="AE54" s="254">
        <v>4.3306300202697254E-3</v>
      </c>
      <c r="AF54" s="254">
        <v>0</v>
      </c>
      <c r="AG54" s="254">
        <v>0</v>
      </c>
      <c r="AH54" s="254">
        <v>1.7322520081078903E-3</v>
      </c>
      <c r="AI54" s="254">
        <v>7.795134036485506E-3</v>
      </c>
      <c r="AJ54" s="254">
        <v>8.6612600405394516E-4</v>
      </c>
      <c r="AK54" s="254">
        <v>1.7322520081078903E-3</v>
      </c>
      <c r="AL54" s="254">
        <v>8.8241168563008718E-2</v>
      </c>
      <c r="AM54" s="254">
        <v>4.0670098673677768E-2</v>
      </c>
      <c r="AN54" s="254">
        <v>3.4645040162157806E-3</v>
      </c>
      <c r="AO54" s="254">
        <v>8.8241168563008718E-2</v>
      </c>
      <c r="AP54" s="254">
        <v>4.0670098673677768E-2</v>
      </c>
      <c r="AQ54" s="254">
        <v>3.4645040162157806E-3</v>
      </c>
      <c r="AR54" s="254">
        <v>8.8241168563008718E-2</v>
      </c>
      <c r="AS54" s="254">
        <v>4.0670098673677768E-2</v>
      </c>
      <c r="AT54" s="254">
        <v>3.4645040162157806E-3</v>
      </c>
      <c r="AU54" s="254">
        <v>0</v>
      </c>
      <c r="AV54" s="254">
        <v>0</v>
      </c>
      <c r="AW54" s="254">
        <v>0</v>
      </c>
      <c r="AX54" s="254">
        <v>0</v>
      </c>
      <c r="AY54" s="254">
        <v>0</v>
      </c>
      <c r="AZ54" s="254">
        <v>0</v>
      </c>
      <c r="BA54" s="254">
        <v>0</v>
      </c>
      <c r="BB54" s="254">
        <v>0</v>
      </c>
      <c r="BC54" s="254">
        <v>0</v>
      </c>
      <c r="BD54" s="254">
        <v>0</v>
      </c>
      <c r="BE54" s="254">
        <v>0</v>
      </c>
      <c r="BF54" s="254">
        <v>0</v>
      </c>
      <c r="BG54" s="254">
        <v>0</v>
      </c>
      <c r="BH54" s="254">
        <v>8.6612600405394508E-3</v>
      </c>
      <c r="BI54" s="254">
        <v>0</v>
      </c>
      <c r="BJ54" s="254">
        <v>0</v>
      </c>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row>
    <row r="55" spans="1:205" x14ac:dyDescent="0.25">
      <c r="A55" s="113">
        <v>0</v>
      </c>
      <c r="B55" s="120" t="s">
        <v>615</v>
      </c>
      <c r="C55" s="254">
        <v>0.14509251949504801</v>
      </c>
      <c r="D55" s="254">
        <v>5.0284003870854903E-2</v>
      </c>
      <c r="E55" s="254">
        <v>2.0314913747514575E-2</v>
      </c>
      <c r="F55" s="254">
        <v>2.3053909182160201E-2</v>
      </c>
      <c r="G55" s="254">
        <v>5.8135944682218901E-2</v>
      </c>
      <c r="H55" s="254">
        <v>0</v>
      </c>
      <c r="I55" s="254">
        <v>0</v>
      </c>
      <c r="J55" s="254">
        <v>0</v>
      </c>
      <c r="K55" s="254">
        <v>0</v>
      </c>
      <c r="L55" s="254">
        <v>3.2302549796850703E-2</v>
      </c>
      <c r="M55" s="254">
        <v>2.1410511921372825E-2</v>
      </c>
      <c r="N55" s="254">
        <v>3.0070316282171942E-2</v>
      </c>
      <c r="O55" s="254">
        <v>0</v>
      </c>
      <c r="P55" s="254">
        <v>0</v>
      </c>
      <c r="Q55" s="254">
        <v>0</v>
      </c>
      <c r="R55" s="254">
        <v>0</v>
      </c>
      <c r="S55" s="254">
        <v>0</v>
      </c>
      <c r="T55" s="254">
        <v>0</v>
      </c>
      <c r="U55" s="254">
        <v>0</v>
      </c>
      <c r="V55" s="254">
        <v>0</v>
      </c>
      <c r="W55" s="254">
        <v>0</v>
      </c>
      <c r="X55" s="254">
        <v>5.9764855433274214E-2</v>
      </c>
      <c r="Y55" s="254">
        <v>3.3614372952661599E-2</v>
      </c>
      <c r="Z55" s="254">
        <v>4.5782380863466594E-2</v>
      </c>
      <c r="AA55" s="254">
        <v>4.9390818758836143E-2</v>
      </c>
      <c r="AB55" s="254">
        <v>6.3006826708316865E-2</v>
      </c>
      <c r="AC55" s="254">
        <v>3.2302549796850703E-2</v>
      </c>
      <c r="AD55" s="254">
        <v>2.8316214507169004E-2</v>
      </c>
      <c r="AE55" s="254">
        <v>2.2369160323498793E-2</v>
      </c>
      <c r="AF55" s="254">
        <v>4.6508755745775121E-2</v>
      </c>
      <c r="AG55" s="254">
        <v>4.5907349429880201E-2</v>
      </c>
      <c r="AH55" s="254">
        <v>2.9796416738707376E-2</v>
      </c>
      <c r="AI55" s="254">
        <v>2.6582494591047227E-2</v>
      </c>
      <c r="AJ55" s="254">
        <v>4.4617704199039904E-2</v>
      </c>
      <c r="AK55" s="254">
        <v>1.3658680311195237E-2</v>
      </c>
      <c r="AL55" s="254">
        <v>8.3466984339322481E-2</v>
      </c>
      <c r="AM55" s="254">
        <v>2.6308731772182639E-2</v>
      </c>
      <c r="AN55" s="254">
        <v>2.2506110095231076E-2</v>
      </c>
      <c r="AO55" s="254">
        <v>8.3466984339322481E-2</v>
      </c>
      <c r="AP55" s="254">
        <v>2.6308731772182639E-2</v>
      </c>
      <c r="AQ55" s="254">
        <v>2.2506110095231076E-2</v>
      </c>
      <c r="AR55" s="254">
        <v>8.3466984339322481E-2</v>
      </c>
      <c r="AS55" s="254">
        <v>2.6308731772182639E-2</v>
      </c>
      <c r="AT55" s="254">
        <v>2.2506110095231076E-2</v>
      </c>
      <c r="AU55" s="254">
        <v>0</v>
      </c>
      <c r="AV55" s="254">
        <v>0</v>
      </c>
      <c r="AW55" s="254">
        <v>0</v>
      </c>
      <c r="AX55" s="254">
        <v>0</v>
      </c>
      <c r="AY55" s="254">
        <v>0</v>
      </c>
      <c r="AZ55" s="254">
        <v>0</v>
      </c>
      <c r="BA55" s="254">
        <v>0</v>
      </c>
      <c r="BB55" s="254">
        <v>0</v>
      </c>
      <c r="BC55" s="254">
        <v>0</v>
      </c>
      <c r="BD55" s="254">
        <v>0</v>
      </c>
      <c r="BE55" s="254">
        <v>0</v>
      </c>
      <c r="BF55" s="254">
        <v>0</v>
      </c>
      <c r="BG55" s="254">
        <v>0</v>
      </c>
      <c r="BH55" s="254">
        <v>3.3963123889857935E-2</v>
      </c>
      <c r="BI55" s="254">
        <v>5.8135944682218901E-2</v>
      </c>
      <c r="BJ55" s="254">
        <v>5.8135944682218901E-2</v>
      </c>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row>
    <row r="56" spans="1:205" x14ac:dyDescent="0.25">
      <c r="A56" s="113">
        <v>0</v>
      </c>
      <c r="B56" s="120" t="s">
        <v>610</v>
      </c>
      <c r="C56" s="254">
        <v>0.2</v>
      </c>
      <c r="D56" s="254">
        <v>9.6803338864559413E-2</v>
      </c>
      <c r="E56" s="254">
        <v>0.11454091682957633</v>
      </c>
      <c r="F56" s="254">
        <v>0.29680776874838122</v>
      </c>
      <c r="G56" s="254">
        <v>0.1942239189226341</v>
      </c>
      <c r="H56" s="254">
        <v>0.40852281855379091</v>
      </c>
      <c r="I56" s="254">
        <v>0.34228634214741693</v>
      </c>
      <c r="J56" s="254">
        <v>0.26801537222008398</v>
      </c>
      <c r="K56" s="254">
        <v>0.15911442728248601</v>
      </c>
      <c r="L56" s="254">
        <v>0.10744588564356956</v>
      </c>
      <c r="M56" s="254">
        <v>0.1874476575970983</v>
      </c>
      <c r="N56" s="254">
        <v>0.27629099878323182</v>
      </c>
      <c r="O56" s="254">
        <v>0.40852281855379091</v>
      </c>
      <c r="P56" s="254">
        <v>0.34228634214741693</v>
      </c>
      <c r="Q56" s="254">
        <v>0.32000505116921707</v>
      </c>
      <c r="R56" s="254">
        <v>0.29029666319828384</v>
      </c>
      <c r="S56" s="254">
        <v>0.26801537222008398</v>
      </c>
      <c r="T56" s="254">
        <v>0.23534508873880458</v>
      </c>
      <c r="U56" s="254">
        <v>0.19178471076376541</v>
      </c>
      <c r="V56" s="254">
        <v>0.15911442728248601</v>
      </c>
      <c r="W56" s="254">
        <v>0.15911442728248601</v>
      </c>
      <c r="X56" s="254">
        <v>0.10712300497810348</v>
      </c>
      <c r="Y56" s="254">
        <v>0.17776688072226016</v>
      </c>
      <c r="Z56" s="254">
        <v>0.25635183692581892</v>
      </c>
      <c r="AA56" s="254">
        <v>0.25909119691971771</v>
      </c>
      <c r="AB56" s="254">
        <v>0.11316971693312636</v>
      </c>
      <c r="AC56" s="254">
        <v>0.10744588564356956</v>
      </c>
      <c r="AD56" s="254">
        <v>0.28142019127451912</v>
      </c>
      <c r="AE56" s="254">
        <v>0.25124105576868</v>
      </c>
      <c r="AF56" s="254">
        <v>0.23708369884886549</v>
      </c>
      <c r="AG56" s="254">
        <v>0.23662713884988235</v>
      </c>
      <c r="AH56" s="254">
        <v>0.25806431359135129</v>
      </c>
      <c r="AI56" s="254">
        <v>0.21194129288854732</v>
      </c>
      <c r="AJ56" s="254">
        <v>0.21985225346293777</v>
      </c>
      <c r="AK56" s="254">
        <v>0.3362648484551381</v>
      </c>
      <c r="AL56" s="254">
        <v>0.13292217026196362</v>
      </c>
      <c r="AM56" s="254">
        <v>0.11099340123657295</v>
      </c>
      <c r="AN56" s="254">
        <v>0.26035439836462027</v>
      </c>
      <c r="AO56" s="254">
        <v>0.13292217026196362</v>
      </c>
      <c r="AP56" s="254">
        <v>0.11099340123657295</v>
      </c>
      <c r="AQ56" s="254">
        <v>0.26035439836462027</v>
      </c>
      <c r="AR56" s="254">
        <v>0.13292217026196362</v>
      </c>
      <c r="AS56" s="254">
        <v>0.11099340123657295</v>
      </c>
      <c r="AT56" s="254">
        <v>0.26035439836462027</v>
      </c>
      <c r="AU56" s="254">
        <v>0</v>
      </c>
      <c r="AV56" s="254">
        <v>0</v>
      </c>
      <c r="AW56" s="254">
        <v>0</v>
      </c>
      <c r="AX56" s="254">
        <v>0</v>
      </c>
      <c r="AY56" s="254">
        <v>0</v>
      </c>
      <c r="AZ56" s="254">
        <v>0</v>
      </c>
      <c r="BA56" s="254">
        <v>0</v>
      </c>
      <c r="BB56" s="254">
        <v>0</v>
      </c>
      <c r="BC56" s="254">
        <v>0</v>
      </c>
      <c r="BD56" s="254">
        <v>0</v>
      </c>
      <c r="BE56" s="254">
        <v>0.31257795417648376</v>
      </c>
      <c r="BF56" s="254">
        <v>0.31719297843688143</v>
      </c>
      <c r="BG56" s="254">
        <v>0.31257795417648376</v>
      </c>
      <c r="BH56" s="254">
        <v>0.16976999534996728</v>
      </c>
      <c r="BI56" s="254">
        <v>0.1942239189226341</v>
      </c>
      <c r="BJ56" s="254">
        <v>0.1942239189226341</v>
      </c>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row>
    <row r="57" spans="1:205" x14ac:dyDescent="0.25">
      <c r="A57" s="113">
        <v>0</v>
      </c>
      <c r="B57" s="120" t="s">
        <v>647</v>
      </c>
      <c r="C57" s="254">
        <v>0</v>
      </c>
      <c r="D57" s="254">
        <v>0</v>
      </c>
      <c r="E57" s="254">
        <v>0</v>
      </c>
      <c r="F57" s="254">
        <v>0</v>
      </c>
      <c r="G57" s="254">
        <v>0</v>
      </c>
      <c r="H57" s="254">
        <v>0</v>
      </c>
      <c r="I57" s="254">
        <v>0</v>
      </c>
      <c r="J57" s="254">
        <v>0</v>
      </c>
      <c r="K57" s="254">
        <v>0</v>
      </c>
      <c r="L57" s="254">
        <v>0</v>
      </c>
      <c r="M57" s="254">
        <v>0</v>
      </c>
      <c r="N57" s="254">
        <v>0</v>
      </c>
      <c r="O57" s="254">
        <v>0</v>
      </c>
      <c r="P57" s="254">
        <v>0</v>
      </c>
      <c r="Q57" s="254">
        <v>0</v>
      </c>
      <c r="R57" s="254">
        <v>0</v>
      </c>
      <c r="S57" s="254">
        <v>0</v>
      </c>
      <c r="T57" s="254">
        <v>0</v>
      </c>
      <c r="U57" s="254">
        <v>0</v>
      </c>
      <c r="V57" s="254">
        <v>0</v>
      </c>
      <c r="W57" s="254">
        <v>0</v>
      </c>
      <c r="X57" s="254">
        <v>0</v>
      </c>
      <c r="Y57" s="254">
        <v>0</v>
      </c>
      <c r="Z57" s="254">
        <v>0</v>
      </c>
      <c r="AA57" s="254">
        <v>0</v>
      </c>
      <c r="AB57" s="254">
        <v>0</v>
      </c>
      <c r="AC57" s="254">
        <v>0</v>
      </c>
      <c r="AD57" s="254">
        <v>0</v>
      </c>
      <c r="AE57" s="254">
        <v>0</v>
      </c>
      <c r="AF57" s="254">
        <v>0</v>
      </c>
      <c r="AG57" s="254">
        <v>0</v>
      </c>
      <c r="AH57" s="254">
        <v>0</v>
      </c>
      <c r="AI57" s="254">
        <v>0</v>
      </c>
      <c r="AJ57" s="254">
        <v>0</v>
      </c>
      <c r="AK57" s="254">
        <v>0</v>
      </c>
      <c r="AL57" s="254">
        <v>0</v>
      </c>
      <c r="AM57" s="254">
        <v>0</v>
      </c>
      <c r="AN57" s="254">
        <v>0</v>
      </c>
      <c r="AO57" s="254">
        <v>0</v>
      </c>
      <c r="AP57" s="254">
        <v>0</v>
      </c>
      <c r="AQ57" s="254">
        <v>0</v>
      </c>
      <c r="AR57" s="254">
        <v>0</v>
      </c>
      <c r="AS57" s="254">
        <v>0</v>
      </c>
      <c r="AT57" s="254">
        <v>0</v>
      </c>
      <c r="AU57" s="254">
        <v>0</v>
      </c>
      <c r="AV57" s="254">
        <v>0</v>
      </c>
      <c r="AW57" s="254">
        <v>0</v>
      </c>
      <c r="AX57" s="254">
        <v>0</v>
      </c>
      <c r="AY57" s="254">
        <v>0</v>
      </c>
      <c r="AZ57" s="254">
        <v>0</v>
      </c>
      <c r="BA57" s="254">
        <v>0</v>
      </c>
      <c r="BB57" s="254">
        <v>0</v>
      </c>
      <c r="BC57" s="254">
        <v>0</v>
      </c>
      <c r="BD57" s="254">
        <v>0</v>
      </c>
      <c r="BE57" s="254">
        <v>0</v>
      </c>
      <c r="BF57" s="254">
        <v>0</v>
      </c>
      <c r="BG57" s="254">
        <v>0</v>
      </c>
      <c r="BH57" s="254">
        <v>0</v>
      </c>
      <c r="BI57" s="254">
        <v>0</v>
      </c>
      <c r="BJ57" s="254">
        <v>0</v>
      </c>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row>
    <row r="58" spans="1:205" x14ac:dyDescent="0.25">
      <c r="A58" s="113">
        <v>0</v>
      </c>
      <c r="B58" s="120" t="s">
        <v>611</v>
      </c>
      <c r="C58" s="254">
        <v>0</v>
      </c>
      <c r="D58" s="254">
        <v>0.19710905742680501</v>
      </c>
      <c r="E58" s="254">
        <v>0.30471893073429135</v>
      </c>
      <c r="F58" s="254">
        <v>0.19146928149032991</v>
      </c>
      <c r="G58" s="254">
        <v>0</v>
      </c>
      <c r="H58" s="254">
        <v>0</v>
      </c>
      <c r="I58" s="254">
        <v>0.19883580982014309</v>
      </c>
      <c r="J58" s="254">
        <v>0</v>
      </c>
      <c r="K58" s="254">
        <v>0</v>
      </c>
      <c r="L58" s="254">
        <v>0.2616749814112968</v>
      </c>
      <c r="M58" s="254">
        <v>0.25941907103670675</v>
      </c>
      <c r="N58" s="254">
        <v>0.15317542519226393</v>
      </c>
      <c r="O58" s="254">
        <v>0</v>
      </c>
      <c r="P58" s="254">
        <v>0.19883580982014309</v>
      </c>
      <c r="Q58" s="254">
        <v>0.13918506687410015</v>
      </c>
      <c r="R58" s="254">
        <v>5.9650742946042924E-2</v>
      </c>
      <c r="S58" s="254">
        <v>0</v>
      </c>
      <c r="T58" s="254">
        <v>0</v>
      </c>
      <c r="U58" s="254">
        <v>0</v>
      </c>
      <c r="V58" s="254">
        <v>0</v>
      </c>
      <c r="W58" s="254">
        <v>0</v>
      </c>
      <c r="X58" s="254">
        <v>0.17739815168412451</v>
      </c>
      <c r="Y58" s="254">
        <v>0.24027214288767379</v>
      </c>
      <c r="Z58" s="254">
        <v>0.11488156889419794</v>
      </c>
      <c r="AA58" s="254">
        <v>0</v>
      </c>
      <c r="AB58" s="254">
        <v>0.17292319247815857</v>
      </c>
      <c r="AC58" s="254">
        <v>0.2616749814112968</v>
      </c>
      <c r="AD58" s="254">
        <v>0.16274888926678041</v>
      </c>
      <c r="AE58" s="254">
        <v>0.21978169380132029</v>
      </c>
      <c r="AF58" s="254">
        <v>0</v>
      </c>
      <c r="AG58" s="254">
        <v>1.9146928149032991E-2</v>
      </c>
      <c r="AH58" s="254">
        <v>0.16450039011666004</v>
      </c>
      <c r="AI58" s="254">
        <v>0.13712351883043114</v>
      </c>
      <c r="AJ58" s="254">
        <v>5.5003108500743192E-2</v>
      </c>
      <c r="AK58" s="254">
        <v>3.0471893073429141E-2</v>
      </c>
      <c r="AL58" s="254">
        <v>0.12812088732742327</v>
      </c>
      <c r="AM58" s="254">
        <v>0.28319695607279416</v>
      </c>
      <c r="AN58" s="254">
        <v>0.21411921133912221</v>
      </c>
      <c r="AO58" s="254">
        <v>0.12812088732742327</v>
      </c>
      <c r="AP58" s="254">
        <v>0.28319695607279416</v>
      </c>
      <c r="AQ58" s="254">
        <v>0.21411921133912221</v>
      </c>
      <c r="AR58" s="254">
        <v>0.12812088732742327</v>
      </c>
      <c r="AS58" s="254">
        <v>0.28319695607279416</v>
      </c>
      <c r="AT58" s="254">
        <v>0.21411921133912221</v>
      </c>
      <c r="AU58" s="254">
        <v>0</v>
      </c>
      <c r="AV58" s="254">
        <v>0</v>
      </c>
      <c r="AW58" s="254">
        <v>0</v>
      </c>
      <c r="AX58" s="254">
        <v>0</v>
      </c>
      <c r="AY58" s="254">
        <v>0</v>
      </c>
      <c r="AZ58" s="254">
        <v>0</v>
      </c>
      <c r="BA58" s="254">
        <v>0</v>
      </c>
      <c r="BB58" s="254">
        <v>0</v>
      </c>
      <c r="BC58" s="254">
        <v>0</v>
      </c>
      <c r="BD58" s="254">
        <v>0</v>
      </c>
      <c r="BE58" s="254">
        <v>0.11930148589208585</v>
      </c>
      <c r="BF58" s="254">
        <v>0</v>
      </c>
      <c r="BG58" s="254">
        <v>0.11930148589208585</v>
      </c>
      <c r="BH58" s="254">
        <v>0.18107985759069517</v>
      </c>
      <c r="BI58" s="254">
        <v>0</v>
      </c>
      <c r="BJ58" s="254">
        <v>0</v>
      </c>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row>
    <row r="59" spans="1:205" x14ac:dyDescent="0.25">
      <c r="A59" s="113">
        <v>0</v>
      </c>
      <c r="B59" s="120" t="s">
        <v>617</v>
      </c>
      <c r="C59" s="254">
        <v>0</v>
      </c>
      <c r="D59" s="254">
        <v>0.13221432231023361</v>
      </c>
      <c r="E59" s="254">
        <v>3.7770204066684146E-2</v>
      </c>
      <c r="F59" s="254">
        <v>4.6246186246187294E-2</v>
      </c>
      <c r="G59" s="254">
        <v>0</v>
      </c>
      <c r="H59" s="254">
        <v>0</v>
      </c>
      <c r="I59" s="254">
        <v>0</v>
      </c>
      <c r="J59" s="254">
        <v>0</v>
      </c>
      <c r="K59" s="254">
        <v>0</v>
      </c>
      <c r="L59" s="254">
        <v>7.5547851364103941E-2</v>
      </c>
      <c r="M59" s="254">
        <v>4.1160596938485408E-2</v>
      </c>
      <c r="N59" s="254">
        <v>3.6996948996949837E-2</v>
      </c>
      <c r="O59" s="254">
        <v>0</v>
      </c>
      <c r="P59" s="254">
        <v>0</v>
      </c>
      <c r="Q59" s="254">
        <v>0</v>
      </c>
      <c r="R59" s="254">
        <v>0</v>
      </c>
      <c r="S59" s="254">
        <v>0</v>
      </c>
      <c r="T59" s="254">
        <v>0</v>
      </c>
      <c r="U59" s="254">
        <v>0</v>
      </c>
      <c r="V59" s="254">
        <v>0</v>
      </c>
      <c r="W59" s="254">
        <v>0</v>
      </c>
      <c r="X59" s="254">
        <v>0.11899289007921025</v>
      </c>
      <c r="Y59" s="254">
        <v>3.6535978313866679E-2</v>
      </c>
      <c r="Z59" s="254">
        <v>2.7747711747712376E-2</v>
      </c>
      <c r="AA59" s="254">
        <v>0</v>
      </c>
      <c r="AB59" s="254">
        <v>0.1076599680515211</v>
      </c>
      <c r="AC59" s="254">
        <v>7.5547851364103941E-2</v>
      </c>
      <c r="AD59" s="254">
        <v>3.9309258309259201E-2</v>
      </c>
      <c r="AE59" s="254">
        <v>4.4127190701311506E-2</v>
      </c>
      <c r="AF59" s="254">
        <v>0</v>
      </c>
      <c r="AG59" s="254">
        <v>4.6246186246187296E-3</v>
      </c>
      <c r="AH59" s="254">
        <v>3.6149350778999514E-2</v>
      </c>
      <c r="AI59" s="254">
        <v>1.6996591830007866E-2</v>
      </c>
      <c r="AJ59" s="254">
        <v>1.8885102033342075E-3</v>
      </c>
      <c r="AK59" s="254">
        <v>3.7770204066684149E-3</v>
      </c>
      <c r="AL59" s="254">
        <v>8.593930950165185E-2</v>
      </c>
      <c r="AM59" s="254">
        <v>5.6659027715394043E-2</v>
      </c>
      <c r="AN59" s="254">
        <v>4.455098981028667E-2</v>
      </c>
      <c r="AO59" s="254">
        <v>8.593930950165185E-2</v>
      </c>
      <c r="AP59" s="254">
        <v>5.6659027715394043E-2</v>
      </c>
      <c r="AQ59" s="254">
        <v>4.455098981028667E-2</v>
      </c>
      <c r="AR59" s="254">
        <v>8.593930950165185E-2</v>
      </c>
      <c r="AS59" s="254">
        <v>5.6659027715394043E-2</v>
      </c>
      <c r="AT59" s="254">
        <v>4.455098981028667E-2</v>
      </c>
      <c r="AU59" s="254">
        <v>0</v>
      </c>
      <c r="AV59" s="254">
        <v>0</v>
      </c>
      <c r="AW59" s="254">
        <v>0</v>
      </c>
      <c r="AX59" s="254">
        <v>0</v>
      </c>
      <c r="AY59" s="254">
        <v>0</v>
      </c>
      <c r="AZ59" s="254">
        <v>0</v>
      </c>
      <c r="BA59" s="254">
        <v>0</v>
      </c>
      <c r="BB59" s="254">
        <v>0</v>
      </c>
      <c r="BC59" s="254">
        <v>0</v>
      </c>
      <c r="BD59" s="254">
        <v>0</v>
      </c>
      <c r="BE59" s="254">
        <v>0</v>
      </c>
      <c r="BF59" s="254">
        <v>0</v>
      </c>
      <c r="BG59" s="254">
        <v>0</v>
      </c>
      <c r="BH59" s="254">
        <v>2.5822029970270166E-2</v>
      </c>
      <c r="BI59" s="254">
        <v>0</v>
      </c>
      <c r="BJ59" s="254">
        <v>0</v>
      </c>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row>
    <row r="60" spans="1:205" x14ac:dyDescent="0.25">
      <c r="A60" s="113">
        <v>0</v>
      </c>
      <c r="B60" s="120" t="s">
        <v>673</v>
      </c>
      <c r="C60" s="254">
        <v>0</v>
      </c>
      <c r="D60" s="254">
        <v>2.9564929090569403E-2</v>
      </c>
      <c r="E60" s="254">
        <v>0.26141931853117684</v>
      </c>
      <c r="F60" s="254">
        <v>6.5630576493354298E-2</v>
      </c>
      <c r="G60" s="254">
        <v>9.6248004149960015E-2</v>
      </c>
      <c r="H60" s="254">
        <v>0.22339611545705251</v>
      </c>
      <c r="I60" s="254">
        <v>0.17425398532378852</v>
      </c>
      <c r="J60" s="254">
        <v>9.221874418320411E-2</v>
      </c>
      <c r="K60" s="254">
        <v>0.29677194661813144</v>
      </c>
      <c r="L60" s="254">
        <v>0.16867756275493384</v>
      </c>
      <c r="M60" s="254">
        <v>0.1831038217160478</v>
      </c>
      <c r="N60" s="254">
        <v>7.1754062024675436E-2</v>
      </c>
      <c r="O60" s="254">
        <v>0.22339611545705251</v>
      </c>
      <c r="P60" s="254">
        <v>0.17425398532378852</v>
      </c>
      <c r="Q60" s="254">
        <v>0.14964341298161321</v>
      </c>
      <c r="R60" s="254">
        <v>0.11682931652537944</v>
      </c>
      <c r="S60" s="254">
        <v>9.221874418320411E-2</v>
      </c>
      <c r="T60" s="254">
        <v>0.15358470491368231</v>
      </c>
      <c r="U60" s="254">
        <v>0.23540598588765321</v>
      </c>
      <c r="V60" s="254">
        <v>0.29677194661813144</v>
      </c>
      <c r="W60" s="254">
        <v>0.29677194661813144</v>
      </c>
      <c r="X60" s="254">
        <v>2.6608436181512464E-2</v>
      </c>
      <c r="Y60" s="254">
        <v>0.17654076406671237</v>
      </c>
      <c r="Z60" s="254">
        <v>6.8252747141000575E-2</v>
      </c>
      <c r="AA60" s="254">
        <v>0.12476763712709175</v>
      </c>
      <c r="AB60" s="254">
        <v>3.6722909199014366E-2</v>
      </c>
      <c r="AC60" s="254">
        <v>0.16867756275493384</v>
      </c>
      <c r="AD60" s="254">
        <v>7.0223190641845151E-2</v>
      </c>
      <c r="AE60" s="254">
        <v>0.11457776200280993</v>
      </c>
      <c r="AF60" s="254">
        <v>0.12167762641137853</v>
      </c>
      <c r="AG60" s="254">
        <v>0.11225847808036331</v>
      </c>
      <c r="AH60" s="254">
        <v>9.1332936228457701E-2</v>
      </c>
      <c r="AI60" s="254">
        <v>0.20236212344828072</v>
      </c>
      <c r="AJ60" s="254">
        <v>0.12010776610378655</v>
      </c>
      <c r="AK60" s="254">
        <v>0.20176881350304643</v>
      </c>
      <c r="AL60" s="254">
        <v>1.9217203908870113E-2</v>
      </c>
      <c r="AM60" s="254">
        <v>0.21504844064305537</v>
      </c>
      <c r="AN60" s="254">
        <v>0.1047883249009188</v>
      </c>
      <c r="AO60" s="254">
        <v>1.9217203908870113E-2</v>
      </c>
      <c r="AP60" s="254">
        <v>0.21504844064305537</v>
      </c>
      <c r="AQ60" s="254">
        <v>0.1047883249009188</v>
      </c>
      <c r="AR60" s="254">
        <v>1.9217203908870113E-2</v>
      </c>
      <c r="AS60" s="254">
        <v>0.21504844064305537</v>
      </c>
      <c r="AT60" s="254">
        <v>0.1047883249009188</v>
      </c>
      <c r="AU60" s="254">
        <v>0</v>
      </c>
      <c r="AV60" s="254">
        <v>0</v>
      </c>
      <c r="AW60" s="254">
        <v>0</v>
      </c>
      <c r="AX60" s="254">
        <v>0</v>
      </c>
      <c r="AY60" s="254">
        <v>0</v>
      </c>
      <c r="AZ60" s="254">
        <v>0</v>
      </c>
      <c r="BA60" s="254">
        <v>0</v>
      </c>
      <c r="BB60" s="254">
        <v>0</v>
      </c>
      <c r="BC60" s="254">
        <v>0</v>
      </c>
      <c r="BD60" s="254">
        <v>0</v>
      </c>
      <c r="BE60" s="254">
        <v>0.14143988886755476</v>
      </c>
      <c r="BF60" s="254">
        <v>0.13813082412905103</v>
      </c>
      <c r="BG60" s="254">
        <v>0.14143988886755476</v>
      </c>
      <c r="BH60" s="254">
        <v>0.17424104719207756</v>
      </c>
      <c r="BI60" s="254">
        <v>9.6248004149960015E-2</v>
      </c>
      <c r="BJ60" s="254">
        <v>9.6248004149960015E-2</v>
      </c>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row>
    <row r="61" spans="1:205" x14ac:dyDescent="0.25">
      <c r="A61" s="113">
        <v>0</v>
      </c>
      <c r="B61" s="120" t="s">
        <v>1091</v>
      </c>
      <c r="C61" s="254">
        <v>0</v>
      </c>
      <c r="D61" s="254">
        <v>0</v>
      </c>
      <c r="E61" s="254">
        <v>0</v>
      </c>
      <c r="F61" s="254">
        <v>0</v>
      </c>
      <c r="G61" s="254">
        <v>4.6069993904808197E-2</v>
      </c>
      <c r="H61" s="254">
        <v>0</v>
      </c>
      <c r="I61" s="254">
        <v>0</v>
      </c>
      <c r="J61" s="254">
        <v>0</v>
      </c>
      <c r="K61" s="254">
        <v>0</v>
      </c>
      <c r="L61" s="254">
        <v>0</v>
      </c>
      <c r="M61" s="254">
        <v>0</v>
      </c>
      <c r="N61" s="254">
        <v>9.2139987809616401E-3</v>
      </c>
      <c r="O61" s="254">
        <v>0</v>
      </c>
      <c r="P61" s="254">
        <v>0</v>
      </c>
      <c r="Q61" s="254">
        <v>0</v>
      </c>
      <c r="R61" s="254">
        <v>0</v>
      </c>
      <c r="S61" s="254">
        <v>0</v>
      </c>
      <c r="T61" s="254">
        <v>0</v>
      </c>
      <c r="U61" s="254">
        <v>0</v>
      </c>
      <c r="V61" s="254">
        <v>0</v>
      </c>
      <c r="W61" s="254">
        <v>0</v>
      </c>
      <c r="X61" s="254">
        <v>0</v>
      </c>
      <c r="Y61" s="254">
        <v>0</v>
      </c>
      <c r="Z61" s="254">
        <v>1.3820998171442458E-2</v>
      </c>
      <c r="AA61" s="254">
        <v>2.7641996342884917E-2</v>
      </c>
      <c r="AB61" s="254">
        <v>0</v>
      </c>
      <c r="AC61" s="254">
        <v>0</v>
      </c>
      <c r="AD61" s="254">
        <v>6.9104990857212292E-3</v>
      </c>
      <c r="AE61" s="254">
        <v>0</v>
      </c>
      <c r="AF61" s="254">
        <v>3.6855995123846561E-2</v>
      </c>
      <c r="AG61" s="254">
        <v>3.4552495428606146E-2</v>
      </c>
      <c r="AH61" s="254">
        <v>9.2139987809616401E-3</v>
      </c>
      <c r="AI61" s="254">
        <v>1.3820998171442458E-2</v>
      </c>
      <c r="AJ61" s="254">
        <v>3.4552495428606146E-2</v>
      </c>
      <c r="AK61" s="254">
        <v>9.2139987809616401E-3</v>
      </c>
      <c r="AL61" s="254">
        <v>0</v>
      </c>
      <c r="AM61" s="254">
        <v>0</v>
      </c>
      <c r="AN61" s="254">
        <v>0</v>
      </c>
      <c r="AO61" s="254">
        <v>0</v>
      </c>
      <c r="AP61" s="254">
        <v>0</v>
      </c>
      <c r="AQ61" s="254">
        <v>0</v>
      </c>
      <c r="AR61" s="254">
        <v>0</v>
      </c>
      <c r="AS61" s="254">
        <v>0</v>
      </c>
      <c r="AT61" s="254">
        <v>0</v>
      </c>
      <c r="AU61" s="254">
        <v>0</v>
      </c>
      <c r="AV61" s="254">
        <v>0</v>
      </c>
      <c r="AW61" s="254">
        <v>0</v>
      </c>
      <c r="AX61" s="254">
        <v>0</v>
      </c>
      <c r="AY61" s="254">
        <v>0</v>
      </c>
      <c r="AZ61" s="254">
        <v>0</v>
      </c>
      <c r="BA61" s="254">
        <v>0</v>
      </c>
      <c r="BB61" s="254">
        <v>0</v>
      </c>
      <c r="BC61" s="254">
        <v>0</v>
      </c>
      <c r="BD61" s="254">
        <v>0</v>
      </c>
      <c r="BE61" s="254">
        <v>0</v>
      </c>
      <c r="BF61" s="254">
        <v>0</v>
      </c>
      <c r="BG61" s="254">
        <v>0</v>
      </c>
      <c r="BH61" s="254">
        <v>1.6124497866682869E-2</v>
      </c>
      <c r="BI61" s="254">
        <v>4.6069993904808197E-2</v>
      </c>
      <c r="BJ61" s="254">
        <v>4.6069993904808197E-2</v>
      </c>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row>
    <row r="62" spans="1:205" x14ac:dyDescent="0.25">
      <c r="A62" s="113">
        <v>0</v>
      </c>
      <c r="B62" s="120" t="s">
        <v>1092</v>
      </c>
      <c r="C62" s="254">
        <v>0</v>
      </c>
      <c r="D62" s="254">
        <v>0</v>
      </c>
      <c r="E62" s="254">
        <v>0</v>
      </c>
      <c r="F62" s="254">
        <v>0</v>
      </c>
      <c r="G62" s="254">
        <v>5.5555230303903101E-2</v>
      </c>
      <c r="H62" s="254">
        <v>4.1609982259733995E-2</v>
      </c>
      <c r="I62" s="254">
        <v>5.3259336229818502E-2</v>
      </c>
      <c r="J62" s="254">
        <v>0</v>
      </c>
      <c r="K62" s="254">
        <v>0</v>
      </c>
      <c r="L62" s="254">
        <v>0</v>
      </c>
      <c r="M62" s="254">
        <v>0</v>
      </c>
      <c r="N62" s="254">
        <v>1.1111046060780621E-2</v>
      </c>
      <c r="O62" s="254">
        <v>4.1609982259733995E-2</v>
      </c>
      <c r="P62" s="254">
        <v>5.3259336229818502E-2</v>
      </c>
      <c r="Q62" s="254">
        <v>3.7281535360872947E-2</v>
      </c>
      <c r="R62" s="254">
        <v>1.5977800868945551E-2</v>
      </c>
      <c r="S62" s="254">
        <v>0</v>
      </c>
      <c r="T62" s="254">
        <v>0</v>
      </c>
      <c r="U62" s="254">
        <v>0</v>
      </c>
      <c r="V62" s="254">
        <v>0</v>
      </c>
      <c r="W62" s="254">
        <v>0</v>
      </c>
      <c r="X62" s="254">
        <v>0</v>
      </c>
      <c r="Y62" s="254">
        <v>0</v>
      </c>
      <c r="Z62" s="254">
        <v>1.6666569091170931E-2</v>
      </c>
      <c r="AA62" s="254">
        <v>4.5816132860262059E-2</v>
      </c>
      <c r="AB62" s="254">
        <v>0</v>
      </c>
      <c r="AC62" s="254">
        <v>0</v>
      </c>
      <c r="AD62" s="254">
        <v>8.3332845455854655E-3</v>
      </c>
      <c r="AE62" s="254">
        <v>0</v>
      </c>
      <c r="AF62" s="254">
        <v>5.2766180695069283E-2</v>
      </c>
      <c r="AG62" s="254">
        <v>4.7907920066887426E-2</v>
      </c>
      <c r="AH62" s="254">
        <v>1.1111046060780621E-2</v>
      </c>
      <c r="AI62" s="254">
        <v>2.7069064656104432E-2</v>
      </c>
      <c r="AJ62" s="254">
        <v>5.2318289973891027E-2</v>
      </c>
      <c r="AK62" s="254">
        <v>4.0238033642594415E-2</v>
      </c>
      <c r="AL62" s="254">
        <v>0</v>
      </c>
      <c r="AM62" s="254">
        <v>0</v>
      </c>
      <c r="AN62" s="254">
        <v>0</v>
      </c>
      <c r="AO62" s="254">
        <v>0</v>
      </c>
      <c r="AP62" s="254">
        <v>0</v>
      </c>
      <c r="AQ62" s="254">
        <v>0</v>
      </c>
      <c r="AR62" s="254">
        <v>0</v>
      </c>
      <c r="AS62" s="254">
        <v>0</v>
      </c>
      <c r="AT62" s="254">
        <v>0</v>
      </c>
      <c r="AU62" s="254">
        <v>0</v>
      </c>
      <c r="AV62" s="254">
        <v>0</v>
      </c>
      <c r="AW62" s="254">
        <v>0</v>
      </c>
      <c r="AX62" s="254">
        <v>0</v>
      </c>
      <c r="AY62" s="254">
        <v>0</v>
      </c>
      <c r="AZ62" s="254">
        <v>0</v>
      </c>
      <c r="BA62" s="254">
        <v>0</v>
      </c>
      <c r="BB62" s="254">
        <v>0</v>
      </c>
      <c r="BC62" s="254">
        <v>0</v>
      </c>
      <c r="BD62" s="254">
        <v>0</v>
      </c>
      <c r="BE62" s="254">
        <v>3.1955601737891103E-2</v>
      </c>
      <c r="BF62" s="254">
        <v>1.4563493790906898E-2</v>
      </c>
      <c r="BG62" s="254">
        <v>3.1955601737891103E-2</v>
      </c>
      <c r="BH62" s="254">
        <v>1.9444330606366085E-2</v>
      </c>
      <c r="BI62" s="254">
        <v>5.5555230303903101E-2</v>
      </c>
      <c r="BJ62" s="254">
        <v>5.5555230303903101E-2</v>
      </c>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row>
    <row r="63" spans="1:205" x14ac:dyDescent="0.25">
      <c r="A63" s="113">
        <v>0</v>
      </c>
      <c r="B63" s="120" t="s">
        <v>1093</v>
      </c>
      <c r="C63" s="254">
        <v>0</v>
      </c>
      <c r="D63" s="254">
        <v>0</v>
      </c>
      <c r="E63" s="254">
        <v>7.1143389917866506E-3</v>
      </c>
      <c r="F63" s="254">
        <v>0.14584572554078701</v>
      </c>
      <c r="G63" s="254">
        <v>0</v>
      </c>
      <c r="H63" s="254">
        <v>0</v>
      </c>
      <c r="I63" s="254">
        <v>0</v>
      </c>
      <c r="J63" s="254">
        <v>0</v>
      </c>
      <c r="K63" s="254">
        <v>0</v>
      </c>
      <c r="L63" s="254">
        <v>4.26860339507199E-3</v>
      </c>
      <c r="M63" s="254">
        <v>6.2606893611386799E-2</v>
      </c>
      <c r="N63" s="254">
        <v>0.11667658043262961</v>
      </c>
      <c r="O63" s="254">
        <v>0</v>
      </c>
      <c r="P63" s="254">
        <v>0</v>
      </c>
      <c r="Q63" s="254">
        <v>0</v>
      </c>
      <c r="R63" s="254">
        <v>0</v>
      </c>
      <c r="S63" s="254">
        <v>0</v>
      </c>
      <c r="T63" s="254">
        <v>0</v>
      </c>
      <c r="U63" s="254">
        <v>0</v>
      </c>
      <c r="V63" s="254">
        <v>0</v>
      </c>
      <c r="W63" s="254">
        <v>0</v>
      </c>
      <c r="X63" s="254">
        <v>0</v>
      </c>
      <c r="Y63" s="254">
        <v>4.8022321057308096E-2</v>
      </c>
      <c r="Z63" s="254">
        <v>8.7507435324472208E-2</v>
      </c>
      <c r="AA63" s="254">
        <v>0</v>
      </c>
      <c r="AB63" s="254">
        <v>3.5571694958933258E-4</v>
      </c>
      <c r="AC63" s="254">
        <v>4.26860339507199E-3</v>
      </c>
      <c r="AD63" s="254">
        <v>0.12396886670966896</v>
      </c>
      <c r="AE63" s="254">
        <v>0.11116287890353692</v>
      </c>
      <c r="AF63" s="254">
        <v>0</v>
      </c>
      <c r="AG63" s="254">
        <v>1.4584572554078702E-2</v>
      </c>
      <c r="AH63" s="254">
        <v>0.10280344177772956</v>
      </c>
      <c r="AI63" s="254">
        <v>3.201452546303993E-3</v>
      </c>
      <c r="AJ63" s="254">
        <v>3.5571694958933258E-4</v>
      </c>
      <c r="AK63" s="254">
        <v>7.1143389917866515E-4</v>
      </c>
      <c r="AL63" s="254">
        <v>0</v>
      </c>
      <c r="AM63" s="254">
        <v>5.6914711934293212E-3</v>
      </c>
      <c r="AN63" s="254">
        <v>0.11809944823098695</v>
      </c>
      <c r="AO63" s="254">
        <v>0</v>
      </c>
      <c r="AP63" s="254">
        <v>5.6914711934293212E-3</v>
      </c>
      <c r="AQ63" s="254">
        <v>0.11809944823098695</v>
      </c>
      <c r="AR63" s="254">
        <v>0</v>
      </c>
      <c r="AS63" s="254">
        <v>5.6914711934293212E-3</v>
      </c>
      <c r="AT63" s="254">
        <v>0.11809944823098695</v>
      </c>
      <c r="AU63" s="254">
        <v>0</v>
      </c>
      <c r="AV63" s="254">
        <v>0</v>
      </c>
      <c r="AW63" s="254">
        <v>0</v>
      </c>
      <c r="AX63" s="254">
        <v>0</v>
      </c>
      <c r="AY63" s="254">
        <v>0</v>
      </c>
      <c r="AZ63" s="254">
        <v>0</v>
      </c>
      <c r="BA63" s="254">
        <v>0</v>
      </c>
      <c r="BB63" s="254">
        <v>0</v>
      </c>
      <c r="BC63" s="254">
        <v>0</v>
      </c>
      <c r="BD63" s="254">
        <v>0</v>
      </c>
      <c r="BE63" s="254">
        <v>0</v>
      </c>
      <c r="BF63" s="254">
        <v>0</v>
      </c>
      <c r="BG63" s="254">
        <v>0</v>
      </c>
      <c r="BH63" s="254">
        <v>2.5434028327011377E-2</v>
      </c>
      <c r="BI63" s="254">
        <v>0</v>
      </c>
      <c r="BJ63" s="254">
        <v>0</v>
      </c>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row>
    <row r="64" spans="1:205" x14ac:dyDescent="0.25">
      <c r="A64" s="113">
        <v>0</v>
      </c>
      <c r="B64" s="120" t="s">
        <v>674</v>
      </c>
      <c r="C64" s="254">
        <v>0</v>
      </c>
      <c r="D64" s="254">
        <v>0</v>
      </c>
      <c r="E64" s="254">
        <v>0.14930873298930972</v>
      </c>
      <c r="F64" s="254">
        <v>0.1277543210471811</v>
      </c>
      <c r="G64" s="254">
        <v>0.21295231981309443</v>
      </c>
      <c r="H64" s="254">
        <v>0.23419639004719309</v>
      </c>
      <c r="I64" s="254">
        <v>0.23136452647883371</v>
      </c>
      <c r="J64" s="254">
        <v>0.16335165372923641</v>
      </c>
      <c r="K64" s="254">
        <v>0</v>
      </c>
      <c r="L64" s="254">
        <v>8.9585239793585833E-2</v>
      </c>
      <c r="M64" s="254">
        <v>0.14068696821245827</v>
      </c>
      <c r="N64" s="254">
        <v>0.1447939208003638</v>
      </c>
      <c r="O64" s="254">
        <v>0.23419639004719309</v>
      </c>
      <c r="P64" s="254">
        <v>0.23136452647883371</v>
      </c>
      <c r="Q64" s="254">
        <v>0.21096066465395447</v>
      </c>
      <c r="R64" s="254">
        <v>0.18375551555411557</v>
      </c>
      <c r="S64" s="254">
        <v>0.16335165372923641</v>
      </c>
      <c r="T64" s="254">
        <v>0.11434615761046547</v>
      </c>
      <c r="U64" s="254">
        <v>4.9005496118770919E-2</v>
      </c>
      <c r="V64" s="254">
        <v>0</v>
      </c>
      <c r="W64" s="254">
        <v>0</v>
      </c>
      <c r="X64" s="254">
        <v>0</v>
      </c>
      <c r="Y64" s="254">
        <v>0.12791153610774017</v>
      </c>
      <c r="Z64" s="254">
        <v>0.14053828857223699</v>
      </c>
      <c r="AA64" s="254">
        <v>0.19803030890201459</v>
      </c>
      <c r="AB64" s="254">
        <v>7.4654366494654864E-3</v>
      </c>
      <c r="AC64" s="254">
        <v>8.9585239793585833E-2</v>
      </c>
      <c r="AD64" s="254">
        <v>0.14053402086206812</v>
      </c>
      <c r="AE64" s="254">
        <v>0.13314292403271324</v>
      </c>
      <c r="AF64" s="254">
        <v>0.21720113385991419</v>
      </c>
      <c r="AG64" s="254">
        <v>0.20761913047161787</v>
      </c>
      <c r="AH64" s="254">
        <v>0.14694936199457664</v>
      </c>
      <c r="AI64" s="254">
        <v>0.18962372330091598</v>
      </c>
      <c r="AJ64" s="254">
        <v>0.21345258180505303</v>
      </c>
      <c r="AK64" s="254">
        <v>0.22145881029458503</v>
      </c>
      <c r="AL64" s="254">
        <v>0</v>
      </c>
      <c r="AM64" s="254">
        <v>0.11944698639144778</v>
      </c>
      <c r="AN64" s="254">
        <v>0.13206520343560685</v>
      </c>
      <c r="AO64" s="254">
        <v>0</v>
      </c>
      <c r="AP64" s="254">
        <v>0.11944698639144778</v>
      </c>
      <c r="AQ64" s="254">
        <v>0.13206520343560685</v>
      </c>
      <c r="AR64" s="254">
        <v>0</v>
      </c>
      <c r="AS64" s="254">
        <v>0.11944698639144778</v>
      </c>
      <c r="AT64" s="254">
        <v>0.13206520343560685</v>
      </c>
      <c r="AU64" s="254">
        <v>0</v>
      </c>
      <c r="AV64" s="254">
        <v>0</v>
      </c>
      <c r="AW64" s="254">
        <v>0</v>
      </c>
      <c r="AX64" s="254">
        <v>0</v>
      </c>
      <c r="AY64" s="254">
        <v>0</v>
      </c>
      <c r="AZ64" s="254">
        <v>0</v>
      </c>
      <c r="BA64" s="254">
        <v>0</v>
      </c>
      <c r="BB64" s="254">
        <v>0</v>
      </c>
      <c r="BC64" s="254">
        <v>0</v>
      </c>
      <c r="BD64" s="254">
        <v>0</v>
      </c>
      <c r="BE64" s="254">
        <v>0.20415937737899476</v>
      </c>
      <c r="BF64" s="254">
        <v>0.18814731144052124</v>
      </c>
      <c r="BG64" s="254">
        <v>0.20415937737899476</v>
      </c>
      <c r="BH64" s="254">
        <v>0.16835082658631509</v>
      </c>
      <c r="BI64" s="254">
        <v>0.21295231981309443</v>
      </c>
      <c r="BJ64" s="254">
        <v>0.21295231981309443</v>
      </c>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row>
    <row r="65" spans="1:366" ht="13" x14ac:dyDescent="0.3">
      <c r="B65" s="122" t="s">
        <v>410</v>
      </c>
      <c r="C65" s="208">
        <f>SUM(C51:C64)</f>
        <v>1.0000000005678782</v>
      </c>
      <c r="D65" s="208">
        <f t="shared" ref="D65:K65" si="1">SUM(D51:D64)</f>
        <v>0.99999999999999922</v>
      </c>
      <c r="E65" s="208">
        <f t="shared" si="1"/>
        <v>1.0000000000000002</v>
      </c>
      <c r="F65" s="208">
        <f t="shared" si="1"/>
        <v>0.99999999999999989</v>
      </c>
      <c r="G65" s="208">
        <f t="shared" si="1"/>
        <v>1</v>
      </c>
      <c r="H65" s="208">
        <f t="shared" si="1"/>
        <v>1.0000000000000002</v>
      </c>
      <c r="I65" s="208">
        <f t="shared" si="1"/>
        <v>1.0000000000000007</v>
      </c>
      <c r="J65" s="208">
        <f t="shared" si="1"/>
        <v>1.0000000000000007</v>
      </c>
      <c r="K65" s="208">
        <f t="shared" si="1"/>
        <v>0.99999999999999989</v>
      </c>
      <c r="L65" s="208">
        <f t="shared" ref="L65:AP65" si="2">SUM(L51:L64)</f>
        <v>0.99999999999999967</v>
      </c>
      <c r="M65" s="208">
        <f t="shared" si="2"/>
        <v>1</v>
      </c>
      <c r="N65" s="208">
        <f t="shared" si="2"/>
        <v>1</v>
      </c>
      <c r="O65" s="208">
        <f t="shared" si="2"/>
        <v>1.0000000000000002</v>
      </c>
      <c r="P65" s="208">
        <f t="shared" si="2"/>
        <v>1.0000000000000007</v>
      </c>
      <c r="Q65" s="208">
        <f t="shared" si="2"/>
        <v>1.0000000000000009</v>
      </c>
      <c r="R65" s="208">
        <f t="shared" si="2"/>
        <v>1.0000000000000007</v>
      </c>
      <c r="S65" s="208">
        <f t="shared" si="2"/>
        <v>1.0000000000000007</v>
      </c>
      <c r="T65" s="208">
        <f t="shared" si="2"/>
        <v>1.0000000000000004</v>
      </c>
      <c r="U65" s="208">
        <f t="shared" si="2"/>
        <v>1</v>
      </c>
      <c r="V65" s="208">
        <f t="shared" si="2"/>
        <v>0.99999999999999989</v>
      </c>
      <c r="W65" s="208">
        <f t="shared" si="2"/>
        <v>0.99999999999999989</v>
      </c>
      <c r="X65" s="208">
        <f t="shared" si="2"/>
        <v>1.0000000000567872</v>
      </c>
      <c r="Y65" s="208">
        <f t="shared" si="2"/>
        <v>1.0000000000567877</v>
      </c>
      <c r="Z65" s="208">
        <f t="shared" si="2"/>
        <v>1.0000000000567879</v>
      </c>
      <c r="AA65" s="208">
        <f t="shared" si="2"/>
        <v>1.0000000000567879</v>
      </c>
      <c r="AB65" s="208">
        <f t="shared" si="2"/>
        <v>1.0000000000851812</v>
      </c>
      <c r="AC65" s="208">
        <f t="shared" si="2"/>
        <v>0.99999999999999967</v>
      </c>
      <c r="AD65" s="208">
        <f t="shared" si="2"/>
        <v>1</v>
      </c>
      <c r="AE65" s="208">
        <f t="shared" si="2"/>
        <v>0.99999999999999989</v>
      </c>
      <c r="AF65" s="208">
        <f t="shared" si="2"/>
        <v>1.0000000000000002</v>
      </c>
      <c r="AG65" s="208">
        <f t="shared" si="2"/>
        <v>0.99999999999999989</v>
      </c>
      <c r="AH65" s="208">
        <f t="shared" si="2"/>
        <v>0.99999999999999989</v>
      </c>
      <c r="AI65" s="208">
        <f t="shared" si="2"/>
        <v>1.0000000000000004</v>
      </c>
      <c r="AJ65" s="208">
        <f t="shared" si="2"/>
        <v>1.0000000000000004</v>
      </c>
      <c r="AK65" s="208">
        <f t="shared" si="2"/>
        <v>1.0000000000000002</v>
      </c>
      <c r="AL65" s="208">
        <f t="shared" si="2"/>
        <v>1.0000000001987568</v>
      </c>
      <c r="AM65" s="208">
        <f t="shared" si="2"/>
        <v>1</v>
      </c>
      <c r="AN65" s="208">
        <f t="shared" si="2"/>
        <v>1</v>
      </c>
      <c r="AO65" s="208">
        <f t="shared" si="2"/>
        <v>1.0000000001987568</v>
      </c>
      <c r="AP65" s="208">
        <f t="shared" si="2"/>
        <v>1</v>
      </c>
      <c r="AQ65" s="208">
        <f t="shared" ref="AQ65:BJ65" si="3">SUM(AQ51:AQ64)</f>
        <v>1</v>
      </c>
      <c r="AR65" s="208">
        <f t="shared" si="3"/>
        <v>1.0000000001987568</v>
      </c>
      <c r="AS65" s="208">
        <f t="shared" si="3"/>
        <v>1</v>
      </c>
      <c r="AT65" s="208">
        <f t="shared" si="3"/>
        <v>1</v>
      </c>
      <c r="AU65" s="208">
        <f t="shared" si="3"/>
        <v>0</v>
      </c>
      <c r="AV65" s="208">
        <f t="shared" si="3"/>
        <v>0</v>
      </c>
      <c r="AW65" s="208">
        <f t="shared" si="3"/>
        <v>0</v>
      </c>
      <c r="AX65" s="208">
        <f t="shared" si="3"/>
        <v>0</v>
      </c>
      <c r="AY65" s="208">
        <f t="shared" si="3"/>
        <v>0</v>
      </c>
      <c r="AZ65" s="208">
        <f t="shared" si="3"/>
        <v>0</v>
      </c>
      <c r="BA65" s="208">
        <f t="shared" si="3"/>
        <v>0</v>
      </c>
      <c r="BB65" s="208">
        <f t="shared" si="3"/>
        <v>0</v>
      </c>
      <c r="BC65" s="208">
        <f t="shared" si="3"/>
        <v>0</v>
      </c>
      <c r="BD65" s="208">
        <f t="shared" si="3"/>
        <v>0</v>
      </c>
      <c r="BE65" s="208">
        <f t="shared" si="3"/>
        <v>1.0000000000000009</v>
      </c>
      <c r="BF65" s="208">
        <f t="shared" si="3"/>
        <v>1.0000000000000007</v>
      </c>
      <c r="BG65" s="208">
        <f t="shared" si="3"/>
        <v>1.0000000000000009</v>
      </c>
      <c r="BH65" s="208">
        <f t="shared" si="3"/>
        <v>1.0000000000000002</v>
      </c>
      <c r="BI65" s="208">
        <f t="shared" si="3"/>
        <v>1</v>
      </c>
      <c r="BJ65" s="208">
        <f t="shared" si="3"/>
        <v>1</v>
      </c>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row>
    <row r="66" spans="1:366" x14ac:dyDescent="0.25">
      <c r="C66" s="33"/>
      <c r="D66" s="33"/>
      <c r="E66" s="33"/>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11"/>
      <c r="IP66" s="11"/>
      <c r="IQ66" s="11"/>
      <c r="IR66" s="11"/>
      <c r="IS66" s="11"/>
      <c r="IT66" s="11"/>
      <c r="IU66" s="11"/>
      <c r="IV66" s="11"/>
      <c r="IW66" s="11"/>
      <c r="IX66" s="11"/>
      <c r="IY66" s="11"/>
      <c r="IZ66" s="11"/>
      <c r="JA66" s="11"/>
      <c r="JB66" s="11"/>
      <c r="JC66" s="11"/>
      <c r="JD66" s="11"/>
      <c r="JE66" s="11"/>
      <c r="JF66" s="11"/>
      <c r="JG66" s="11"/>
      <c r="JH66" s="11"/>
      <c r="JI66" s="11"/>
      <c r="JJ66" s="11"/>
      <c r="JK66" s="11"/>
      <c r="JL66" s="11"/>
      <c r="JM66" s="11"/>
      <c r="JN66" s="11"/>
      <c r="JO66" s="11"/>
      <c r="JP66" s="11"/>
      <c r="JQ66" s="11"/>
      <c r="JR66" s="11"/>
      <c r="JS66" s="11"/>
      <c r="JT66" s="11"/>
      <c r="JU66" s="11"/>
    </row>
    <row r="67" spans="1:366" ht="13" x14ac:dyDescent="0.25">
      <c r="A67" s="13" t="s">
        <v>9</v>
      </c>
      <c r="B67" s="17" t="str">
        <f ca="1">GetNameRange(B68)</f>
        <v>InvStratPurchAssetSubPortIdAndWght</v>
      </c>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11"/>
      <c r="IP67" s="11"/>
      <c r="IQ67" s="11"/>
      <c r="IR67" s="11"/>
      <c r="IS67" s="11"/>
      <c r="IT67" s="11"/>
      <c r="IU67" s="11"/>
      <c r="IV67" s="11"/>
      <c r="IW67" s="11"/>
      <c r="IX67" s="11"/>
      <c r="IY67" s="11"/>
      <c r="IZ67" s="11"/>
      <c r="JA67" s="11"/>
      <c r="JB67" s="11"/>
      <c r="JC67" s="11"/>
      <c r="JD67" s="11"/>
      <c r="JE67" s="11"/>
      <c r="JF67" s="11"/>
      <c r="JG67" s="11"/>
      <c r="JH67" s="11"/>
      <c r="JI67" s="11"/>
      <c r="JJ67" s="11"/>
      <c r="JK67" s="11"/>
      <c r="JL67" s="11"/>
      <c r="JM67" s="11"/>
      <c r="JN67" s="11"/>
      <c r="JO67" s="11"/>
      <c r="JP67" s="11"/>
      <c r="JQ67" s="11"/>
      <c r="JR67" s="11"/>
      <c r="JS67" s="11"/>
      <c r="JT67" s="11"/>
    </row>
    <row r="68" spans="1:366" s="261" customFormat="1" ht="13" x14ac:dyDescent="0.25">
      <c r="A68" s="32" t="s">
        <v>404</v>
      </c>
      <c r="B68" s="117" t="s">
        <v>282</v>
      </c>
      <c r="C68" s="101" t="s">
        <v>637</v>
      </c>
      <c r="D68" s="101" t="s">
        <v>637</v>
      </c>
      <c r="E68" s="101" t="s">
        <v>638</v>
      </c>
      <c r="F68" s="101" t="s">
        <v>638</v>
      </c>
      <c r="G68" s="101" t="s">
        <v>639</v>
      </c>
      <c r="H68" s="101" t="s">
        <v>639</v>
      </c>
      <c r="I68" s="101" t="s">
        <v>640</v>
      </c>
      <c r="J68" s="101" t="s">
        <v>640</v>
      </c>
      <c r="K68" s="101" t="s">
        <v>641</v>
      </c>
      <c r="L68" s="101" t="s">
        <v>641</v>
      </c>
      <c r="M68" s="101" t="s">
        <v>642</v>
      </c>
      <c r="N68" s="101" t="s">
        <v>642</v>
      </c>
      <c r="O68" s="101" t="s">
        <v>643</v>
      </c>
      <c r="P68" s="101" t="s">
        <v>643</v>
      </c>
      <c r="Q68" s="101" t="s">
        <v>644</v>
      </c>
      <c r="R68" s="101" t="s">
        <v>644</v>
      </c>
      <c r="S68" s="101" t="s">
        <v>645</v>
      </c>
      <c r="T68" s="101" t="s">
        <v>645</v>
      </c>
      <c r="U68" s="101" t="s">
        <v>675</v>
      </c>
      <c r="V68" s="101" t="s">
        <v>675</v>
      </c>
      <c r="W68" s="101" t="s">
        <v>676</v>
      </c>
      <c r="X68" s="101" t="s">
        <v>676</v>
      </c>
      <c r="Y68" s="101" t="s">
        <v>677</v>
      </c>
      <c r="Z68" s="101" t="s">
        <v>677</v>
      </c>
      <c r="AA68" s="101" t="s">
        <v>678</v>
      </c>
      <c r="AB68" s="101" t="s">
        <v>678</v>
      </c>
      <c r="AC68" s="101" t="s">
        <v>679</v>
      </c>
      <c r="AD68" s="101" t="s">
        <v>679</v>
      </c>
      <c r="AE68" s="101" t="s">
        <v>680</v>
      </c>
      <c r="AF68" s="101" t="s">
        <v>680</v>
      </c>
      <c r="AG68" s="101" t="s">
        <v>681</v>
      </c>
      <c r="AH68" s="101" t="s">
        <v>681</v>
      </c>
      <c r="AI68" s="101" t="s">
        <v>682</v>
      </c>
      <c r="AJ68" s="101" t="s">
        <v>682</v>
      </c>
      <c r="AK68" s="101" t="s">
        <v>683</v>
      </c>
      <c r="AL68" s="101" t="s">
        <v>683</v>
      </c>
      <c r="AM68" s="101" t="s">
        <v>684</v>
      </c>
      <c r="AN68" s="101" t="s">
        <v>684</v>
      </c>
      <c r="AO68" s="101" t="s">
        <v>685</v>
      </c>
      <c r="AP68" s="101" t="s">
        <v>685</v>
      </c>
      <c r="AQ68" s="101" t="s">
        <v>886</v>
      </c>
      <c r="AR68" s="101" t="s">
        <v>886</v>
      </c>
      <c r="AS68" s="101" t="s">
        <v>843</v>
      </c>
      <c r="AT68" s="101" t="s">
        <v>843</v>
      </c>
      <c r="AU68" s="101" t="s">
        <v>844</v>
      </c>
      <c r="AV68" s="101" t="s">
        <v>844</v>
      </c>
      <c r="AW68" s="101" t="s">
        <v>845</v>
      </c>
      <c r="AX68" s="101" t="s">
        <v>845</v>
      </c>
      <c r="AY68" s="101" t="s">
        <v>846</v>
      </c>
      <c r="AZ68" s="101" t="s">
        <v>846</v>
      </c>
      <c r="BA68" s="101" t="s">
        <v>847</v>
      </c>
      <c r="BB68" s="101" t="s">
        <v>847</v>
      </c>
      <c r="BC68" s="101" t="s">
        <v>848</v>
      </c>
      <c r="BD68" s="101" t="s">
        <v>848</v>
      </c>
      <c r="BE68" s="101" t="s">
        <v>849</v>
      </c>
      <c r="BF68" s="101" t="s">
        <v>849</v>
      </c>
      <c r="BG68" s="101" t="s">
        <v>850</v>
      </c>
      <c r="BH68" s="101" t="s">
        <v>850</v>
      </c>
      <c r="BI68" s="101" t="s">
        <v>851</v>
      </c>
      <c r="BJ68" s="101" t="s">
        <v>851</v>
      </c>
      <c r="BK68" s="101" t="s">
        <v>852</v>
      </c>
      <c r="BL68" s="101" t="s">
        <v>852</v>
      </c>
      <c r="BM68" s="101" t="s">
        <v>739</v>
      </c>
      <c r="BN68" s="101" t="s">
        <v>739</v>
      </c>
      <c r="BO68" s="101" t="s">
        <v>738</v>
      </c>
      <c r="BP68" s="101" t="s">
        <v>738</v>
      </c>
      <c r="BQ68" s="101" t="s">
        <v>740</v>
      </c>
      <c r="BR68" s="101" t="s">
        <v>740</v>
      </c>
      <c r="BS68" s="101" t="s">
        <v>853</v>
      </c>
      <c r="BT68" s="101" t="s">
        <v>853</v>
      </c>
      <c r="BU68" s="101" t="s">
        <v>854</v>
      </c>
      <c r="BV68" s="101" t="s">
        <v>854</v>
      </c>
      <c r="BW68" s="101" t="s">
        <v>855</v>
      </c>
      <c r="BX68" s="101" t="s">
        <v>855</v>
      </c>
      <c r="BY68" s="101" t="s">
        <v>856</v>
      </c>
      <c r="BZ68" s="101" t="s">
        <v>856</v>
      </c>
      <c r="CA68" s="101" t="s">
        <v>857</v>
      </c>
      <c r="CB68" s="101" t="s">
        <v>857</v>
      </c>
      <c r="CC68" s="101" t="s">
        <v>858</v>
      </c>
      <c r="CD68" s="101" t="s">
        <v>858</v>
      </c>
      <c r="CE68" s="101" t="s">
        <v>859</v>
      </c>
      <c r="CF68" s="101" t="s">
        <v>859</v>
      </c>
      <c r="CG68" s="101" t="s">
        <v>860</v>
      </c>
      <c r="CH68" s="101" t="s">
        <v>860</v>
      </c>
      <c r="CI68" s="101" t="s">
        <v>861</v>
      </c>
      <c r="CJ68" s="101" t="s">
        <v>861</v>
      </c>
      <c r="CK68" s="101" t="s">
        <v>862</v>
      </c>
      <c r="CL68" s="101" t="s">
        <v>862</v>
      </c>
      <c r="CM68" s="101" t="s">
        <v>863</v>
      </c>
      <c r="CN68" s="101" t="s">
        <v>863</v>
      </c>
      <c r="CO68" s="101" t="s">
        <v>864</v>
      </c>
      <c r="CP68" s="101" t="s">
        <v>864</v>
      </c>
      <c r="CQ68" s="101" t="s">
        <v>865</v>
      </c>
      <c r="CR68" s="101" t="s">
        <v>865</v>
      </c>
      <c r="CS68" s="101" t="s">
        <v>866</v>
      </c>
      <c r="CT68" s="101" t="s">
        <v>866</v>
      </c>
      <c r="CU68" s="101" t="s">
        <v>867</v>
      </c>
      <c r="CV68" s="101" t="s">
        <v>867</v>
      </c>
      <c r="CW68" s="101" t="s">
        <v>868</v>
      </c>
      <c r="CX68" s="101" t="s">
        <v>868</v>
      </c>
      <c r="CY68" s="101" t="s">
        <v>869</v>
      </c>
      <c r="CZ68" s="101" t="s">
        <v>869</v>
      </c>
      <c r="DA68" s="101" t="s">
        <v>870</v>
      </c>
      <c r="DB68" s="101" t="s">
        <v>870</v>
      </c>
      <c r="DC68" s="101" t="s">
        <v>871</v>
      </c>
      <c r="DD68" s="101" t="s">
        <v>871</v>
      </c>
      <c r="DE68" s="101" t="s">
        <v>872</v>
      </c>
      <c r="DF68" s="101" t="s">
        <v>872</v>
      </c>
      <c r="DG68" s="101" t="s">
        <v>873</v>
      </c>
      <c r="DH68" s="101" t="s">
        <v>873</v>
      </c>
      <c r="DI68" s="101" t="s">
        <v>874</v>
      </c>
      <c r="DJ68" s="101" t="s">
        <v>874</v>
      </c>
      <c r="DK68" s="101" t="s">
        <v>875</v>
      </c>
      <c r="DL68" s="101" t="s">
        <v>875</v>
      </c>
      <c r="DM68" s="101" t="s">
        <v>876</v>
      </c>
      <c r="DN68" s="101" t="s">
        <v>876</v>
      </c>
      <c r="DO68" s="101" t="s">
        <v>877</v>
      </c>
      <c r="DP68" s="101" t="s">
        <v>877</v>
      </c>
      <c r="DQ68" s="101" t="s">
        <v>878</v>
      </c>
      <c r="DR68" s="101" t="s">
        <v>878</v>
      </c>
      <c r="DS68" s="259"/>
      <c r="DT68" s="259"/>
      <c r="DU68" s="259"/>
      <c r="DV68" s="259"/>
      <c r="DW68" s="259"/>
      <c r="DX68" s="259"/>
      <c r="DY68" s="259"/>
      <c r="DZ68" s="259"/>
      <c r="EA68" s="259"/>
      <c r="EB68" s="259"/>
      <c r="EC68" s="259"/>
      <c r="ED68" s="259"/>
      <c r="EE68" s="259"/>
      <c r="EF68" s="259"/>
      <c r="EG68" s="259"/>
      <c r="EH68" s="259"/>
      <c r="EI68" s="259"/>
      <c r="EJ68" s="259"/>
      <c r="EK68" s="259"/>
      <c r="EL68" s="259"/>
      <c r="EM68" s="259"/>
      <c r="EN68" s="259"/>
      <c r="EO68" s="259"/>
      <c r="EP68" s="259"/>
      <c r="EQ68" s="259"/>
      <c r="ER68" s="259"/>
      <c r="ES68" s="259"/>
      <c r="ET68" s="259"/>
      <c r="EU68" s="259"/>
      <c r="EV68" s="259"/>
      <c r="EW68" s="259"/>
      <c r="EX68" s="259"/>
      <c r="EY68" s="259"/>
      <c r="EZ68" s="259"/>
      <c r="FA68" s="259"/>
      <c r="FB68" s="259"/>
      <c r="FC68" s="259"/>
      <c r="FD68" s="259"/>
      <c r="FE68" s="259"/>
      <c r="FF68" s="259"/>
      <c r="FG68" s="259"/>
      <c r="FH68" s="259"/>
      <c r="FI68" s="259"/>
      <c r="FJ68" s="259"/>
      <c r="FK68" s="259"/>
      <c r="FL68" s="259"/>
      <c r="FM68" s="259"/>
      <c r="FN68" s="259"/>
      <c r="FO68" s="259"/>
      <c r="FP68" s="259"/>
      <c r="FQ68" s="259"/>
      <c r="FR68" s="259"/>
      <c r="FS68" s="259"/>
      <c r="FT68" s="259"/>
      <c r="FU68" s="259"/>
      <c r="FV68" s="259"/>
      <c r="FW68" s="259"/>
      <c r="FX68" s="259"/>
      <c r="FY68" s="259"/>
      <c r="FZ68" s="259"/>
      <c r="GA68" s="259"/>
      <c r="GB68" s="259"/>
      <c r="GC68" s="259"/>
      <c r="GD68" s="259"/>
      <c r="GE68" s="259"/>
      <c r="GF68" s="259"/>
      <c r="GG68" s="259"/>
      <c r="GH68" s="259"/>
      <c r="GI68" s="259"/>
      <c r="GJ68" s="259"/>
      <c r="GK68" s="259"/>
      <c r="GL68" s="259"/>
      <c r="GM68" s="259"/>
      <c r="GN68" s="259"/>
      <c r="GO68" s="259"/>
      <c r="GP68" s="259"/>
      <c r="GQ68" s="259"/>
      <c r="GR68" s="259"/>
      <c r="GS68" s="259"/>
      <c r="GT68" s="259"/>
      <c r="GU68" s="259"/>
      <c r="GV68" s="259"/>
      <c r="GW68" s="259"/>
      <c r="GX68" s="259"/>
      <c r="GY68" s="259"/>
      <c r="GZ68" s="259"/>
      <c r="HA68" s="259"/>
      <c r="HB68" s="259"/>
      <c r="HC68" s="259"/>
      <c r="HD68" s="259"/>
      <c r="HE68" s="259"/>
      <c r="HF68" s="259"/>
      <c r="HG68" s="259"/>
      <c r="HH68" s="259"/>
      <c r="HI68" s="259"/>
      <c r="HJ68" s="259"/>
      <c r="HK68" s="259"/>
      <c r="HL68" s="259"/>
      <c r="HM68" s="259"/>
      <c r="HN68" s="259"/>
      <c r="HO68" s="259"/>
      <c r="HP68" s="259"/>
      <c r="HQ68" s="259"/>
      <c r="HR68" s="259"/>
      <c r="HS68" s="259"/>
      <c r="HT68" s="259"/>
      <c r="HU68" s="259"/>
      <c r="HV68" s="259"/>
      <c r="HW68" s="259"/>
      <c r="HX68" s="259"/>
      <c r="HY68" s="259"/>
      <c r="HZ68" s="259"/>
      <c r="IA68" s="259"/>
      <c r="IB68" s="259"/>
      <c r="IC68" s="259"/>
      <c r="ID68" s="259"/>
      <c r="IE68" s="259"/>
      <c r="IF68" s="259"/>
      <c r="IG68" s="259"/>
      <c r="IH68" s="259"/>
      <c r="II68" s="259"/>
      <c r="IJ68" s="259"/>
      <c r="IK68" s="259"/>
      <c r="IL68" s="259"/>
      <c r="IM68" s="259"/>
      <c r="IN68" s="259"/>
      <c r="IO68" s="259"/>
      <c r="IP68" s="259"/>
      <c r="IQ68" s="259"/>
      <c r="IR68" s="259"/>
      <c r="IS68" s="259"/>
      <c r="IT68" s="259"/>
      <c r="IU68" s="259"/>
      <c r="IV68" s="259"/>
      <c r="IW68" s="259"/>
      <c r="IX68" s="259"/>
      <c r="IY68" s="259"/>
      <c r="IZ68" s="259"/>
      <c r="JA68" s="259"/>
      <c r="JB68" s="259"/>
      <c r="JC68" s="259"/>
      <c r="JD68" s="259"/>
      <c r="JE68" s="259"/>
      <c r="JF68" s="259"/>
      <c r="JG68" s="259"/>
      <c r="JH68" s="259"/>
      <c r="JI68" s="259"/>
      <c r="JJ68" s="259"/>
      <c r="JK68" s="259"/>
      <c r="JL68" s="259"/>
      <c r="JM68" s="259"/>
      <c r="JN68" s="259"/>
      <c r="JO68" s="259"/>
      <c r="JP68" s="259"/>
      <c r="JQ68" s="259"/>
      <c r="JR68" s="259"/>
      <c r="JS68" s="259"/>
      <c r="JT68" s="259"/>
      <c r="JU68" s="259"/>
      <c r="JV68" s="259"/>
      <c r="JW68" s="259"/>
      <c r="JX68" s="259"/>
      <c r="JY68" s="259"/>
      <c r="JZ68" s="259"/>
      <c r="KA68" s="259"/>
      <c r="KB68" s="259"/>
      <c r="KC68" s="259"/>
      <c r="KD68" s="259"/>
      <c r="KE68" s="259"/>
      <c r="KF68" s="259"/>
      <c r="KG68" s="259"/>
      <c r="KH68" s="259"/>
      <c r="KI68" s="259"/>
      <c r="KJ68" s="259"/>
      <c r="KK68" s="259"/>
      <c r="KL68" s="259"/>
      <c r="KM68" s="259"/>
      <c r="KN68" s="259"/>
      <c r="KO68" s="259"/>
      <c r="KP68" s="259"/>
      <c r="KQ68" s="259"/>
      <c r="KR68" s="259"/>
      <c r="KS68" s="259"/>
      <c r="KT68" s="259"/>
      <c r="KU68" s="259"/>
      <c r="KV68" s="259"/>
      <c r="KW68" s="259"/>
      <c r="KX68" s="259"/>
      <c r="KY68" s="259"/>
      <c r="KZ68" s="259"/>
      <c r="LA68" s="259"/>
      <c r="LB68" s="259"/>
      <c r="LC68" s="259"/>
      <c r="LD68" s="259"/>
      <c r="LE68" s="259"/>
      <c r="LF68" s="259"/>
      <c r="LG68" s="259"/>
      <c r="LH68" s="259"/>
      <c r="LI68" s="259"/>
      <c r="LJ68" s="259"/>
      <c r="LK68" s="259"/>
      <c r="LL68" s="259"/>
      <c r="LM68" s="259"/>
      <c r="LN68" s="259"/>
      <c r="LO68" s="259"/>
      <c r="LP68" s="259"/>
      <c r="LQ68" s="259"/>
      <c r="LR68" s="259"/>
      <c r="LS68" s="259"/>
      <c r="LT68" s="259"/>
      <c r="LU68" s="259"/>
      <c r="LV68" s="259"/>
      <c r="LW68" s="259"/>
      <c r="LX68" s="259"/>
      <c r="LY68" s="259"/>
      <c r="LZ68" s="259"/>
      <c r="MA68" s="259"/>
      <c r="MB68" s="259"/>
      <c r="MC68" s="259"/>
      <c r="MD68" s="259"/>
      <c r="ME68" s="259"/>
      <c r="MF68" s="259"/>
      <c r="MG68" s="259"/>
      <c r="MH68" s="260"/>
      <c r="MI68" s="109"/>
      <c r="MJ68" s="109"/>
      <c r="MK68" s="109"/>
      <c r="ML68" s="109"/>
      <c r="MM68" s="109"/>
      <c r="MN68" s="109"/>
      <c r="MO68" s="109"/>
      <c r="MP68" s="109"/>
      <c r="MQ68" s="109"/>
      <c r="MR68" s="109"/>
      <c r="MS68" s="109"/>
      <c r="MT68" s="109"/>
      <c r="MU68" s="109"/>
      <c r="MV68" s="109"/>
      <c r="MW68" s="109"/>
      <c r="MX68" s="109"/>
      <c r="MY68" s="109"/>
      <c r="MZ68" s="109"/>
      <c r="NA68" s="109"/>
      <c r="NB68" s="109"/>
    </row>
    <row r="69" spans="1:366" s="261" customFormat="1" ht="25" x14ac:dyDescent="0.3">
      <c r="A69"/>
      <c r="B69" s="163" t="s">
        <v>405</v>
      </c>
      <c r="C69" s="46" t="s">
        <v>514</v>
      </c>
      <c r="D69" s="46" t="s">
        <v>515</v>
      </c>
      <c r="E69" s="46" t="s">
        <v>514</v>
      </c>
      <c r="F69" s="46" t="s">
        <v>515</v>
      </c>
      <c r="G69" s="46" t="s">
        <v>514</v>
      </c>
      <c r="H69" s="46" t="s">
        <v>515</v>
      </c>
      <c r="I69" s="46" t="s">
        <v>514</v>
      </c>
      <c r="J69" s="46" t="s">
        <v>515</v>
      </c>
      <c r="K69" s="46" t="s">
        <v>514</v>
      </c>
      <c r="L69" s="46" t="s">
        <v>515</v>
      </c>
      <c r="M69" s="46" t="s">
        <v>514</v>
      </c>
      <c r="N69" s="46" t="s">
        <v>515</v>
      </c>
      <c r="O69" s="46" t="s">
        <v>514</v>
      </c>
      <c r="P69" s="46" t="s">
        <v>515</v>
      </c>
      <c r="Q69" s="46" t="s">
        <v>514</v>
      </c>
      <c r="R69" s="46" t="s">
        <v>515</v>
      </c>
      <c r="S69" s="46" t="s">
        <v>514</v>
      </c>
      <c r="T69" s="46" t="s">
        <v>515</v>
      </c>
      <c r="U69" s="46" t="s">
        <v>514</v>
      </c>
      <c r="V69" s="46" t="s">
        <v>515</v>
      </c>
      <c r="W69" s="46" t="s">
        <v>514</v>
      </c>
      <c r="X69" s="46" t="s">
        <v>515</v>
      </c>
      <c r="Y69" s="46" t="s">
        <v>514</v>
      </c>
      <c r="Z69" s="46" t="s">
        <v>515</v>
      </c>
      <c r="AA69" s="46" t="s">
        <v>514</v>
      </c>
      <c r="AB69" s="46" t="s">
        <v>515</v>
      </c>
      <c r="AC69" s="46" t="s">
        <v>514</v>
      </c>
      <c r="AD69" s="46" t="s">
        <v>515</v>
      </c>
      <c r="AE69" s="46" t="s">
        <v>514</v>
      </c>
      <c r="AF69" s="46" t="s">
        <v>515</v>
      </c>
      <c r="AG69" s="46" t="s">
        <v>514</v>
      </c>
      <c r="AH69" s="46" t="s">
        <v>515</v>
      </c>
      <c r="AI69" s="46" t="s">
        <v>514</v>
      </c>
      <c r="AJ69" s="46" t="s">
        <v>515</v>
      </c>
      <c r="AK69" s="46" t="s">
        <v>514</v>
      </c>
      <c r="AL69" s="46" t="s">
        <v>515</v>
      </c>
      <c r="AM69" s="46" t="s">
        <v>514</v>
      </c>
      <c r="AN69" s="46" t="s">
        <v>515</v>
      </c>
      <c r="AO69" s="46" t="s">
        <v>514</v>
      </c>
      <c r="AP69" s="46" t="s">
        <v>515</v>
      </c>
      <c r="AQ69" s="46" t="s">
        <v>514</v>
      </c>
      <c r="AR69" s="46" t="s">
        <v>515</v>
      </c>
      <c r="AS69" s="46" t="s">
        <v>514</v>
      </c>
      <c r="AT69" s="46" t="s">
        <v>515</v>
      </c>
      <c r="AU69" s="46" t="s">
        <v>514</v>
      </c>
      <c r="AV69" s="46" t="s">
        <v>515</v>
      </c>
      <c r="AW69" s="46" t="s">
        <v>514</v>
      </c>
      <c r="AX69" s="46" t="s">
        <v>515</v>
      </c>
      <c r="AY69" s="46" t="s">
        <v>514</v>
      </c>
      <c r="AZ69" s="46" t="s">
        <v>515</v>
      </c>
      <c r="BA69" s="46" t="s">
        <v>514</v>
      </c>
      <c r="BB69" s="46" t="s">
        <v>515</v>
      </c>
      <c r="BC69" s="46" t="s">
        <v>514</v>
      </c>
      <c r="BD69" s="46" t="s">
        <v>515</v>
      </c>
      <c r="BE69" s="46" t="s">
        <v>514</v>
      </c>
      <c r="BF69" s="46" t="s">
        <v>515</v>
      </c>
      <c r="BG69" s="46" t="s">
        <v>514</v>
      </c>
      <c r="BH69" s="46" t="s">
        <v>515</v>
      </c>
      <c r="BI69" s="46" t="s">
        <v>514</v>
      </c>
      <c r="BJ69" s="46" t="s">
        <v>515</v>
      </c>
      <c r="BK69" s="46" t="s">
        <v>514</v>
      </c>
      <c r="BL69" s="46" t="s">
        <v>515</v>
      </c>
      <c r="BM69" s="46" t="s">
        <v>514</v>
      </c>
      <c r="BN69" s="46" t="s">
        <v>515</v>
      </c>
      <c r="BO69" s="46" t="s">
        <v>514</v>
      </c>
      <c r="BP69" s="46" t="s">
        <v>515</v>
      </c>
      <c r="BQ69" s="46" t="s">
        <v>514</v>
      </c>
      <c r="BR69" s="46" t="s">
        <v>515</v>
      </c>
      <c r="BS69" s="46" t="s">
        <v>514</v>
      </c>
      <c r="BT69" s="46" t="s">
        <v>515</v>
      </c>
      <c r="BU69" s="46" t="s">
        <v>514</v>
      </c>
      <c r="BV69" s="46" t="s">
        <v>515</v>
      </c>
      <c r="BW69" s="46" t="s">
        <v>514</v>
      </c>
      <c r="BX69" s="46" t="s">
        <v>515</v>
      </c>
      <c r="BY69" s="46" t="s">
        <v>514</v>
      </c>
      <c r="BZ69" s="46" t="s">
        <v>515</v>
      </c>
      <c r="CA69" s="46" t="s">
        <v>514</v>
      </c>
      <c r="CB69" s="46" t="s">
        <v>515</v>
      </c>
      <c r="CC69" s="46" t="s">
        <v>514</v>
      </c>
      <c r="CD69" s="46" t="s">
        <v>515</v>
      </c>
      <c r="CE69" s="46" t="s">
        <v>514</v>
      </c>
      <c r="CF69" s="46" t="s">
        <v>515</v>
      </c>
      <c r="CG69" s="46" t="s">
        <v>514</v>
      </c>
      <c r="CH69" s="46" t="s">
        <v>515</v>
      </c>
      <c r="CI69" s="46" t="s">
        <v>514</v>
      </c>
      <c r="CJ69" s="46" t="s">
        <v>515</v>
      </c>
      <c r="CK69" s="46" t="s">
        <v>514</v>
      </c>
      <c r="CL69" s="46" t="s">
        <v>515</v>
      </c>
      <c r="CM69" s="46" t="s">
        <v>514</v>
      </c>
      <c r="CN69" s="46" t="s">
        <v>515</v>
      </c>
      <c r="CO69" s="46" t="s">
        <v>514</v>
      </c>
      <c r="CP69" s="46" t="s">
        <v>515</v>
      </c>
      <c r="CQ69" s="46" t="s">
        <v>514</v>
      </c>
      <c r="CR69" s="46" t="s">
        <v>515</v>
      </c>
      <c r="CS69" s="46" t="s">
        <v>514</v>
      </c>
      <c r="CT69" s="46" t="s">
        <v>515</v>
      </c>
      <c r="CU69" s="46" t="s">
        <v>514</v>
      </c>
      <c r="CV69" s="46" t="s">
        <v>515</v>
      </c>
      <c r="CW69" s="46" t="s">
        <v>514</v>
      </c>
      <c r="CX69" s="46" t="s">
        <v>515</v>
      </c>
      <c r="CY69" s="46" t="s">
        <v>514</v>
      </c>
      <c r="CZ69" s="46" t="s">
        <v>515</v>
      </c>
      <c r="DA69" s="46" t="s">
        <v>514</v>
      </c>
      <c r="DB69" s="46" t="s">
        <v>515</v>
      </c>
      <c r="DC69" s="46" t="s">
        <v>514</v>
      </c>
      <c r="DD69" s="46" t="s">
        <v>515</v>
      </c>
      <c r="DE69" s="46" t="s">
        <v>514</v>
      </c>
      <c r="DF69" s="46" t="s">
        <v>515</v>
      </c>
      <c r="DG69" s="46" t="s">
        <v>514</v>
      </c>
      <c r="DH69" s="46" t="s">
        <v>515</v>
      </c>
      <c r="DI69" s="46" t="s">
        <v>514</v>
      </c>
      <c r="DJ69" s="46" t="s">
        <v>515</v>
      </c>
      <c r="DK69" s="46" t="s">
        <v>514</v>
      </c>
      <c r="DL69" s="46" t="s">
        <v>515</v>
      </c>
      <c r="DM69" s="46" t="s">
        <v>514</v>
      </c>
      <c r="DN69" s="46" t="s">
        <v>515</v>
      </c>
      <c r="DO69" s="46" t="s">
        <v>514</v>
      </c>
      <c r="DP69" s="46" t="s">
        <v>515</v>
      </c>
      <c r="DQ69" s="46" t="s">
        <v>514</v>
      </c>
      <c r="DR69" s="46" t="s">
        <v>515</v>
      </c>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9"/>
      <c r="HW69" s="109"/>
      <c r="HX69" s="109"/>
      <c r="HY69" s="109"/>
      <c r="HZ69" s="109"/>
      <c r="IA69" s="109"/>
      <c r="IB69" s="109"/>
      <c r="IC69" s="109"/>
      <c r="ID69" s="109"/>
      <c r="IE69" s="109"/>
      <c r="IF69" s="109"/>
      <c r="IG69" s="109"/>
      <c r="IH69" s="109"/>
      <c r="II69" s="109"/>
      <c r="IJ69" s="109"/>
      <c r="IK69" s="109"/>
      <c r="IL69" s="109"/>
      <c r="IM69" s="109"/>
      <c r="IN69" s="109"/>
      <c r="IO69" s="109"/>
      <c r="IP69" s="109"/>
      <c r="IQ69" s="109"/>
      <c r="IR69" s="109"/>
      <c r="IS69" s="109"/>
      <c r="IT69" s="109"/>
      <c r="IU69" s="109"/>
      <c r="IV69" s="109"/>
      <c r="IW69" s="109"/>
      <c r="IX69" s="109"/>
      <c r="IY69" s="109"/>
      <c r="IZ69" s="109"/>
      <c r="JA69" s="109"/>
      <c r="JB69" s="109"/>
      <c r="JC69" s="109"/>
      <c r="JD69" s="109"/>
      <c r="JE69" s="109"/>
      <c r="JF69" s="109"/>
      <c r="JG69" s="109"/>
      <c r="JH69" s="109"/>
      <c r="JI69" s="109"/>
      <c r="JJ69" s="109"/>
      <c r="JK69" s="109"/>
      <c r="JL69" s="109"/>
      <c r="JM69" s="109"/>
      <c r="JN69" s="109"/>
      <c r="JO69" s="109"/>
      <c r="JP69" s="109"/>
      <c r="JQ69" s="109"/>
      <c r="JR69" s="109"/>
      <c r="JS69" s="109"/>
      <c r="JT69" s="109"/>
      <c r="JU69" s="109"/>
      <c r="JV69" s="109"/>
      <c r="JW69" s="109"/>
      <c r="JX69" s="109"/>
      <c r="JY69" s="109"/>
      <c r="JZ69" s="109"/>
      <c r="KA69" s="109"/>
      <c r="KB69" s="109"/>
      <c r="KC69" s="109"/>
      <c r="KD69" s="109"/>
      <c r="KE69" s="109"/>
      <c r="KF69" s="109"/>
      <c r="KG69" s="109"/>
      <c r="KH69" s="109"/>
      <c r="KI69" s="109"/>
      <c r="KJ69" s="109"/>
      <c r="KK69" s="109"/>
      <c r="KL69" s="109"/>
      <c r="KM69" s="109"/>
      <c r="KN69" s="109"/>
      <c r="KO69" s="109"/>
      <c r="KP69" s="109"/>
      <c r="KQ69" s="109"/>
      <c r="KR69" s="109"/>
      <c r="KS69" s="109"/>
      <c r="KT69" s="109"/>
      <c r="KU69" s="109"/>
      <c r="KV69" s="109"/>
      <c r="KW69" s="109"/>
      <c r="KX69" s="109"/>
      <c r="KY69" s="109"/>
      <c r="KZ69" s="109"/>
      <c r="LA69" s="109"/>
      <c r="LB69" s="109"/>
      <c r="LC69" s="109"/>
      <c r="LD69" s="109"/>
      <c r="LE69" s="109"/>
      <c r="LF69" s="109"/>
      <c r="LG69" s="109"/>
      <c r="LH69" s="109"/>
      <c r="LI69" s="109"/>
      <c r="LJ69" s="109"/>
      <c r="LK69" s="109"/>
      <c r="LL69" s="109"/>
      <c r="LM69" s="109"/>
      <c r="LN69" s="109"/>
      <c r="LO69" s="109"/>
      <c r="LP69" s="109"/>
      <c r="LQ69" s="109"/>
      <c r="LR69" s="109"/>
      <c r="LS69" s="109"/>
      <c r="LT69" s="109"/>
      <c r="LU69" s="109"/>
      <c r="LV69" s="109"/>
      <c r="LW69" s="109"/>
      <c r="LX69" s="109"/>
      <c r="LY69" s="109"/>
      <c r="LZ69" s="109"/>
      <c r="MA69" s="109"/>
      <c r="MB69" s="109"/>
      <c r="MC69" s="109"/>
      <c r="MD69" s="109"/>
      <c r="ME69" s="109"/>
      <c r="MF69" s="109"/>
      <c r="MG69" s="109"/>
      <c r="MH69" s="150"/>
      <c r="MI69" s="109"/>
      <c r="MJ69" s="109"/>
      <c r="MK69" s="109"/>
      <c r="ML69" s="109"/>
      <c r="MM69" s="109"/>
      <c r="MN69" s="109"/>
      <c r="MO69" s="109"/>
      <c r="MP69" s="109"/>
      <c r="MQ69" s="109"/>
      <c r="MR69" s="109"/>
      <c r="MS69" s="109"/>
      <c r="MT69" s="109"/>
      <c r="MU69" s="109"/>
      <c r="MV69" s="109"/>
      <c r="MW69" s="109"/>
      <c r="MX69" s="109"/>
      <c r="MY69" s="109"/>
      <c r="MZ69" s="109"/>
      <c r="NA69" s="109"/>
      <c r="NB69" s="109"/>
    </row>
    <row r="70" spans="1:366" s="261" customFormat="1" ht="13" x14ac:dyDescent="0.3">
      <c r="A70"/>
      <c r="B70" s="164" t="s">
        <v>89</v>
      </c>
      <c r="C70" s="50"/>
      <c r="D70" s="50"/>
      <c r="E70" s="50"/>
      <c r="F70" s="50"/>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0"/>
      <c r="CA70" s="50"/>
      <c r="CB70" s="50"/>
      <c r="CC70" s="50"/>
      <c r="CD70" s="50"/>
      <c r="CE70" s="50"/>
      <c r="CF70" s="50"/>
      <c r="CG70" s="50"/>
      <c r="CH70" s="50"/>
      <c r="CI70" s="50"/>
      <c r="CJ70" s="50"/>
      <c r="CK70" s="50"/>
      <c r="CL70" s="50"/>
      <c r="CM70" s="50"/>
      <c r="CN70" s="50"/>
      <c r="CO70" s="50"/>
      <c r="CP70" s="50"/>
      <c r="CQ70" s="50"/>
      <c r="CR70" s="50"/>
      <c r="CS70" s="50"/>
      <c r="CT70" s="50"/>
      <c r="CU70" s="50"/>
      <c r="CV70" s="50"/>
      <c r="CW70" s="50"/>
      <c r="CX70" s="50"/>
      <c r="CY70" s="50"/>
      <c r="CZ70" s="50"/>
      <c r="DA70" s="50"/>
      <c r="DB70" s="50"/>
      <c r="DC70" s="50"/>
      <c r="DD70" s="50"/>
      <c r="DE70" s="50"/>
      <c r="DF70" s="50"/>
      <c r="DG70" s="50"/>
      <c r="DH70" s="50"/>
      <c r="DI70" s="50"/>
      <c r="DJ70" s="50"/>
      <c r="DK70" s="50"/>
      <c r="DL70" s="50"/>
      <c r="DM70" s="50"/>
      <c r="DN70" s="50"/>
      <c r="DO70" s="50"/>
      <c r="DP70" s="50"/>
      <c r="DQ70" s="50"/>
      <c r="DR70" s="50"/>
      <c r="DS70" s="109"/>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9"/>
      <c r="EX70" s="109"/>
      <c r="EY70" s="109"/>
      <c r="EZ70" s="109"/>
      <c r="FA70" s="109"/>
      <c r="FB70" s="109"/>
      <c r="FC70" s="109"/>
      <c r="FD70" s="109"/>
      <c r="FE70" s="109"/>
      <c r="FF70" s="109"/>
      <c r="FG70" s="109"/>
      <c r="FH70" s="109"/>
      <c r="FI70" s="109"/>
      <c r="FJ70" s="109"/>
      <c r="FK70" s="109"/>
      <c r="FL70" s="109"/>
      <c r="FM70" s="109"/>
      <c r="FN70" s="109"/>
      <c r="FO70" s="109"/>
      <c r="FP70" s="109"/>
      <c r="FQ70" s="109"/>
      <c r="FR70" s="109"/>
      <c r="FS70" s="109"/>
      <c r="FT70" s="109"/>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9"/>
      <c r="HW70" s="109"/>
      <c r="HX70" s="109"/>
      <c r="HY70" s="109"/>
      <c r="HZ70" s="109"/>
      <c r="IA70" s="109"/>
      <c r="IB70" s="109"/>
      <c r="IC70" s="109"/>
      <c r="ID70" s="109"/>
      <c r="IE70" s="109"/>
      <c r="IF70" s="109"/>
      <c r="IG70" s="109"/>
      <c r="IH70" s="109"/>
      <c r="II70" s="109"/>
      <c r="IJ70" s="109"/>
      <c r="IK70" s="109"/>
      <c r="IL70" s="109"/>
      <c r="IM70" s="109"/>
      <c r="IN70" s="109"/>
      <c r="IO70" s="109"/>
      <c r="IP70" s="109"/>
      <c r="IQ70" s="109"/>
      <c r="IR70" s="109"/>
      <c r="IS70" s="109"/>
      <c r="IT70" s="109"/>
      <c r="IU70" s="109"/>
      <c r="IV70" s="109"/>
      <c r="IW70" s="109"/>
      <c r="IX70" s="109"/>
      <c r="IY70" s="109"/>
      <c r="IZ70" s="109"/>
      <c r="JA70" s="109"/>
      <c r="JB70" s="109"/>
      <c r="JC70" s="109"/>
      <c r="JD70" s="109"/>
      <c r="JE70" s="109"/>
      <c r="JF70" s="109"/>
      <c r="JG70" s="109"/>
      <c r="JH70" s="109"/>
      <c r="JI70" s="109"/>
      <c r="JJ70" s="109"/>
      <c r="JK70" s="109"/>
      <c r="JL70" s="109"/>
      <c r="JM70" s="109"/>
      <c r="JN70" s="109"/>
      <c r="JO70" s="109"/>
      <c r="JP70" s="109"/>
      <c r="JQ70" s="109"/>
      <c r="JR70" s="109"/>
      <c r="JS70" s="109"/>
      <c r="JT70" s="109"/>
      <c r="JU70" s="109"/>
      <c r="JV70" s="109"/>
      <c r="JW70" s="109"/>
      <c r="JX70" s="109"/>
      <c r="JY70" s="109"/>
      <c r="JZ70" s="109"/>
      <c r="KA70" s="109"/>
      <c r="KB70" s="109"/>
      <c r="KC70" s="109"/>
      <c r="KD70" s="109"/>
      <c r="KE70" s="109"/>
      <c r="KF70" s="109"/>
      <c r="KG70" s="109"/>
      <c r="KH70" s="109"/>
      <c r="KI70" s="109"/>
      <c r="KJ70" s="109"/>
      <c r="KK70" s="109"/>
      <c r="KL70" s="109"/>
      <c r="KM70" s="109"/>
      <c r="KN70" s="109"/>
      <c r="KO70" s="109"/>
      <c r="KP70" s="109"/>
      <c r="KQ70" s="109"/>
      <c r="KR70" s="109"/>
      <c r="KS70" s="109"/>
      <c r="KT70" s="109"/>
      <c r="KU70" s="109"/>
      <c r="KV70" s="109"/>
      <c r="KW70" s="109"/>
      <c r="KX70" s="109"/>
      <c r="KY70" s="109"/>
      <c r="KZ70" s="109"/>
      <c r="LA70" s="109"/>
      <c r="LB70" s="109"/>
      <c r="LC70" s="109"/>
      <c r="LD70" s="109"/>
      <c r="LE70" s="109"/>
      <c r="LF70" s="109"/>
      <c r="LG70" s="109"/>
      <c r="LH70" s="109"/>
      <c r="LI70" s="109"/>
      <c r="LJ70" s="109"/>
      <c r="LK70" s="109"/>
      <c r="LL70" s="109"/>
      <c r="LM70" s="109"/>
      <c r="LN70" s="109"/>
      <c r="LO70" s="109"/>
      <c r="LP70" s="109"/>
      <c r="LQ70" s="109"/>
      <c r="LR70" s="109"/>
      <c r="LS70" s="109"/>
      <c r="LT70" s="109"/>
      <c r="LU70" s="109"/>
      <c r="LV70" s="109"/>
      <c r="LW70" s="109"/>
      <c r="LX70" s="109"/>
      <c r="LY70" s="109"/>
      <c r="LZ70" s="109"/>
      <c r="MA70" s="109"/>
      <c r="MB70" s="109"/>
      <c r="MC70" s="109"/>
      <c r="MD70" s="109"/>
      <c r="ME70" s="109"/>
      <c r="MF70" s="109"/>
      <c r="MG70" s="109"/>
      <c r="MH70" s="150"/>
      <c r="MI70" s="109"/>
      <c r="MJ70" s="109"/>
      <c r="MK70" s="109"/>
      <c r="ML70" s="109"/>
      <c r="MM70" s="109"/>
      <c r="MN70" s="109"/>
      <c r="MO70" s="109"/>
      <c r="MP70" s="109"/>
      <c r="MQ70" s="109"/>
      <c r="MR70" s="109"/>
      <c r="MS70" s="109"/>
      <c r="MT70" s="109"/>
      <c r="MU70" s="109"/>
      <c r="MV70" s="109"/>
      <c r="MW70" s="109"/>
      <c r="MX70" s="109"/>
      <c r="MY70" s="109"/>
      <c r="MZ70" s="109"/>
      <c r="NA70" s="109"/>
      <c r="NB70" s="109"/>
    </row>
    <row r="71" spans="1:366" s="261" customFormat="1" x14ac:dyDescent="0.25">
      <c r="A71" s="113">
        <v>0</v>
      </c>
      <c r="B71" s="161" t="s">
        <v>618</v>
      </c>
      <c r="C71" s="250" t="s">
        <v>609</v>
      </c>
      <c r="D71" s="254">
        <v>0.5</v>
      </c>
      <c r="E71" s="250" t="s">
        <v>609</v>
      </c>
      <c r="F71" s="254">
        <v>0.38949390009004897</v>
      </c>
      <c r="G71" s="250" t="s">
        <v>609</v>
      </c>
      <c r="H71" s="254">
        <v>0</v>
      </c>
      <c r="I71" s="250" t="s">
        <v>609</v>
      </c>
      <c r="J71" s="254">
        <v>0</v>
      </c>
      <c r="K71" s="250" t="s">
        <v>609</v>
      </c>
      <c r="L71" s="254">
        <v>0</v>
      </c>
      <c r="M71" s="250" t="s">
        <v>609</v>
      </c>
      <c r="N71" s="254">
        <v>0</v>
      </c>
      <c r="O71" s="250" t="s">
        <v>609</v>
      </c>
      <c r="P71" s="254">
        <v>0</v>
      </c>
      <c r="Q71" s="250" t="s">
        <v>609</v>
      </c>
      <c r="R71" s="254">
        <v>0</v>
      </c>
      <c r="S71" s="250" t="s">
        <v>609</v>
      </c>
      <c r="T71" s="254">
        <v>0</v>
      </c>
      <c r="U71" s="250" t="s">
        <v>609</v>
      </c>
      <c r="V71" s="254">
        <v>0.21939666460549478</v>
      </c>
      <c r="W71" s="250" t="s">
        <v>609</v>
      </c>
      <c r="X71" s="254">
        <v>0</v>
      </c>
      <c r="Y71" s="250" t="s">
        <v>609</v>
      </c>
      <c r="Z71" s="254">
        <v>0</v>
      </c>
      <c r="AA71" s="250" t="s">
        <v>609</v>
      </c>
      <c r="AB71" s="254">
        <v>0</v>
      </c>
      <c r="AC71" s="250" t="s">
        <v>609</v>
      </c>
      <c r="AD71" s="254">
        <v>0</v>
      </c>
      <c r="AE71" s="250" t="s">
        <v>609</v>
      </c>
      <c r="AF71" s="254">
        <v>0</v>
      </c>
      <c r="AG71" s="250" t="s">
        <v>609</v>
      </c>
      <c r="AH71" s="254">
        <v>0</v>
      </c>
      <c r="AI71" s="250" t="s">
        <v>609</v>
      </c>
      <c r="AJ71" s="254">
        <v>0</v>
      </c>
      <c r="AK71" s="250" t="s">
        <v>609</v>
      </c>
      <c r="AL71" s="254">
        <v>0</v>
      </c>
      <c r="AM71" s="250" t="s">
        <v>609</v>
      </c>
      <c r="AN71" s="254">
        <v>0</v>
      </c>
      <c r="AO71" s="250" t="s">
        <v>609</v>
      </c>
      <c r="AP71" s="254">
        <v>0</v>
      </c>
      <c r="AQ71" s="250" t="s">
        <v>609</v>
      </c>
      <c r="AR71" s="254">
        <v>0</v>
      </c>
      <c r="AS71" s="250" t="s">
        <v>609</v>
      </c>
      <c r="AT71" s="254">
        <v>0.42411749304215746</v>
      </c>
      <c r="AU71" s="250" t="s">
        <v>609</v>
      </c>
      <c r="AV71" s="254">
        <v>0.24585126986817452</v>
      </c>
      <c r="AW71" s="250" t="s">
        <v>609</v>
      </c>
      <c r="AX71" s="254">
        <v>0.12605512059667975</v>
      </c>
      <c r="AY71" s="250" t="s">
        <v>609</v>
      </c>
      <c r="AZ71" s="254">
        <v>7.6794955922617064E-2</v>
      </c>
      <c r="BA71" s="250" t="s">
        <v>609</v>
      </c>
      <c r="BB71" s="254">
        <v>0.42972320791066171</v>
      </c>
      <c r="BC71" s="250" t="s">
        <v>609</v>
      </c>
      <c r="BD71" s="254">
        <v>0.21939666460549478</v>
      </c>
      <c r="BE71" s="250" t="s">
        <v>609</v>
      </c>
      <c r="BF71" s="254">
        <v>0</v>
      </c>
      <c r="BG71" s="250" t="s">
        <v>609</v>
      </c>
      <c r="BH71" s="254">
        <v>0</v>
      </c>
      <c r="BI71" s="250" t="s">
        <v>609</v>
      </c>
      <c r="BJ71" s="254">
        <v>0</v>
      </c>
      <c r="BK71" s="250" t="s">
        <v>609</v>
      </c>
      <c r="BL71" s="254">
        <v>0</v>
      </c>
      <c r="BM71" s="250" t="s">
        <v>609</v>
      </c>
      <c r="BN71" s="254">
        <v>0</v>
      </c>
      <c r="BO71" s="250" t="s">
        <v>609</v>
      </c>
      <c r="BP71" s="254">
        <v>0</v>
      </c>
      <c r="BQ71" s="250" t="s">
        <v>609</v>
      </c>
      <c r="BR71" s="254">
        <v>0</v>
      </c>
      <c r="BS71" s="250" t="s">
        <v>609</v>
      </c>
      <c r="BT71" s="254">
        <v>0</v>
      </c>
      <c r="BU71" s="250" t="s">
        <v>609</v>
      </c>
      <c r="BV71" s="254">
        <v>0.46558726832368341</v>
      </c>
      <c r="BW71" s="250" t="s">
        <v>609</v>
      </c>
      <c r="BX71" s="254">
        <v>0.12697625877276086</v>
      </c>
      <c r="BY71" s="250" t="s">
        <v>609</v>
      </c>
      <c r="BZ71" s="254">
        <v>0</v>
      </c>
      <c r="CA71" s="250" t="s">
        <v>609</v>
      </c>
      <c r="CB71" s="254">
        <v>0.46558726832368341</v>
      </c>
      <c r="CC71" s="250" t="s">
        <v>609</v>
      </c>
      <c r="CD71" s="254">
        <v>0.12697625877276086</v>
      </c>
      <c r="CE71" s="250" t="s">
        <v>609</v>
      </c>
      <c r="CF71" s="254">
        <v>0</v>
      </c>
      <c r="CG71" s="250" t="s">
        <v>609</v>
      </c>
      <c r="CH71" s="254">
        <v>0.46558726832368341</v>
      </c>
      <c r="CI71" s="250" t="s">
        <v>609</v>
      </c>
      <c r="CJ71" s="254">
        <v>0.12697625877276086</v>
      </c>
      <c r="CK71" s="250" t="s">
        <v>609</v>
      </c>
      <c r="CL71" s="254">
        <v>0</v>
      </c>
      <c r="CM71" s="250" t="s">
        <v>609</v>
      </c>
      <c r="CN71" s="254">
        <v>0</v>
      </c>
      <c r="CO71" s="250" t="s">
        <v>609</v>
      </c>
      <c r="CP71" s="254">
        <v>0</v>
      </c>
      <c r="CQ71" s="250" t="s">
        <v>609</v>
      </c>
      <c r="CR71" s="254">
        <v>0</v>
      </c>
      <c r="CS71" s="250" t="s">
        <v>609</v>
      </c>
      <c r="CT71" s="254">
        <v>0</v>
      </c>
      <c r="CU71" s="250" t="s">
        <v>609</v>
      </c>
      <c r="CV71" s="254">
        <v>0</v>
      </c>
      <c r="CW71" s="250" t="s">
        <v>609</v>
      </c>
      <c r="CX71" s="254">
        <v>0</v>
      </c>
      <c r="CY71" s="250" t="s">
        <v>609</v>
      </c>
      <c r="CZ71" s="254">
        <v>0</v>
      </c>
      <c r="DA71" s="250" t="s">
        <v>609</v>
      </c>
      <c r="DB71" s="254">
        <v>0</v>
      </c>
      <c r="DC71" s="250" t="s">
        <v>609</v>
      </c>
      <c r="DD71" s="254">
        <v>0</v>
      </c>
      <c r="DE71" s="250" t="s">
        <v>609</v>
      </c>
      <c r="DF71" s="254">
        <v>0</v>
      </c>
      <c r="DG71" s="250" t="s">
        <v>609</v>
      </c>
      <c r="DH71" s="254">
        <v>0</v>
      </c>
      <c r="DI71" s="250" t="s">
        <v>609</v>
      </c>
      <c r="DJ71" s="254">
        <v>0</v>
      </c>
      <c r="DK71" s="250" t="s">
        <v>609</v>
      </c>
      <c r="DL71" s="254">
        <v>0</v>
      </c>
      <c r="DM71" s="250" t="s">
        <v>609</v>
      </c>
      <c r="DN71" s="254">
        <v>0</v>
      </c>
      <c r="DO71" s="250" t="s">
        <v>609</v>
      </c>
      <c r="DP71" s="254">
        <v>0</v>
      </c>
      <c r="DQ71" s="250" t="s">
        <v>609</v>
      </c>
      <c r="DR71" s="254">
        <v>0</v>
      </c>
      <c r="DS71" s="109"/>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9"/>
      <c r="EX71" s="109"/>
      <c r="EY71" s="109"/>
      <c r="EZ71" s="109"/>
      <c r="FA71" s="109"/>
      <c r="FB71" s="109"/>
      <c r="FC71" s="109"/>
      <c r="FD71" s="109"/>
      <c r="FE71" s="109"/>
      <c r="FF71" s="109"/>
      <c r="FG71" s="109"/>
      <c r="FH71" s="109"/>
      <c r="FI71" s="109"/>
      <c r="FJ71" s="109"/>
      <c r="FK71" s="109"/>
      <c r="FL71" s="109"/>
      <c r="FM71" s="109"/>
      <c r="FN71" s="109"/>
      <c r="FO71" s="109"/>
      <c r="FP71" s="109"/>
      <c r="FQ71" s="109"/>
      <c r="FR71" s="109"/>
      <c r="FS71" s="109"/>
      <c r="FT71" s="109"/>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9"/>
      <c r="HW71" s="109"/>
      <c r="HX71" s="109"/>
      <c r="HY71" s="109"/>
      <c r="HZ71" s="109"/>
      <c r="IA71" s="109"/>
      <c r="IB71" s="109"/>
      <c r="IC71" s="109"/>
      <c r="ID71" s="109"/>
      <c r="IE71" s="109"/>
      <c r="IF71" s="109"/>
      <c r="IG71" s="109"/>
      <c r="IH71" s="109"/>
      <c r="II71" s="109"/>
      <c r="IJ71" s="109"/>
      <c r="IK71" s="109"/>
      <c r="IL71" s="109"/>
      <c r="IM71" s="109"/>
      <c r="IN71" s="109"/>
      <c r="IO71" s="109"/>
      <c r="IP71" s="109"/>
      <c r="IQ71" s="109"/>
      <c r="IR71" s="109"/>
      <c r="IS71" s="109"/>
      <c r="IT71" s="109"/>
      <c r="IU71" s="109"/>
      <c r="IV71" s="109"/>
      <c r="IW71" s="109"/>
      <c r="IX71" s="109"/>
      <c r="IY71" s="109"/>
      <c r="IZ71" s="109"/>
      <c r="JA71" s="109"/>
      <c r="JB71" s="109"/>
      <c r="JC71" s="109"/>
      <c r="JD71" s="109"/>
      <c r="JE71" s="109"/>
      <c r="JF71" s="109"/>
      <c r="JG71" s="109"/>
      <c r="JH71" s="109"/>
      <c r="JI71" s="109"/>
      <c r="JJ71" s="109"/>
      <c r="JK71" s="109"/>
      <c r="JL71" s="109"/>
      <c r="JM71" s="109"/>
      <c r="JN71" s="109"/>
      <c r="JO71" s="109"/>
      <c r="JP71" s="109"/>
      <c r="JQ71" s="109"/>
      <c r="JR71" s="109"/>
      <c r="JS71" s="109"/>
      <c r="JT71" s="109"/>
      <c r="JU71" s="109"/>
      <c r="JV71" s="109"/>
      <c r="JW71" s="109"/>
      <c r="JX71" s="109"/>
      <c r="JY71" s="109"/>
      <c r="JZ71" s="109"/>
      <c r="KA71" s="109"/>
      <c r="KB71" s="109"/>
      <c r="KC71" s="109"/>
      <c r="KD71" s="109"/>
      <c r="KE71" s="109"/>
      <c r="KF71" s="109"/>
      <c r="KG71" s="109"/>
      <c r="KH71" s="109"/>
      <c r="KI71" s="109"/>
      <c r="KJ71" s="109"/>
      <c r="KK71" s="109"/>
      <c r="KL71" s="109"/>
      <c r="KM71" s="109"/>
      <c r="KN71" s="109"/>
      <c r="KO71" s="109"/>
      <c r="KP71" s="109"/>
      <c r="KQ71" s="109"/>
      <c r="KR71" s="109"/>
      <c r="KS71" s="109"/>
      <c r="KT71" s="109"/>
      <c r="KU71" s="109"/>
      <c r="KV71" s="109"/>
      <c r="KW71" s="109"/>
      <c r="KX71" s="109"/>
      <c r="KY71" s="109"/>
      <c r="KZ71" s="109"/>
      <c r="LA71" s="109"/>
      <c r="LB71" s="109"/>
      <c r="LC71" s="109"/>
      <c r="LD71" s="109"/>
      <c r="LE71" s="109"/>
      <c r="LF71" s="109"/>
      <c r="LG71" s="109"/>
      <c r="LH71" s="109"/>
      <c r="LI71" s="109"/>
      <c r="LJ71" s="109"/>
      <c r="LK71" s="109"/>
      <c r="LL71" s="109"/>
      <c r="LM71" s="109"/>
      <c r="LN71" s="109"/>
      <c r="LO71" s="109"/>
      <c r="LP71" s="109"/>
      <c r="LQ71" s="109"/>
      <c r="LR71" s="109"/>
      <c r="LS71" s="109"/>
      <c r="LT71" s="109"/>
      <c r="LU71" s="109"/>
      <c r="LV71" s="109"/>
      <c r="LW71" s="109"/>
      <c r="LX71" s="109"/>
      <c r="LY71" s="109"/>
      <c r="LZ71" s="109"/>
      <c r="MA71" s="109"/>
      <c r="MB71" s="109"/>
      <c r="MC71" s="109"/>
      <c r="MD71" s="109"/>
      <c r="ME71" s="109"/>
      <c r="MF71" s="109"/>
      <c r="MG71" s="109"/>
      <c r="MH71" s="150"/>
      <c r="MI71" s="109"/>
      <c r="MJ71" s="109"/>
      <c r="MK71" s="109"/>
      <c r="ML71" s="109"/>
      <c r="MM71" s="109"/>
      <c r="MN71" s="109"/>
      <c r="MO71" s="109"/>
      <c r="MP71" s="109"/>
      <c r="MQ71" s="109"/>
      <c r="MR71" s="109"/>
      <c r="MS71" s="109"/>
      <c r="MT71" s="109"/>
      <c r="MU71" s="109"/>
      <c r="MV71" s="109"/>
      <c r="MW71" s="109"/>
      <c r="MX71" s="109"/>
      <c r="MY71" s="109"/>
      <c r="MZ71" s="109"/>
      <c r="NA71" s="109"/>
      <c r="NB71" s="109"/>
    </row>
    <row r="72" spans="1:366" s="261" customFormat="1" x14ac:dyDescent="0.25">
      <c r="A72" s="113">
        <v>0</v>
      </c>
      <c r="B72" s="161" t="s">
        <v>1094</v>
      </c>
      <c r="C72" s="250" t="s">
        <v>613</v>
      </c>
      <c r="D72" s="254">
        <v>1</v>
      </c>
      <c r="E72" s="250" t="s">
        <v>613</v>
      </c>
      <c r="F72" s="254">
        <v>0.21650691590633425</v>
      </c>
      <c r="G72" s="250" t="s">
        <v>613</v>
      </c>
      <c r="H72" s="254">
        <v>0</v>
      </c>
      <c r="I72" s="250" t="s">
        <v>613</v>
      </c>
      <c r="J72" s="254">
        <v>0</v>
      </c>
      <c r="K72" s="250" t="s">
        <v>613</v>
      </c>
      <c r="L72" s="254">
        <v>0</v>
      </c>
      <c r="M72" s="250" t="s">
        <v>613</v>
      </c>
      <c r="N72" s="254">
        <v>0</v>
      </c>
      <c r="O72" s="250" t="s">
        <v>613</v>
      </c>
      <c r="P72" s="254">
        <v>0</v>
      </c>
      <c r="Q72" s="250" t="s">
        <v>613</v>
      </c>
      <c r="R72" s="254">
        <v>0</v>
      </c>
      <c r="S72" s="250" t="s">
        <v>613</v>
      </c>
      <c r="T72" s="254">
        <v>0</v>
      </c>
      <c r="U72" s="250" t="s">
        <v>613</v>
      </c>
      <c r="V72" s="254">
        <v>0.18994133285342549</v>
      </c>
      <c r="W72" s="250" t="s">
        <v>613</v>
      </c>
      <c r="X72" s="254">
        <v>0</v>
      </c>
      <c r="Y72" s="250" t="s">
        <v>613</v>
      </c>
      <c r="Z72" s="254">
        <v>0</v>
      </c>
      <c r="AA72" s="250" t="s">
        <v>613</v>
      </c>
      <c r="AB72" s="254">
        <v>0</v>
      </c>
      <c r="AC72" s="250" t="s">
        <v>613</v>
      </c>
      <c r="AD72" s="254">
        <v>0</v>
      </c>
      <c r="AE72" s="250" t="s">
        <v>613</v>
      </c>
      <c r="AF72" s="254">
        <v>0</v>
      </c>
      <c r="AG72" s="250" t="s">
        <v>613</v>
      </c>
      <c r="AH72" s="254">
        <v>0</v>
      </c>
      <c r="AI72" s="250" t="s">
        <v>613</v>
      </c>
      <c r="AJ72" s="254">
        <v>0</v>
      </c>
      <c r="AK72" s="250" t="s">
        <v>613</v>
      </c>
      <c r="AL72" s="254">
        <v>0</v>
      </c>
      <c r="AM72" s="250" t="s">
        <v>613</v>
      </c>
      <c r="AN72" s="254">
        <v>0</v>
      </c>
      <c r="AO72" s="250" t="s">
        <v>613</v>
      </c>
      <c r="AP72" s="254">
        <v>0</v>
      </c>
      <c r="AQ72" s="250" t="s">
        <v>613</v>
      </c>
      <c r="AR72" s="254">
        <v>0</v>
      </c>
      <c r="AS72" s="250" t="s">
        <v>613</v>
      </c>
      <c r="AT72" s="254">
        <v>0.33158880506798777</v>
      </c>
      <c r="AU72" s="250" t="s">
        <v>613</v>
      </c>
      <c r="AV72" s="254">
        <v>0.7347328178884347</v>
      </c>
      <c r="AW72" s="250" t="s">
        <v>613</v>
      </c>
      <c r="AX72" s="254">
        <v>0.81074415045535375</v>
      </c>
      <c r="AY72" s="250" t="s">
        <v>613</v>
      </c>
      <c r="AZ72" s="254">
        <v>0.68172391228159968</v>
      </c>
      <c r="BA72" s="250" t="s">
        <v>613</v>
      </c>
      <c r="BB72" s="254">
        <v>0.39112931903636206</v>
      </c>
      <c r="BC72" s="250" t="s">
        <v>613</v>
      </c>
      <c r="BD72" s="254">
        <v>0.18994133285342549</v>
      </c>
      <c r="BE72" s="250" t="s">
        <v>613</v>
      </c>
      <c r="BF72" s="254">
        <v>0</v>
      </c>
      <c r="BG72" s="250" t="s">
        <v>613</v>
      </c>
      <c r="BH72" s="254">
        <v>0</v>
      </c>
      <c r="BI72" s="250" t="s">
        <v>613</v>
      </c>
      <c r="BJ72" s="254">
        <v>0</v>
      </c>
      <c r="BK72" s="250" t="s">
        <v>613</v>
      </c>
      <c r="BL72" s="254">
        <v>0</v>
      </c>
      <c r="BM72" s="250" t="s">
        <v>613</v>
      </c>
      <c r="BN72" s="254">
        <v>0</v>
      </c>
      <c r="BO72" s="250" t="s">
        <v>613</v>
      </c>
      <c r="BP72" s="254">
        <v>0</v>
      </c>
      <c r="BQ72" s="250" t="s">
        <v>613</v>
      </c>
      <c r="BR72" s="254">
        <v>0</v>
      </c>
      <c r="BS72" s="250" t="s">
        <v>613</v>
      </c>
      <c r="BT72" s="254">
        <v>0</v>
      </c>
      <c r="BU72" s="250" t="s">
        <v>613</v>
      </c>
      <c r="BV72" s="254">
        <v>0.57288245005552596</v>
      </c>
      <c r="BW72" s="250" t="s">
        <v>613</v>
      </c>
      <c r="BX72" s="254">
        <v>0.15769290902500782</v>
      </c>
      <c r="BY72" s="250" t="s">
        <v>613</v>
      </c>
      <c r="BZ72" s="254">
        <v>0</v>
      </c>
      <c r="CA72" s="250" t="s">
        <v>613</v>
      </c>
      <c r="CB72" s="254">
        <v>0.57288245005552596</v>
      </c>
      <c r="CC72" s="250" t="s">
        <v>613</v>
      </c>
      <c r="CD72" s="254">
        <v>0.15769290902500782</v>
      </c>
      <c r="CE72" s="250" t="s">
        <v>613</v>
      </c>
      <c r="CF72" s="254">
        <v>0</v>
      </c>
      <c r="CG72" s="250" t="s">
        <v>613</v>
      </c>
      <c r="CH72" s="254">
        <v>0.57288245005552596</v>
      </c>
      <c r="CI72" s="250" t="s">
        <v>613</v>
      </c>
      <c r="CJ72" s="254">
        <v>0.15769290902500782</v>
      </c>
      <c r="CK72" s="250" t="s">
        <v>613</v>
      </c>
      <c r="CL72" s="254">
        <v>0</v>
      </c>
      <c r="CM72" s="250" t="s">
        <v>613</v>
      </c>
      <c r="CN72" s="254">
        <v>0</v>
      </c>
      <c r="CO72" s="250" t="s">
        <v>613</v>
      </c>
      <c r="CP72" s="254">
        <v>0</v>
      </c>
      <c r="CQ72" s="250" t="s">
        <v>613</v>
      </c>
      <c r="CR72" s="254">
        <v>0</v>
      </c>
      <c r="CS72" s="250" t="s">
        <v>613</v>
      </c>
      <c r="CT72" s="254">
        <v>0</v>
      </c>
      <c r="CU72" s="250" t="s">
        <v>613</v>
      </c>
      <c r="CV72" s="254">
        <v>0</v>
      </c>
      <c r="CW72" s="250" t="s">
        <v>613</v>
      </c>
      <c r="CX72" s="254">
        <v>0</v>
      </c>
      <c r="CY72" s="250" t="s">
        <v>613</v>
      </c>
      <c r="CZ72" s="254">
        <v>0</v>
      </c>
      <c r="DA72" s="250" t="s">
        <v>613</v>
      </c>
      <c r="DB72" s="254">
        <v>0</v>
      </c>
      <c r="DC72" s="250" t="s">
        <v>613</v>
      </c>
      <c r="DD72" s="254">
        <v>0</v>
      </c>
      <c r="DE72" s="250" t="s">
        <v>613</v>
      </c>
      <c r="DF72" s="254">
        <v>0</v>
      </c>
      <c r="DG72" s="250" t="s">
        <v>613</v>
      </c>
      <c r="DH72" s="254">
        <v>0</v>
      </c>
      <c r="DI72" s="250" t="s">
        <v>613</v>
      </c>
      <c r="DJ72" s="254">
        <v>0</v>
      </c>
      <c r="DK72" s="250" t="s">
        <v>613</v>
      </c>
      <c r="DL72" s="254">
        <v>0</v>
      </c>
      <c r="DM72" s="250" t="s">
        <v>613</v>
      </c>
      <c r="DN72" s="254">
        <v>0</v>
      </c>
      <c r="DO72" s="250" t="s">
        <v>613</v>
      </c>
      <c r="DP72" s="254">
        <v>0</v>
      </c>
      <c r="DQ72" s="250" t="s">
        <v>613</v>
      </c>
      <c r="DR72" s="254">
        <v>0</v>
      </c>
      <c r="DS72" s="109"/>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9"/>
      <c r="EX72" s="109"/>
      <c r="EY72" s="109"/>
      <c r="EZ72" s="109"/>
      <c r="FA72" s="109"/>
      <c r="FB72" s="109"/>
      <c r="FC72" s="109"/>
      <c r="FD72" s="109"/>
      <c r="FE72" s="109"/>
      <c r="FF72" s="109"/>
      <c r="FG72" s="109"/>
      <c r="FH72" s="109"/>
      <c r="FI72" s="109"/>
      <c r="FJ72" s="109"/>
      <c r="FK72" s="109"/>
      <c r="FL72" s="109"/>
      <c r="FM72" s="109"/>
      <c r="FN72" s="109"/>
      <c r="FO72" s="109"/>
      <c r="FP72" s="109"/>
      <c r="FQ72" s="109"/>
      <c r="FR72" s="109"/>
      <c r="FS72" s="109"/>
      <c r="FT72" s="109"/>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9"/>
      <c r="HW72" s="109"/>
      <c r="HX72" s="109"/>
      <c r="HY72" s="109"/>
      <c r="HZ72" s="109"/>
      <c r="IA72" s="109"/>
      <c r="IB72" s="109"/>
      <c r="IC72" s="109"/>
      <c r="ID72" s="109"/>
      <c r="IE72" s="109"/>
      <c r="IF72" s="109"/>
      <c r="IG72" s="109"/>
      <c r="IH72" s="109"/>
      <c r="II72" s="109"/>
      <c r="IJ72" s="109"/>
      <c r="IK72" s="109"/>
      <c r="IL72" s="109"/>
      <c r="IM72" s="109"/>
      <c r="IN72" s="109"/>
      <c r="IO72" s="109"/>
      <c r="IP72" s="109"/>
      <c r="IQ72" s="109"/>
      <c r="IR72" s="109"/>
      <c r="IS72" s="109"/>
      <c r="IT72" s="109"/>
      <c r="IU72" s="109"/>
      <c r="IV72" s="109"/>
      <c r="IW72" s="109"/>
      <c r="IX72" s="109"/>
      <c r="IY72" s="109"/>
      <c r="IZ72" s="109"/>
      <c r="JA72" s="109"/>
      <c r="JB72" s="109"/>
      <c r="JC72" s="109"/>
      <c r="JD72" s="109"/>
      <c r="JE72" s="109"/>
      <c r="JF72" s="109"/>
      <c r="JG72" s="109"/>
      <c r="JH72" s="109"/>
      <c r="JI72" s="109"/>
      <c r="JJ72" s="109"/>
      <c r="JK72" s="109"/>
      <c r="JL72" s="109"/>
      <c r="JM72" s="109"/>
      <c r="JN72" s="109"/>
      <c r="JO72" s="109"/>
      <c r="JP72" s="109"/>
      <c r="JQ72" s="109"/>
      <c r="JR72" s="109"/>
      <c r="JS72" s="109"/>
      <c r="JT72" s="109"/>
      <c r="JU72" s="109"/>
      <c r="JV72" s="109"/>
      <c r="JW72" s="109"/>
      <c r="JX72" s="109"/>
      <c r="JY72" s="109"/>
      <c r="JZ72" s="109"/>
      <c r="KA72" s="109"/>
      <c r="KB72" s="109"/>
      <c r="KC72" s="109"/>
      <c r="KD72" s="109"/>
      <c r="KE72" s="109"/>
      <c r="KF72" s="109"/>
      <c r="KG72" s="109"/>
      <c r="KH72" s="109"/>
      <c r="KI72" s="109"/>
      <c r="KJ72" s="109"/>
      <c r="KK72" s="109"/>
      <c r="KL72" s="109"/>
      <c r="KM72" s="109"/>
      <c r="KN72" s="109"/>
      <c r="KO72" s="109"/>
      <c r="KP72" s="109"/>
      <c r="KQ72" s="109"/>
      <c r="KR72" s="109"/>
      <c r="KS72" s="109"/>
      <c r="KT72" s="109"/>
      <c r="KU72" s="109"/>
      <c r="KV72" s="109"/>
      <c r="KW72" s="109"/>
      <c r="KX72" s="109"/>
      <c r="KY72" s="109"/>
      <c r="KZ72" s="109"/>
      <c r="LA72" s="109"/>
      <c r="LB72" s="109"/>
      <c r="LC72" s="109"/>
      <c r="LD72" s="109"/>
      <c r="LE72" s="109"/>
      <c r="LF72" s="109"/>
      <c r="LG72" s="109"/>
      <c r="LH72" s="109"/>
      <c r="LI72" s="109"/>
      <c r="LJ72" s="109"/>
      <c r="LK72" s="109"/>
      <c r="LL72" s="109"/>
      <c r="LM72" s="109"/>
      <c r="LN72" s="109"/>
      <c r="LO72" s="109"/>
      <c r="LP72" s="109"/>
      <c r="LQ72" s="109"/>
      <c r="LR72" s="109"/>
      <c r="LS72" s="109"/>
      <c r="LT72" s="109"/>
      <c r="LU72" s="109"/>
      <c r="LV72" s="109"/>
      <c r="LW72" s="109"/>
      <c r="LX72" s="109"/>
      <c r="LY72" s="109"/>
      <c r="LZ72" s="109"/>
      <c r="MA72" s="109"/>
      <c r="MB72" s="109"/>
      <c r="MC72" s="109"/>
      <c r="MD72" s="109"/>
      <c r="ME72" s="109"/>
      <c r="MF72" s="109"/>
      <c r="MG72" s="109"/>
      <c r="MH72" s="150"/>
      <c r="MI72" s="109"/>
      <c r="MJ72" s="109"/>
      <c r="MK72" s="109"/>
      <c r="ML72" s="109"/>
      <c r="MM72" s="109"/>
      <c r="MN72" s="109"/>
      <c r="MO72" s="109"/>
      <c r="MP72" s="109"/>
      <c r="MQ72" s="109"/>
      <c r="MR72" s="109"/>
      <c r="MS72" s="109"/>
      <c r="MT72" s="109"/>
      <c r="MU72" s="109"/>
      <c r="MV72" s="109"/>
      <c r="MW72" s="109"/>
      <c r="MX72" s="109"/>
      <c r="MY72" s="109"/>
      <c r="MZ72" s="109"/>
      <c r="NA72" s="109"/>
      <c r="NB72" s="109"/>
    </row>
    <row r="73" spans="1:366" s="261" customFormat="1" x14ac:dyDescent="0.25">
      <c r="A73" s="113">
        <v>0</v>
      </c>
      <c r="B73" s="161" t="s">
        <v>619</v>
      </c>
      <c r="C73" s="250" t="s">
        <v>612</v>
      </c>
      <c r="D73" s="254">
        <v>1</v>
      </c>
      <c r="E73" s="250" t="s">
        <v>612</v>
      </c>
      <c r="F73" s="254">
        <v>7.041607879024224E-2</v>
      </c>
      <c r="G73" s="250" t="s">
        <v>612</v>
      </c>
      <c r="H73" s="254">
        <v>0</v>
      </c>
      <c r="I73" s="250" t="s">
        <v>612</v>
      </c>
      <c r="J73" s="254">
        <v>0</v>
      </c>
      <c r="K73" s="250" t="s">
        <v>612</v>
      </c>
      <c r="L73" s="254">
        <v>0</v>
      </c>
      <c r="M73" s="250" t="s">
        <v>612</v>
      </c>
      <c r="N73" s="254">
        <v>0</v>
      </c>
      <c r="O73" s="250" t="s">
        <v>612</v>
      </c>
      <c r="P73" s="254">
        <v>0</v>
      </c>
      <c r="Q73" s="250" t="s">
        <v>612</v>
      </c>
      <c r="R73" s="254">
        <v>0</v>
      </c>
      <c r="S73" s="250" t="s">
        <v>612</v>
      </c>
      <c r="T73" s="254">
        <v>0</v>
      </c>
      <c r="U73" s="250" t="s">
        <v>612</v>
      </c>
      <c r="V73" s="254">
        <v>5.4920007237852606E-2</v>
      </c>
      <c r="W73" s="250" t="s">
        <v>612</v>
      </c>
      <c r="X73" s="254">
        <v>0</v>
      </c>
      <c r="Y73" s="250" t="s">
        <v>612</v>
      </c>
      <c r="Z73" s="254">
        <v>0</v>
      </c>
      <c r="AA73" s="250" t="s">
        <v>612</v>
      </c>
      <c r="AB73" s="254">
        <v>0</v>
      </c>
      <c r="AC73" s="250" t="s">
        <v>612</v>
      </c>
      <c r="AD73" s="254">
        <v>0</v>
      </c>
      <c r="AE73" s="250" t="s">
        <v>612</v>
      </c>
      <c r="AF73" s="254">
        <v>0</v>
      </c>
      <c r="AG73" s="250" t="s">
        <v>612</v>
      </c>
      <c r="AH73" s="254">
        <v>0</v>
      </c>
      <c r="AI73" s="250" t="s">
        <v>612</v>
      </c>
      <c r="AJ73" s="254">
        <v>0</v>
      </c>
      <c r="AK73" s="250" t="s">
        <v>612</v>
      </c>
      <c r="AL73" s="254">
        <v>0</v>
      </c>
      <c r="AM73" s="250" t="s">
        <v>612</v>
      </c>
      <c r="AN73" s="254">
        <v>0</v>
      </c>
      <c r="AO73" s="250" t="s">
        <v>612</v>
      </c>
      <c r="AP73" s="254">
        <v>0</v>
      </c>
      <c r="AQ73" s="250" t="s">
        <v>612</v>
      </c>
      <c r="AR73" s="254">
        <v>0</v>
      </c>
      <c r="AS73" s="250" t="s">
        <v>612</v>
      </c>
      <c r="AT73" s="254">
        <v>0.1088109089527162</v>
      </c>
      <c r="AU73" s="250" t="s">
        <v>612</v>
      </c>
      <c r="AV73" s="254">
        <v>0.12921422219971368</v>
      </c>
      <c r="AW73" s="250" t="s">
        <v>612</v>
      </c>
      <c r="AX73" s="254">
        <v>0.11551795725946284</v>
      </c>
      <c r="AY73" s="250" t="s">
        <v>612</v>
      </c>
      <c r="AZ73" s="254">
        <v>1</v>
      </c>
      <c r="BA73" s="250" t="s">
        <v>612</v>
      </c>
      <c r="BB73" s="254">
        <v>0.13197196386421034</v>
      </c>
      <c r="BC73" s="250" t="s">
        <v>612</v>
      </c>
      <c r="BD73" s="254">
        <v>5.4920007237852606E-2</v>
      </c>
      <c r="BE73" s="250" t="s">
        <v>612</v>
      </c>
      <c r="BF73" s="254">
        <v>0</v>
      </c>
      <c r="BG73" s="250" t="s">
        <v>612</v>
      </c>
      <c r="BH73" s="254">
        <v>0</v>
      </c>
      <c r="BI73" s="250" t="s">
        <v>612</v>
      </c>
      <c r="BJ73" s="254">
        <v>0</v>
      </c>
      <c r="BK73" s="250" t="s">
        <v>612</v>
      </c>
      <c r="BL73" s="254">
        <v>0</v>
      </c>
      <c r="BM73" s="250" t="s">
        <v>612</v>
      </c>
      <c r="BN73" s="254">
        <v>0</v>
      </c>
      <c r="BO73" s="250" t="s">
        <v>612</v>
      </c>
      <c r="BP73" s="254">
        <v>0</v>
      </c>
      <c r="BQ73" s="250" t="s">
        <v>612</v>
      </c>
      <c r="BR73" s="254">
        <v>0</v>
      </c>
      <c r="BS73" s="250" t="s">
        <v>612</v>
      </c>
      <c r="BT73" s="254">
        <v>0</v>
      </c>
      <c r="BU73" s="250" t="s">
        <v>612</v>
      </c>
      <c r="BV73" s="254">
        <v>0.23097686664069694</v>
      </c>
      <c r="BW73" s="250" t="s">
        <v>612</v>
      </c>
      <c r="BX73" s="254">
        <v>4.0182215777120903E-2</v>
      </c>
      <c r="BY73" s="250" t="s">
        <v>612</v>
      </c>
      <c r="BZ73" s="254">
        <v>0</v>
      </c>
      <c r="CA73" s="250" t="s">
        <v>612</v>
      </c>
      <c r="CB73" s="254">
        <v>0.23097686664069694</v>
      </c>
      <c r="CC73" s="250" t="s">
        <v>612</v>
      </c>
      <c r="CD73" s="254">
        <v>4.0182215777120903E-2</v>
      </c>
      <c r="CE73" s="250" t="s">
        <v>612</v>
      </c>
      <c r="CF73" s="254">
        <v>0</v>
      </c>
      <c r="CG73" s="250" t="s">
        <v>612</v>
      </c>
      <c r="CH73" s="254">
        <v>0.23097686664069694</v>
      </c>
      <c r="CI73" s="250" t="s">
        <v>612</v>
      </c>
      <c r="CJ73" s="254">
        <v>4.0182215777120903E-2</v>
      </c>
      <c r="CK73" s="250" t="s">
        <v>612</v>
      </c>
      <c r="CL73" s="254">
        <v>0</v>
      </c>
      <c r="CM73" s="250" t="s">
        <v>612</v>
      </c>
      <c r="CN73" s="254">
        <v>0</v>
      </c>
      <c r="CO73" s="250" t="s">
        <v>612</v>
      </c>
      <c r="CP73" s="254">
        <v>0</v>
      </c>
      <c r="CQ73" s="250" t="s">
        <v>612</v>
      </c>
      <c r="CR73" s="254">
        <v>0</v>
      </c>
      <c r="CS73" s="250" t="s">
        <v>612</v>
      </c>
      <c r="CT73" s="254">
        <v>0</v>
      </c>
      <c r="CU73" s="250" t="s">
        <v>612</v>
      </c>
      <c r="CV73" s="254">
        <v>0</v>
      </c>
      <c r="CW73" s="250" t="s">
        <v>612</v>
      </c>
      <c r="CX73" s="254">
        <v>0</v>
      </c>
      <c r="CY73" s="250" t="s">
        <v>612</v>
      </c>
      <c r="CZ73" s="254">
        <v>0</v>
      </c>
      <c r="DA73" s="250" t="s">
        <v>612</v>
      </c>
      <c r="DB73" s="254">
        <v>0</v>
      </c>
      <c r="DC73" s="250" t="s">
        <v>612</v>
      </c>
      <c r="DD73" s="254">
        <v>0</v>
      </c>
      <c r="DE73" s="250" t="s">
        <v>612</v>
      </c>
      <c r="DF73" s="254">
        <v>0</v>
      </c>
      <c r="DG73" s="250" t="s">
        <v>612</v>
      </c>
      <c r="DH73" s="254">
        <v>0</v>
      </c>
      <c r="DI73" s="250" t="s">
        <v>612</v>
      </c>
      <c r="DJ73" s="254">
        <v>0</v>
      </c>
      <c r="DK73" s="250" t="s">
        <v>612</v>
      </c>
      <c r="DL73" s="254">
        <v>0</v>
      </c>
      <c r="DM73" s="250" t="s">
        <v>612</v>
      </c>
      <c r="DN73" s="254">
        <v>0</v>
      </c>
      <c r="DO73" s="250" t="s">
        <v>612</v>
      </c>
      <c r="DP73" s="254">
        <v>0</v>
      </c>
      <c r="DQ73" s="250" t="s">
        <v>612</v>
      </c>
      <c r="DR73" s="254">
        <v>0</v>
      </c>
      <c r="DS73" s="109"/>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9"/>
      <c r="EX73" s="109"/>
      <c r="EY73" s="109"/>
      <c r="EZ73" s="109"/>
      <c r="FA73" s="109"/>
      <c r="FB73" s="109"/>
      <c r="FC73" s="109"/>
      <c r="FD73" s="109"/>
      <c r="FE73" s="109"/>
      <c r="FF73" s="109"/>
      <c r="FG73" s="109"/>
      <c r="FH73" s="109"/>
      <c r="FI73" s="109"/>
      <c r="FJ73" s="109"/>
      <c r="FK73" s="109"/>
      <c r="FL73" s="109"/>
      <c r="FM73" s="109"/>
      <c r="FN73" s="109"/>
      <c r="FO73" s="109"/>
      <c r="FP73" s="109"/>
      <c r="FQ73" s="109"/>
      <c r="FR73" s="109"/>
      <c r="FS73" s="109"/>
      <c r="FT73" s="109"/>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9"/>
      <c r="HW73" s="109"/>
      <c r="HX73" s="109"/>
      <c r="HY73" s="109"/>
      <c r="HZ73" s="109"/>
      <c r="IA73" s="109"/>
      <c r="IB73" s="109"/>
      <c r="IC73" s="109"/>
      <c r="ID73" s="109"/>
      <c r="IE73" s="109"/>
      <c r="IF73" s="109"/>
      <c r="IG73" s="109"/>
      <c r="IH73" s="109"/>
      <c r="II73" s="109"/>
      <c r="IJ73" s="109"/>
      <c r="IK73" s="109"/>
      <c r="IL73" s="109"/>
      <c r="IM73" s="109"/>
      <c r="IN73" s="109"/>
      <c r="IO73" s="109"/>
      <c r="IP73" s="109"/>
      <c r="IQ73" s="109"/>
      <c r="IR73" s="109"/>
      <c r="IS73" s="109"/>
      <c r="IT73" s="109"/>
      <c r="IU73" s="109"/>
      <c r="IV73" s="109"/>
      <c r="IW73" s="109"/>
      <c r="IX73" s="109"/>
      <c r="IY73" s="109"/>
      <c r="IZ73" s="109"/>
      <c r="JA73" s="109"/>
      <c r="JB73" s="109"/>
      <c r="JC73" s="109"/>
      <c r="JD73" s="109"/>
      <c r="JE73" s="109"/>
      <c r="JF73" s="109"/>
      <c r="JG73" s="109"/>
      <c r="JH73" s="109"/>
      <c r="JI73" s="109"/>
      <c r="JJ73" s="109"/>
      <c r="JK73" s="109"/>
      <c r="JL73" s="109"/>
      <c r="JM73" s="109"/>
      <c r="JN73" s="109"/>
      <c r="JO73" s="109"/>
      <c r="JP73" s="109"/>
      <c r="JQ73" s="109"/>
      <c r="JR73" s="109"/>
      <c r="JS73" s="109"/>
      <c r="JT73" s="109"/>
      <c r="JU73" s="109"/>
      <c r="JV73" s="109"/>
      <c r="JW73" s="109"/>
      <c r="JX73" s="109"/>
      <c r="JY73" s="109"/>
      <c r="JZ73" s="109"/>
      <c r="KA73" s="109"/>
      <c r="KB73" s="109"/>
      <c r="KC73" s="109"/>
      <c r="KD73" s="109"/>
      <c r="KE73" s="109"/>
      <c r="KF73" s="109"/>
      <c r="KG73" s="109"/>
      <c r="KH73" s="109"/>
      <c r="KI73" s="109"/>
      <c r="KJ73" s="109"/>
      <c r="KK73" s="109"/>
      <c r="KL73" s="109"/>
      <c r="KM73" s="109"/>
      <c r="KN73" s="109"/>
      <c r="KO73" s="109"/>
      <c r="KP73" s="109"/>
      <c r="KQ73" s="109"/>
      <c r="KR73" s="109"/>
      <c r="KS73" s="109"/>
      <c r="KT73" s="109"/>
      <c r="KU73" s="109"/>
      <c r="KV73" s="109"/>
      <c r="KW73" s="109"/>
      <c r="KX73" s="109"/>
      <c r="KY73" s="109"/>
      <c r="KZ73" s="109"/>
      <c r="LA73" s="109"/>
      <c r="LB73" s="109"/>
      <c r="LC73" s="109"/>
      <c r="LD73" s="109"/>
      <c r="LE73" s="109"/>
      <c r="LF73" s="109"/>
      <c r="LG73" s="109"/>
      <c r="LH73" s="109"/>
      <c r="LI73" s="109"/>
      <c r="LJ73" s="109"/>
      <c r="LK73" s="109"/>
      <c r="LL73" s="109"/>
      <c r="LM73" s="109"/>
      <c r="LN73" s="109"/>
      <c r="LO73" s="109"/>
      <c r="LP73" s="109"/>
      <c r="LQ73" s="109"/>
      <c r="LR73" s="109"/>
      <c r="LS73" s="109"/>
      <c r="LT73" s="109"/>
      <c r="LU73" s="109"/>
      <c r="LV73" s="109"/>
      <c r="LW73" s="109"/>
      <c r="LX73" s="109"/>
      <c r="LY73" s="109"/>
      <c r="LZ73" s="109"/>
      <c r="MA73" s="109"/>
      <c r="MB73" s="109"/>
      <c r="MC73" s="109"/>
      <c r="MD73" s="109"/>
      <c r="ME73" s="109"/>
      <c r="MF73" s="109"/>
      <c r="MG73" s="109"/>
      <c r="MH73" s="150"/>
      <c r="MI73" s="109"/>
      <c r="MJ73" s="109"/>
      <c r="MK73" s="109"/>
      <c r="ML73" s="109"/>
      <c r="MM73" s="109"/>
      <c r="MN73" s="109"/>
      <c r="MO73" s="109"/>
      <c r="MP73" s="109"/>
      <c r="MQ73" s="109"/>
      <c r="MR73" s="109"/>
      <c r="MS73" s="109"/>
      <c r="MT73" s="109"/>
      <c r="MU73" s="109"/>
      <c r="MV73" s="109"/>
      <c r="MW73" s="109"/>
      <c r="MX73" s="109"/>
      <c r="MY73" s="109"/>
      <c r="MZ73" s="109"/>
      <c r="NA73" s="109"/>
      <c r="NB73" s="109"/>
    </row>
    <row r="74" spans="1:366" s="261" customFormat="1" x14ac:dyDescent="0.25">
      <c r="A74" s="113">
        <v>0</v>
      </c>
      <c r="B74" s="161" t="s">
        <v>620</v>
      </c>
      <c r="C74" s="250" t="s">
        <v>610</v>
      </c>
      <c r="D74" s="254">
        <v>1</v>
      </c>
      <c r="E74" s="250" t="s">
        <v>610</v>
      </c>
      <c r="F74" s="254">
        <v>0.23093975723831922</v>
      </c>
      <c r="G74" s="250" t="s">
        <v>610</v>
      </c>
      <c r="H74" s="254">
        <v>0</v>
      </c>
      <c r="I74" s="250" t="s">
        <v>610</v>
      </c>
      <c r="J74" s="254">
        <v>0</v>
      </c>
      <c r="K74" s="250" t="s">
        <v>610</v>
      </c>
      <c r="L74" s="254">
        <v>0</v>
      </c>
      <c r="M74" s="250" t="s">
        <v>610</v>
      </c>
      <c r="N74" s="254">
        <v>0</v>
      </c>
      <c r="O74" s="250" t="s">
        <v>610</v>
      </c>
      <c r="P74" s="254">
        <v>0</v>
      </c>
      <c r="Q74" s="250" t="s">
        <v>610</v>
      </c>
      <c r="R74" s="254">
        <v>0</v>
      </c>
      <c r="S74" s="250" t="s">
        <v>610</v>
      </c>
      <c r="T74" s="254">
        <v>0</v>
      </c>
      <c r="U74" s="250" t="s">
        <v>610</v>
      </c>
      <c r="V74" s="254">
        <v>8.3226042368530845E-2</v>
      </c>
      <c r="W74" s="250" t="s">
        <v>610</v>
      </c>
      <c r="X74" s="254">
        <v>0</v>
      </c>
      <c r="Y74" s="250" t="s">
        <v>610</v>
      </c>
      <c r="Z74" s="254">
        <v>0</v>
      </c>
      <c r="AA74" s="250" t="s">
        <v>610</v>
      </c>
      <c r="AB74" s="254">
        <v>0</v>
      </c>
      <c r="AC74" s="250" t="s">
        <v>610</v>
      </c>
      <c r="AD74" s="254">
        <v>0</v>
      </c>
      <c r="AE74" s="250" t="s">
        <v>610</v>
      </c>
      <c r="AF74" s="254">
        <v>0</v>
      </c>
      <c r="AG74" s="250" t="s">
        <v>610</v>
      </c>
      <c r="AH74" s="254">
        <v>0</v>
      </c>
      <c r="AI74" s="250" t="s">
        <v>610</v>
      </c>
      <c r="AJ74" s="254">
        <v>0</v>
      </c>
      <c r="AK74" s="250" t="s">
        <v>610</v>
      </c>
      <c r="AL74" s="254">
        <v>0</v>
      </c>
      <c r="AM74" s="250" t="s">
        <v>610</v>
      </c>
      <c r="AN74" s="254">
        <v>0</v>
      </c>
      <c r="AO74" s="250" t="s">
        <v>610</v>
      </c>
      <c r="AP74" s="254">
        <v>0</v>
      </c>
      <c r="AQ74" s="250" t="s">
        <v>610</v>
      </c>
      <c r="AR74" s="254">
        <v>0</v>
      </c>
      <c r="AS74" s="250" t="s">
        <v>610</v>
      </c>
      <c r="AT74" s="254">
        <v>0.37452427354625534</v>
      </c>
      <c r="AU74" s="250" t="s">
        <v>610</v>
      </c>
      <c r="AV74" s="254">
        <v>0.11250689621565477</v>
      </c>
      <c r="AW74" s="250" t="s">
        <v>610</v>
      </c>
      <c r="AX74" s="254">
        <v>7.8017775257009161E-2</v>
      </c>
      <c r="AY74" s="250" t="s">
        <v>610</v>
      </c>
      <c r="AZ74" s="254">
        <v>7.7192896701145833E-2</v>
      </c>
      <c r="BA74" s="250" t="s">
        <v>610</v>
      </c>
      <c r="BB74" s="254">
        <v>0.42312195311125317</v>
      </c>
      <c r="BC74" s="250" t="s">
        <v>610</v>
      </c>
      <c r="BD74" s="254">
        <v>8.3226042368530845E-2</v>
      </c>
      <c r="BE74" s="250" t="s">
        <v>610</v>
      </c>
      <c r="BF74" s="254">
        <v>0</v>
      </c>
      <c r="BG74" s="250" t="s">
        <v>610</v>
      </c>
      <c r="BH74" s="254">
        <v>0</v>
      </c>
      <c r="BI74" s="250" t="s">
        <v>610</v>
      </c>
      <c r="BJ74" s="254">
        <v>0</v>
      </c>
      <c r="BK74" s="250" t="s">
        <v>610</v>
      </c>
      <c r="BL74" s="254">
        <v>0</v>
      </c>
      <c r="BM74" s="250" t="s">
        <v>610</v>
      </c>
      <c r="BN74" s="254">
        <v>0</v>
      </c>
      <c r="BO74" s="250" t="s">
        <v>610</v>
      </c>
      <c r="BP74" s="254">
        <v>0</v>
      </c>
      <c r="BQ74" s="250" t="s">
        <v>610</v>
      </c>
      <c r="BR74" s="254">
        <v>0</v>
      </c>
      <c r="BS74" s="250" t="s">
        <v>610</v>
      </c>
      <c r="BT74" s="254">
        <v>0</v>
      </c>
      <c r="BU74" s="250" t="s">
        <v>610</v>
      </c>
      <c r="BV74" s="254">
        <v>0.63594530963955465</v>
      </c>
      <c r="BW74" s="250" t="s">
        <v>610</v>
      </c>
      <c r="BX74" s="254">
        <v>4.0283006607916727E-2</v>
      </c>
      <c r="BY74" s="250" t="s">
        <v>610</v>
      </c>
      <c r="BZ74" s="254">
        <v>0</v>
      </c>
      <c r="CA74" s="250" t="s">
        <v>610</v>
      </c>
      <c r="CB74" s="254">
        <v>0.63594530963955465</v>
      </c>
      <c r="CC74" s="250" t="s">
        <v>610</v>
      </c>
      <c r="CD74" s="254">
        <v>4.0283006607916727E-2</v>
      </c>
      <c r="CE74" s="250" t="s">
        <v>610</v>
      </c>
      <c r="CF74" s="254">
        <v>0</v>
      </c>
      <c r="CG74" s="250" t="s">
        <v>610</v>
      </c>
      <c r="CH74" s="254">
        <v>0.63594530963955465</v>
      </c>
      <c r="CI74" s="250" t="s">
        <v>610</v>
      </c>
      <c r="CJ74" s="254">
        <v>4.0283006607916727E-2</v>
      </c>
      <c r="CK74" s="250" t="s">
        <v>610</v>
      </c>
      <c r="CL74" s="254">
        <v>0</v>
      </c>
      <c r="CM74" s="250" t="s">
        <v>610</v>
      </c>
      <c r="CN74" s="254">
        <v>0</v>
      </c>
      <c r="CO74" s="250" t="s">
        <v>610</v>
      </c>
      <c r="CP74" s="254">
        <v>0</v>
      </c>
      <c r="CQ74" s="250" t="s">
        <v>610</v>
      </c>
      <c r="CR74" s="254">
        <v>0</v>
      </c>
      <c r="CS74" s="250" t="s">
        <v>610</v>
      </c>
      <c r="CT74" s="254">
        <v>0</v>
      </c>
      <c r="CU74" s="250" t="s">
        <v>610</v>
      </c>
      <c r="CV74" s="254">
        <v>0</v>
      </c>
      <c r="CW74" s="250" t="s">
        <v>610</v>
      </c>
      <c r="CX74" s="254">
        <v>0</v>
      </c>
      <c r="CY74" s="250" t="s">
        <v>610</v>
      </c>
      <c r="CZ74" s="254">
        <v>0</v>
      </c>
      <c r="DA74" s="250" t="s">
        <v>610</v>
      </c>
      <c r="DB74" s="254">
        <v>0</v>
      </c>
      <c r="DC74" s="250" t="s">
        <v>610</v>
      </c>
      <c r="DD74" s="254">
        <v>0</v>
      </c>
      <c r="DE74" s="250" t="s">
        <v>610</v>
      </c>
      <c r="DF74" s="254">
        <v>0</v>
      </c>
      <c r="DG74" s="250" t="s">
        <v>610</v>
      </c>
      <c r="DH74" s="254">
        <v>0</v>
      </c>
      <c r="DI74" s="250" t="s">
        <v>610</v>
      </c>
      <c r="DJ74" s="254">
        <v>0</v>
      </c>
      <c r="DK74" s="250" t="s">
        <v>610</v>
      </c>
      <c r="DL74" s="254">
        <v>0</v>
      </c>
      <c r="DM74" s="250" t="s">
        <v>610</v>
      </c>
      <c r="DN74" s="254">
        <v>0</v>
      </c>
      <c r="DO74" s="250" t="s">
        <v>610</v>
      </c>
      <c r="DP74" s="254">
        <v>0</v>
      </c>
      <c r="DQ74" s="250" t="s">
        <v>610</v>
      </c>
      <c r="DR74" s="254">
        <v>0</v>
      </c>
      <c r="DS74" s="109"/>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9"/>
      <c r="EX74" s="109"/>
      <c r="EY74" s="109"/>
      <c r="EZ74" s="109"/>
      <c r="FA74" s="109"/>
      <c r="FB74" s="109"/>
      <c r="FC74" s="109"/>
      <c r="FD74" s="109"/>
      <c r="FE74" s="109"/>
      <c r="FF74" s="109"/>
      <c r="FG74" s="109"/>
      <c r="FH74" s="109"/>
      <c r="FI74" s="109"/>
      <c r="FJ74" s="109"/>
      <c r="FK74" s="109"/>
      <c r="FL74" s="109"/>
      <c r="FM74" s="109"/>
      <c r="FN74" s="109"/>
      <c r="FO74" s="109"/>
      <c r="FP74" s="109"/>
      <c r="FQ74" s="109"/>
      <c r="FR74" s="109"/>
      <c r="FS74" s="109"/>
      <c r="FT74" s="109"/>
      <c r="FU74" s="109"/>
      <c r="FV74" s="109"/>
      <c r="FW74" s="109"/>
      <c r="FX74" s="109"/>
      <c r="FY74" s="109"/>
      <c r="FZ74" s="109"/>
      <c r="GA74" s="109"/>
      <c r="GB74" s="109"/>
      <c r="GC74" s="109"/>
      <c r="GD74" s="109"/>
      <c r="GE74" s="109"/>
      <c r="GF74" s="109"/>
      <c r="GG74" s="109"/>
      <c r="GH74" s="109"/>
      <c r="GI74" s="109"/>
      <c r="GJ74" s="109"/>
      <c r="GK74" s="109"/>
      <c r="GL74" s="109"/>
      <c r="GM74" s="109"/>
      <c r="GN74" s="109"/>
      <c r="GO74" s="109"/>
      <c r="GP74" s="109"/>
      <c r="GQ74" s="109"/>
      <c r="GR74" s="109"/>
      <c r="GS74" s="109"/>
      <c r="GT74" s="109"/>
      <c r="GU74" s="109"/>
      <c r="GV74" s="109"/>
      <c r="GW74" s="109"/>
      <c r="GX74" s="109"/>
      <c r="GY74" s="109"/>
      <c r="GZ74" s="109"/>
      <c r="HA74" s="109"/>
      <c r="HB74" s="109"/>
      <c r="HC74" s="109"/>
      <c r="HD74" s="109"/>
      <c r="HE74" s="109"/>
      <c r="HF74" s="109"/>
      <c r="HG74" s="109"/>
      <c r="HH74" s="109"/>
      <c r="HI74" s="109"/>
      <c r="HJ74" s="109"/>
      <c r="HK74" s="109"/>
      <c r="HL74" s="109"/>
      <c r="HM74" s="109"/>
      <c r="HN74" s="109"/>
      <c r="HO74" s="109"/>
      <c r="HP74" s="109"/>
      <c r="HQ74" s="109"/>
      <c r="HR74" s="109"/>
      <c r="HS74" s="109"/>
      <c r="HT74" s="109"/>
      <c r="HU74" s="109"/>
      <c r="HV74" s="109"/>
      <c r="HW74" s="109"/>
      <c r="HX74" s="109"/>
      <c r="HY74" s="109"/>
      <c r="HZ74" s="109"/>
      <c r="IA74" s="109"/>
      <c r="IB74" s="109"/>
      <c r="IC74" s="109"/>
      <c r="ID74" s="109"/>
      <c r="IE74" s="109"/>
      <c r="IF74" s="109"/>
      <c r="IG74" s="109"/>
      <c r="IH74" s="109"/>
      <c r="II74" s="109"/>
      <c r="IJ74" s="109"/>
      <c r="IK74" s="109"/>
      <c r="IL74" s="109"/>
      <c r="IM74" s="109"/>
      <c r="IN74" s="109"/>
      <c r="IO74" s="109"/>
      <c r="IP74" s="109"/>
      <c r="IQ74" s="109"/>
      <c r="IR74" s="109"/>
      <c r="IS74" s="109"/>
      <c r="IT74" s="109"/>
      <c r="IU74" s="109"/>
      <c r="IV74" s="109"/>
      <c r="IW74" s="109"/>
      <c r="IX74" s="109"/>
      <c r="IY74" s="109"/>
      <c r="IZ74" s="109"/>
      <c r="JA74" s="109"/>
      <c r="JB74" s="109"/>
      <c r="JC74" s="109"/>
      <c r="JD74" s="109"/>
      <c r="JE74" s="109"/>
      <c r="JF74" s="109"/>
      <c r="JG74" s="109"/>
      <c r="JH74" s="109"/>
      <c r="JI74" s="109"/>
      <c r="JJ74" s="109"/>
      <c r="JK74" s="109"/>
      <c r="JL74" s="109"/>
      <c r="JM74" s="109"/>
      <c r="JN74" s="109"/>
      <c r="JO74" s="109"/>
      <c r="JP74" s="109"/>
      <c r="JQ74" s="109"/>
      <c r="JR74" s="109"/>
      <c r="JS74" s="109"/>
      <c r="JT74" s="109"/>
      <c r="JU74" s="109"/>
      <c r="JV74" s="109"/>
      <c r="JW74" s="109"/>
      <c r="JX74" s="109"/>
      <c r="JY74" s="109"/>
      <c r="JZ74" s="109"/>
      <c r="KA74" s="109"/>
      <c r="KB74" s="109"/>
      <c r="KC74" s="109"/>
      <c r="KD74" s="109"/>
      <c r="KE74" s="109"/>
      <c r="KF74" s="109"/>
      <c r="KG74" s="109"/>
      <c r="KH74" s="109"/>
      <c r="KI74" s="109"/>
      <c r="KJ74" s="109"/>
      <c r="KK74" s="109"/>
      <c r="KL74" s="109"/>
      <c r="KM74" s="109"/>
      <c r="KN74" s="109"/>
      <c r="KO74" s="109"/>
      <c r="KP74" s="109"/>
      <c r="KQ74" s="109"/>
      <c r="KR74" s="109"/>
      <c r="KS74" s="109"/>
      <c r="KT74" s="109"/>
      <c r="KU74" s="109"/>
      <c r="KV74" s="109"/>
      <c r="KW74" s="109"/>
      <c r="KX74" s="109"/>
      <c r="KY74" s="109"/>
      <c r="KZ74" s="109"/>
      <c r="LA74" s="109"/>
      <c r="LB74" s="109"/>
      <c r="LC74" s="109"/>
      <c r="LD74" s="109"/>
      <c r="LE74" s="109"/>
      <c r="LF74" s="109"/>
      <c r="LG74" s="109"/>
      <c r="LH74" s="109"/>
      <c r="LI74" s="109"/>
      <c r="LJ74" s="109"/>
      <c r="LK74" s="109"/>
      <c r="LL74" s="109"/>
      <c r="LM74" s="109"/>
      <c r="LN74" s="109"/>
      <c r="LO74" s="109"/>
      <c r="LP74" s="109"/>
      <c r="LQ74" s="109"/>
      <c r="LR74" s="109"/>
      <c r="LS74" s="109"/>
      <c r="LT74" s="109"/>
      <c r="LU74" s="109"/>
      <c r="LV74" s="109"/>
      <c r="LW74" s="109"/>
      <c r="LX74" s="109"/>
      <c r="LY74" s="109"/>
      <c r="LZ74" s="109"/>
      <c r="MA74" s="109"/>
      <c r="MB74" s="109"/>
      <c r="MC74" s="109"/>
      <c r="MD74" s="109"/>
      <c r="ME74" s="109"/>
      <c r="MF74" s="109"/>
      <c r="MG74" s="109"/>
      <c r="MH74" s="150"/>
      <c r="MI74" s="109"/>
      <c r="MJ74" s="109"/>
      <c r="MK74" s="109"/>
      <c r="ML74" s="109"/>
      <c r="MM74" s="109"/>
      <c r="MN74" s="109"/>
      <c r="MO74" s="109"/>
      <c r="MP74" s="109"/>
      <c r="MQ74" s="109"/>
      <c r="MR74" s="109"/>
      <c r="MS74" s="109"/>
      <c r="MT74" s="109"/>
      <c r="MU74" s="109"/>
      <c r="MV74" s="109"/>
      <c r="MW74" s="109"/>
      <c r="MX74" s="109"/>
      <c r="MY74" s="109"/>
      <c r="MZ74" s="109"/>
      <c r="NA74" s="109"/>
      <c r="NB74" s="109"/>
    </row>
    <row r="75" spans="1:366" s="261" customFormat="1" x14ac:dyDescent="0.25">
      <c r="A75" s="113">
        <v>0</v>
      </c>
      <c r="B75" s="161" t="s">
        <v>621</v>
      </c>
      <c r="C75" s="250" t="s">
        <v>609</v>
      </c>
      <c r="D75" s="254">
        <v>0.5</v>
      </c>
      <c r="E75" s="250" t="s">
        <v>609</v>
      </c>
      <c r="F75" s="254">
        <v>0.23105133216754675</v>
      </c>
      <c r="G75" s="250" t="s">
        <v>609</v>
      </c>
      <c r="H75" s="254">
        <v>0.48064478043566777</v>
      </c>
      <c r="I75" s="250" t="s">
        <v>609</v>
      </c>
      <c r="J75" s="254">
        <v>0</v>
      </c>
      <c r="K75" s="250" t="s">
        <v>609</v>
      </c>
      <c r="L75" s="254">
        <v>0</v>
      </c>
      <c r="M75" s="250" t="s">
        <v>609</v>
      </c>
      <c r="N75" s="254">
        <v>0</v>
      </c>
      <c r="O75" s="250" t="s">
        <v>609</v>
      </c>
      <c r="P75" s="254">
        <v>0</v>
      </c>
      <c r="Q75" s="250" t="s">
        <v>609</v>
      </c>
      <c r="R75" s="254">
        <v>0</v>
      </c>
      <c r="S75" s="250" t="s">
        <v>609</v>
      </c>
      <c r="T75" s="254">
        <v>0</v>
      </c>
      <c r="U75" s="250" t="s">
        <v>609</v>
      </c>
      <c r="V75" s="254">
        <v>0.34005215486502433</v>
      </c>
      <c r="W75" s="250" t="s">
        <v>609</v>
      </c>
      <c r="X75" s="254">
        <v>0.32218628712974839</v>
      </c>
      <c r="Y75" s="250" t="s">
        <v>609</v>
      </c>
      <c r="Z75" s="254">
        <v>0</v>
      </c>
      <c r="AA75" s="250" t="s">
        <v>609</v>
      </c>
      <c r="AB75" s="254">
        <v>0</v>
      </c>
      <c r="AC75" s="250" t="s">
        <v>609</v>
      </c>
      <c r="AD75" s="254">
        <v>0</v>
      </c>
      <c r="AE75" s="250" t="s">
        <v>609</v>
      </c>
      <c r="AF75" s="254">
        <v>0</v>
      </c>
      <c r="AG75" s="250" t="s">
        <v>609</v>
      </c>
      <c r="AH75" s="254">
        <v>0</v>
      </c>
      <c r="AI75" s="250" t="s">
        <v>609</v>
      </c>
      <c r="AJ75" s="254">
        <v>0</v>
      </c>
      <c r="AK75" s="250" t="s">
        <v>609</v>
      </c>
      <c r="AL75" s="254">
        <v>0</v>
      </c>
      <c r="AM75" s="250" t="s">
        <v>609</v>
      </c>
      <c r="AN75" s="254">
        <v>0</v>
      </c>
      <c r="AO75" s="250" t="s">
        <v>609</v>
      </c>
      <c r="AP75" s="254">
        <v>0</v>
      </c>
      <c r="AQ75" s="250" t="s">
        <v>609</v>
      </c>
      <c r="AR75" s="254">
        <v>0</v>
      </c>
      <c r="AS75" s="250" t="s">
        <v>609</v>
      </c>
      <c r="AT75" s="254">
        <v>0.3153178948969419</v>
      </c>
      <c r="AU75" s="250" t="s">
        <v>609</v>
      </c>
      <c r="AV75" s="254">
        <v>0.4243277265419928</v>
      </c>
      <c r="AW75" s="250" t="s">
        <v>609</v>
      </c>
      <c r="AX75" s="254">
        <v>0.12605512059667975</v>
      </c>
      <c r="AY75" s="250" t="s">
        <v>609</v>
      </c>
      <c r="AZ75" s="254">
        <v>7.6794955922617064E-2</v>
      </c>
      <c r="BA75" s="250" t="s">
        <v>609</v>
      </c>
      <c r="BB75" s="254">
        <v>0.35042573709729613</v>
      </c>
      <c r="BC75" s="250" t="s">
        <v>609</v>
      </c>
      <c r="BD75" s="254">
        <v>0.34005215486502433</v>
      </c>
      <c r="BE75" s="250" t="s">
        <v>609</v>
      </c>
      <c r="BF75" s="254">
        <v>0</v>
      </c>
      <c r="BG75" s="250" t="s">
        <v>609</v>
      </c>
      <c r="BH75" s="254">
        <v>0.14958438153200274</v>
      </c>
      <c r="BI75" s="250" t="s">
        <v>609</v>
      </c>
      <c r="BJ75" s="254">
        <v>0</v>
      </c>
      <c r="BK75" s="250" t="s">
        <v>609</v>
      </c>
      <c r="BL75" s="254">
        <v>0</v>
      </c>
      <c r="BM75" s="250" t="s">
        <v>609</v>
      </c>
      <c r="BN75" s="254">
        <v>2.5396038484275043E-2</v>
      </c>
      <c r="BO75" s="250" t="s">
        <v>609</v>
      </c>
      <c r="BP75" s="254">
        <v>7.6631231929732466E-2</v>
      </c>
      <c r="BQ75" s="250" t="s">
        <v>609</v>
      </c>
      <c r="BR75" s="254">
        <v>4.9697651669123591E-3</v>
      </c>
      <c r="BS75" s="250" t="s">
        <v>609</v>
      </c>
      <c r="BT75" s="254">
        <v>1.8075079832518933E-2</v>
      </c>
      <c r="BU75" s="250" t="s">
        <v>609</v>
      </c>
      <c r="BV75" s="254">
        <v>0.41624662938640561</v>
      </c>
      <c r="BW75" s="250" t="s">
        <v>609</v>
      </c>
      <c r="BX75" s="254">
        <v>0.39927651698416955</v>
      </c>
      <c r="BY75" s="250" t="s">
        <v>609</v>
      </c>
      <c r="BZ75" s="254">
        <v>0.12165341033585655</v>
      </c>
      <c r="CA75" s="250" t="s">
        <v>609</v>
      </c>
      <c r="CB75" s="254">
        <v>0.41624662938640561</v>
      </c>
      <c r="CC75" s="250" t="s">
        <v>609</v>
      </c>
      <c r="CD75" s="254">
        <v>0.39927651698416955</v>
      </c>
      <c r="CE75" s="250" t="s">
        <v>609</v>
      </c>
      <c r="CF75" s="254">
        <v>0.12165341033585655</v>
      </c>
      <c r="CG75" s="250" t="s">
        <v>609</v>
      </c>
      <c r="CH75" s="254">
        <v>0.41624662938640561</v>
      </c>
      <c r="CI75" s="250" t="s">
        <v>609</v>
      </c>
      <c r="CJ75" s="254">
        <v>0.39927651698416955</v>
      </c>
      <c r="CK75" s="250" t="s">
        <v>609</v>
      </c>
      <c r="CL75" s="254">
        <v>0.12165341033585655</v>
      </c>
      <c r="CM75" s="250" t="s">
        <v>609</v>
      </c>
      <c r="CN75" s="254">
        <v>0</v>
      </c>
      <c r="CO75" s="250" t="s">
        <v>609</v>
      </c>
      <c r="CP75" s="254">
        <v>0</v>
      </c>
      <c r="CQ75" s="250" t="s">
        <v>609</v>
      </c>
      <c r="CR75" s="254">
        <v>0</v>
      </c>
      <c r="CS75" s="250" t="s">
        <v>609</v>
      </c>
      <c r="CT75" s="254">
        <v>0</v>
      </c>
      <c r="CU75" s="250" t="s">
        <v>609</v>
      </c>
      <c r="CV75" s="254">
        <v>0</v>
      </c>
      <c r="CW75" s="250" t="s">
        <v>609</v>
      </c>
      <c r="CX75" s="254">
        <v>0</v>
      </c>
      <c r="CY75" s="250" t="s">
        <v>609</v>
      </c>
      <c r="CZ75" s="254">
        <v>0</v>
      </c>
      <c r="DA75" s="250" t="s">
        <v>609</v>
      </c>
      <c r="DB75" s="254">
        <v>0</v>
      </c>
      <c r="DC75" s="250" t="s">
        <v>609</v>
      </c>
      <c r="DD75" s="254">
        <v>0</v>
      </c>
      <c r="DE75" s="250" t="s">
        <v>609</v>
      </c>
      <c r="DF75" s="254">
        <v>0</v>
      </c>
      <c r="DG75" s="250" t="s">
        <v>609</v>
      </c>
      <c r="DH75" s="254">
        <v>0</v>
      </c>
      <c r="DI75" s="250" t="s">
        <v>609</v>
      </c>
      <c r="DJ75" s="254">
        <v>0</v>
      </c>
      <c r="DK75" s="250" t="s">
        <v>609</v>
      </c>
      <c r="DL75" s="254">
        <v>0</v>
      </c>
      <c r="DM75" s="250" t="s">
        <v>609</v>
      </c>
      <c r="DN75" s="254">
        <v>8.4502089168452046E-2</v>
      </c>
      <c r="DO75" s="250" t="s">
        <v>609</v>
      </c>
      <c r="DP75" s="254">
        <v>0</v>
      </c>
      <c r="DQ75" s="250" t="s">
        <v>609</v>
      </c>
      <c r="DR75" s="254">
        <v>0</v>
      </c>
      <c r="DS75" s="109"/>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9"/>
      <c r="EX75" s="109"/>
      <c r="EY75" s="109"/>
      <c r="EZ75" s="109"/>
      <c r="FA75" s="109"/>
      <c r="FB75" s="109"/>
      <c r="FC75" s="109"/>
      <c r="FD75" s="109"/>
      <c r="FE75" s="109"/>
      <c r="FF75" s="109"/>
      <c r="FG75" s="109"/>
      <c r="FH75" s="109"/>
      <c r="FI75" s="109"/>
      <c r="FJ75" s="109"/>
      <c r="FK75" s="109"/>
      <c r="FL75" s="109"/>
      <c r="FM75" s="109"/>
      <c r="FN75" s="109"/>
      <c r="FO75" s="109"/>
      <c r="FP75" s="109"/>
      <c r="FQ75" s="109"/>
      <c r="FR75" s="109"/>
      <c r="FS75" s="109"/>
      <c r="FT75" s="109"/>
      <c r="FU75" s="109"/>
      <c r="FV75" s="109"/>
      <c r="FW75" s="109"/>
      <c r="FX75" s="109"/>
      <c r="FY75" s="109"/>
      <c r="FZ75" s="109"/>
      <c r="GA75" s="109"/>
      <c r="GB75" s="109"/>
      <c r="GC75" s="109"/>
      <c r="GD75" s="109"/>
      <c r="GE75" s="109"/>
      <c r="GF75" s="109"/>
      <c r="GG75" s="109"/>
      <c r="GH75" s="109"/>
      <c r="GI75" s="109"/>
      <c r="GJ75" s="109"/>
      <c r="GK75" s="109"/>
      <c r="GL75" s="109"/>
      <c r="GM75" s="109"/>
      <c r="GN75" s="109"/>
      <c r="GO75" s="109"/>
      <c r="GP75" s="109"/>
      <c r="GQ75" s="109"/>
      <c r="GR75" s="109"/>
      <c r="GS75" s="109"/>
      <c r="GT75" s="109"/>
      <c r="GU75" s="109"/>
      <c r="GV75" s="109"/>
      <c r="GW75" s="109"/>
      <c r="GX75" s="109"/>
      <c r="GY75" s="109"/>
      <c r="GZ75" s="109"/>
      <c r="HA75" s="109"/>
      <c r="HB75" s="109"/>
      <c r="HC75" s="109"/>
      <c r="HD75" s="109"/>
      <c r="HE75" s="109"/>
      <c r="HF75" s="109"/>
      <c r="HG75" s="109"/>
      <c r="HH75" s="109"/>
      <c r="HI75" s="109"/>
      <c r="HJ75" s="109"/>
      <c r="HK75" s="109"/>
      <c r="HL75" s="109"/>
      <c r="HM75" s="109"/>
      <c r="HN75" s="109"/>
      <c r="HO75" s="109"/>
      <c r="HP75" s="109"/>
      <c r="HQ75" s="109"/>
      <c r="HR75" s="109"/>
      <c r="HS75" s="109"/>
      <c r="HT75" s="109"/>
      <c r="HU75" s="109"/>
      <c r="HV75" s="109"/>
      <c r="HW75" s="109"/>
      <c r="HX75" s="109"/>
      <c r="HY75" s="109"/>
      <c r="HZ75" s="109"/>
      <c r="IA75" s="109"/>
      <c r="IB75" s="109"/>
      <c r="IC75" s="109"/>
      <c r="ID75" s="109"/>
      <c r="IE75" s="109"/>
      <c r="IF75" s="109"/>
      <c r="IG75" s="109"/>
      <c r="IH75" s="109"/>
      <c r="II75" s="109"/>
      <c r="IJ75" s="109"/>
      <c r="IK75" s="109"/>
      <c r="IL75" s="109"/>
      <c r="IM75" s="109"/>
      <c r="IN75" s="109"/>
      <c r="IO75" s="109"/>
      <c r="IP75" s="109"/>
      <c r="IQ75" s="109"/>
      <c r="IR75" s="109"/>
      <c r="IS75" s="109"/>
      <c r="IT75" s="109"/>
      <c r="IU75" s="109"/>
      <c r="IV75" s="109"/>
      <c r="IW75" s="109"/>
      <c r="IX75" s="109"/>
      <c r="IY75" s="109"/>
      <c r="IZ75" s="109"/>
      <c r="JA75" s="109"/>
      <c r="JB75" s="109"/>
      <c r="JC75" s="109"/>
      <c r="JD75" s="109"/>
      <c r="JE75" s="109"/>
      <c r="JF75" s="109"/>
      <c r="JG75" s="109"/>
      <c r="JH75" s="109"/>
      <c r="JI75" s="109"/>
      <c r="JJ75" s="109"/>
      <c r="JK75" s="109"/>
      <c r="JL75" s="109"/>
      <c r="JM75" s="109"/>
      <c r="JN75" s="109"/>
      <c r="JO75" s="109"/>
      <c r="JP75" s="109"/>
      <c r="JQ75" s="109"/>
      <c r="JR75" s="109"/>
      <c r="JS75" s="109"/>
      <c r="JT75" s="109"/>
      <c r="JU75" s="109"/>
      <c r="JV75" s="109"/>
      <c r="JW75" s="109"/>
      <c r="JX75" s="109"/>
      <c r="JY75" s="109"/>
      <c r="JZ75" s="109"/>
      <c r="KA75" s="109"/>
      <c r="KB75" s="109"/>
      <c r="KC75" s="109"/>
      <c r="KD75" s="109"/>
      <c r="KE75" s="109"/>
      <c r="KF75" s="109"/>
      <c r="KG75" s="109"/>
      <c r="KH75" s="109"/>
      <c r="KI75" s="109"/>
      <c r="KJ75" s="109"/>
      <c r="KK75" s="109"/>
      <c r="KL75" s="109"/>
      <c r="KM75" s="109"/>
      <c r="KN75" s="109"/>
      <c r="KO75" s="109"/>
      <c r="KP75" s="109"/>
      <c r="KQ75" s="109"/>
      <c r="KR75" s="109"/>
      <c r="KS75" s="109"/>
      <c r="KT75" s="109"/>
      <c r="KU75" s="109"/>
      <c r="KV75" s="109"/>
      <c r="KW75" s="109"/>
      <c r="KX75" s="109"/>
      <c r="KY75" s="109"/>
      <c r="KZ75" s="109"/>
      <c r="LA75" s="109"/>
      <c r="LB75" s="109"/>
      <c r="LC75" s="109"/>
      <c r="LD75" s="109"/>
      <c r="LE75" s="109"/>
      <c r="LF75" s="109"/>
      <c r="LG75" s="109"/>
      <c r="LH75" s="109"/>
      <c r="LI75" s="109"/>
      <c r="LJ75" s="109"/>
      <c r="LK75" s="109"/>
      <c r="LL75" s="109"/>
      <c r="LM75" s="109"/>
      <c r="LN75" s="109"/>
      <c r="LO75" s="109"/>
      <c r="LP75" s="109"/>
      <c r="LQ75" s="109"/>
      <c r="LR75" s="109"/>
      <c r="LS75" s="109"/>
      <c r="LT75" s="109"/>
      <c r="LU75" s="109"/>
      <c r="LV75" s="109"/>
      <c r="LW75" s="109"/>
      <c r="LX75" s="109"/>
      <c r="LY75" s="109"/>
      <c r="LZ75" s="109"/>
      <c r="MA75" s="109"/>
      <c r="MB75" s="109"/>
      <c r="MC75" s="109"/>
      <c r="MD75" s="109"/>
      <c r="ME75" s="109"/>
      <c r="MF75" s="109"/>
      <c r="MG75" s="109"/>
      <c r="MH75" s="150"/>
      <c r="MI75" s="109"/>
      <c r="MJ75" s="109"/>
      <c r="MK75" s="109"/>
      <c r="ML75" s="109"/>
      <c r="MM75" s="109"/>
      <c r="MN75" s="109"/>
      <c r="MO75" s="109"/>
      <c r="MP75" s="109"/>
      <c r="MQ75" s="109"/>
      <c r="MR75" s="109"/>
      <c r="MS75" s="109"/>
      <c r="MT75" s="109"/>
      <c r="MU75" s="109"/>
      <c r="MV75" s="109"/>
      <c r="MW75" s="109"/>
      <c r="MX75" s="109"/>
      <c r="MY75" s="109"/>
      <c r="MZ75" s="109"/>
      <c r="NA75" s="109"/>
      <c r="NB75" s="109"/>
    </row>
    <row r="76" spans="1:366" s="261" customFormat="1" x14ac:dyDescent="0.25">
      <c r="A76" s="113"/>
      <c r="B76" s="161" t="s">
        <v>622</v>
      </c>
      <c r="C76" s="250" t="s">
        <v>613</v>
      </c>
      <c r="D76" s="254">
        <v>0</v>
      </c>
      <c r="E76" s="250" t="s">
        <v>613</v>
      </c>
      <c r="F76" s="254">
        <v>0.27158555804926321</v>
      </c>
      <c r="G76" s="250" t="s">
        <v>613</v>
      </c>
      <c r="H76" s="254">
        <v>0</v>
      </c>
      <c r="I76" s="250" t="s">
        <v>613</v>
      </c>
      <c r="J76" s="254">
        <v>0</v>
      </c>
      <c r="K76" s="250" t="s">
        <v>613</v>
      </c>
      <c r="L76" s="254">
        <v>0</v>
      </c>
      <c r="M76" s="250" t="s">
        <v>613</v>
      </c>
      <c r="N76" s="254">
        <v>0</v>
      </c>
      <c r="O76" s="250" t="s">
        <v>613</v>
      </c>
      <c r="P76" s="254">
        <v>0</v>
      </c>
      <c r="Q76" s="250" t="s">
        <v>613</v>
      </c>
      <c r="R76" s="254">
        <v>0</v>
      </c>
      <c r="S76" s="250" t="s">
        <v>613</v>
      </c>
      <c r="T76" s="254">
        <v>0</v>
      </c>
      <c r="U76" s="250" t="s">
        <v>613</v>
      </c>
      <c r="V76" s="254">
        <v>0.23826177867655451</v>
      </c>
      <c r="W76" s="250" t="s">
        <v>613</v>
      </c>
      <c r="X76" s="254">
        <v>0</v>
      </c>
      <c r="Y76" s="250" t="s">
        <v>613</v>
      </c>
      <c r="Z76" s="254">
        <v>0</v>
      </c>
      <c r="AA76" s="250" t="s">
        <v>613</v>
      </c>
      <c r="AB76" s="254">
        <v>0</v>
      </c>
      <c r="AC76" s="250" t="s">
        <v>613</v>
      </c>
      <c r="AD76" s="254">
        <v>0</v>
      </c>
      <c r="AE76" s="250" t="s">
        <v>613</v>
      </c>
      <c r="AF76" s="254">
        <v>0</v>
      </c>
      <c r="AG76" s="250" t="s">
        <v>613</v>
      </c>
      <c r="AH76" s="254">
        <v>0</v>
      </c>
      <c r="AI76" s="250" t="s">
        <v>613</v>
      </c>
      <c r="AJ76" s="254">
        <v>0</v>
      </c>
      <c r="AK76" s="250" t="s">
        <v>613</v>
      </c>
      <c r="AL76" s="254">
        <v>0</v>
      </c>
      <c r="AM76" s="250" t="s">
        <v>613</v>
      </c>
      <c r="AN76" s="254">
        <v>0</v>
      </c>
      <c r="AO76" s="250" t="s">
        <v>613</v>
      </c>
      <c r="AP76" s="254">
        <v>0</v>
      </c>
      <c r="AQ76" s="250" t="s">
        <v>613</v>
      </c>
      <c r="AR76" s="254">
        <v>0</v>
      </c>
      <c r="AS76" s="250" t="s">
        <v>613</v>
      </c>
      <c r="AT76" s="254">
        <v>0.23169423070527514</v>
      </c>
      <c r="AU76" s="250" t="s">
        <v>613</v>
      </c>
      <c r="AV76" s="254">
        <v>0</v>
      </c>
      <c r="AW76" s="250" t="s">
        <v>613</v>
      </c>
      <c r="AX76" s="254">
        <v>0</v>
      </c>
      <c r="AY76" s="250" t="s">
        <v>613</v>
      </c>
      <c r="AZ76" s="254">
        <v>0</v>
      </c>
      <c r="BA76" s="250" t="s">
        <v>613</v>
      </c>
      <c r="BB76" s="254">
        <v>0.20949721717575862</v>
      </c>
      <c r="BC76" s="250" t="s">
        <v>613</v>
      </c>
      <c r="BD76" s="254">
        <v>0.23826177867655451</v>
      </c>
      <c r="BE76" s="250" t="s">
        <v>613</v>
      </c>
      <c r="BF76" s="254">
        <v>0</v>
      </c>
      <c r="BG76" s="250" t="s">
        <v>613</v>
      </c>
      <c r="BH76" s="254">
        <v>0</v>
      </c>
      <c r="BI76" s="250" t="s">
        <v>613</v>
      </c>
      <c r="BJ76" s="254">
        <v>0</v>
      </c>
      <c r="BK76" s="250" t="s">
        <v>613</v>
      </c>
      <c r="BL76" s="254">
        <v>0</v>
      </c>
      <c r="BM76" s="250" t="s">
        <v>613</v>
      </c>
      <c r="BN76" s="254">
        <v>0</v>
      </c>
      <c r="BO76" s="250" t="s">
        <v>613</v>
      </c>
      <c r="BP76" s="254">
        <v>0</v>
      </c>
      <c r="BQ76" s="250" t="s">
        <v>613</v>
      </c>
      <c r="BR76" s="254">
        <v>0</v>
      </c>
      <c r="BS76" s="250" t="s">
        <v>613</v>
      </c>
      <c r="BT76" s="254">
        <v>0</v>
      </c>
      <c r="BU76" s="250" t="s">
        <v>613</v>
      </c>
      <c r="BV76" s="254">
        <v>0.1480535827428395</v>
      </c>
      <c r="BW76" s="250" t="s">
        <v>613</v>
      </c>
      <c r="BX76" s="254">
        <v>0.19780946266167504</v>
      </c>
      <c r="BY76" s="250" t="s">
        <v>613</v>
      </c>
      <c r="BZ76" s="254">
        <v>0</v>
      </c>
      <c r="CA76" s="250" t="s">
        <v>613</v>
      </c>
      <c r="CB76" s="254">
        <v>0.1480535827428395</v>
      </c>
      <c r="CC76" s="250" t="s">
        <v>613</v>
      </c>
      <c r="CD76" s="254">
        <v>0.19780946266167504</v>
      </c>
      <c r="CE76" s="250" t="s">
        <v>613</v>
      </c>
      <c r="CF76" s="254">
        <v>0</v>
      </c>
      <c r="CG76" s="250" t="s">
        <v>613</v>
      </c>
      <c r="CH76" s="254">
        <v>0.1480535827428395</v>
      </c>
      <c r="CI76" s="250" t="s">
        <v>613</v>
      </c>
      <c r="CJ76" s="254">
        <v>0.19780946266167504</v>
      </c>
      <c r="CK76" s="250" t="s">
        <v>613</v>
      </c>
      <c r="CL76" s="254">
        <v>0</v>
      </c>
      <c r="CM76" s="250" t="s">
        <v>613</v>
      </c>
      <c r="CN76" s="254">
        <v>0</v>
      </c>
      <c r="CO76" s="250" t="s">
        <v>613</v>
      </c>
      <c r="CP76" s="254">
        <v>0</v>
      </c>
      <c r="CQ76" s="250" t="s">
        <v>613</v>
      </c>
      <c r="CR76" s="254">
        <v>0</v>
      </c>
      <c r="CS76" s="250" t="s">
        <v>613</v>
      </c>
      <c r="CT76" s="254">
        <v>0</v>
      </c>
      <c r="CU76" s="250" t="s">
        <v>613</v>
      </c>
      <c r="CV76" s="254">
        <v>0</v>
      </c>
      <c r="CW76" s="250" t="s">
        <v>613</v>
      </c>
      <c r="CX76" s="254">
        <v>0</v>
      </c>
      <c r="CY76" s="250" t="s">
        <v>613</v>
      </c>
      <c r="CZ76" s="254">
        <v>0</v>
      </c>
      <c r="DA76" s="250" t="s">
        <v>613</v>
      </c>
      <c r="DB76" s="254">
        <v>0</v>
      </c>
      <c r="DC76" s="250" t="s">
        <v>613</v>
      </c>
      <c r="DD76" s="254">
        <v>0</v>
      </c>
      <c r="DE76" s="250" t="s">
        <v>613</v>
      </c>
      <c r="DF76" s="254">
        <v>0</v>
      </c>
      <c r="DG76" s="250" t="s">
        <v>613</v>
      </c>
      <c r="DH76" s="254">
        <v>0</v>
      </c>
      <c r="DI76" s="250" t="s">
        <v>613</v>
      </c>
      <c r="DJ76" s="254">
        <v>0</v>
      </c>
      <c r="DK76" s="250" t="s">
        <v>613</v>
      </c>
      <c r="DL76" s="254">
        <v>0</v>
      </c>
      <c r="DM76" s="250" t="s">
        <v>613</v>
      </c>
      <c r="DN76" s="254">
        <v>0</v>
      </c>
      <c r="DO76" s="250" t="s">
        <v>613</v>
      </c>
      <c r="DP76" s="254">
        <v>0</v>
      </c>
      <c r="DQ76" s="250" t="s">
        <v>613</v>
      </c>
      <c r="DR76" s="254">
        <v>0</v>
      </c>
      <c r="DS76" s="109"/>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9"/>
      <c r="EX76" s="109"/>
      <c r="EY76" s="109"/>
      <c r="EZ76" s="109"/>
      <c r="FA76" s="109"/>
      <c r="FB76" s="109"/>
      <c r="FC76" s="109"/>
      <c r="FD76" s="109"/>
      <c r="FE76" s="109"/>
      <c r="FF76" s="109"/>
      <c r="FG76" s="109"/>
      <c r="FH76" s="109"/>
      <c r="FI76" s="109"/>
      <c r="FJ76" s="109"/>
      <c r="FK76" s="109"/>
      <c r="FL76" s="109"/>
      <c r="FM76" s="109"/>
      <c r="FN76" s="109"/>
      <c r="FO76" s="109"/>
      <c r="FP76" s="109"/>
      <c r="FQ76" s="109"/>
      <c r="FR76" s="109"/>
      <c r="FS76" s="109"/>
      <c r="FT76" s="109"/>
      <c r="FU76" s="109"/>
      <c r="FV76" s="109"/>
      <c r="FW76" s="109"/>
      <c r="FX76" s="109"/>
      <c r="FY76" s="109"/>
      <c r="FZ76" s="109"/>
      <c r="GA76" s="109"/>
      <c r="GB76" s="109"/>
      <c r="GC76" s="109"/>
      <c r="GD76" s="109"/>
      <c r="GE76" s="109"/>
      <c r="GF76" s="109"/>
      <c r="GG76" s="109"/>
      <c r="GH76" s="109"/>
      <c r="GI76" s="109"/>
      <c r="GJ76" s="109"/>
      <c r="GK76" s="109"/>
      <c r="GL76" s="109"/>
      <c r="GM76" s="109"/>
      <c r="GN76" s="109"/>
      <c r="GO76" s="109"/>
      <c r="GP76" s="109"/>
      <c r="GQ76" s="109"/>
      <c r="GR76" s="109"/>
      <c r="GS76" s="109"/>
      <c r="GT76" s="109"/>
      <c r="GU76" s="109"/>
      <c r="GV76" s="109"/>
      <c r="GW76" s="109"/>
      <c r="GX76" s="109"/>
      <c r="GY76" s="109"/>
      <c r="GZ76" s="109"/>
      <c r="HA76" s="109"/>
      <c r="HB76" s="109"/>
      <c r="HC76" s="109"/>
      <c r="HD76" s="109"/>
      <c r="HE76" s="109"/>
      <c r="HF76" s="109"/>
      <c r="HG76" s="109"/>
      <c r="HH76" s="109"/>
      <c r="HI76" s="109"/>
      <c r="HJ76" s="109"/>
      <c r="HK76" s="109"/>
      <c r="HL76" s="109"/>
      <c r="HM76" s="109"/>
      <c r="HN76" s="109"/>
      <c r="HO76" s="109"/>
      <c r="HP76" s="109"/>
      <c r="HQ76" s="109"/>
      <c r="HR76" s="109"/>
      <c r="HS76" s="109"/>
      <c r="HT76" s="109"/>
      <c r="HU76" s="109"/>
      <c r="HV76" s="109"/>
      <c r="HW76" s="109"/>
      <c r="HX76" s="109"/>
      <c r="HY76" s="109"/>
      <c r="HZ76" s="109"/>
      <c r="IA76" s="109"/>
      <c r="IB76" s="109"/>
      <c r="IC76" s="109"/>
      <c r="ID76" s="109"/>
      <c r="IE76" s="109"/>
      <c r="IF76" s="109"/>
      <c r="IG76" s="109"/>
      <c r="IH76" s="109"/>
      <c r="II76" s="109"/>
      <c r="IJ76" s="109"/>
      <c r="IK76" s="109"/>
      <c r="IL76" s="109"/>
      <c r="IM76" s="109"/>
      <c r="IN76" s="109"/>
      <c r="IO76" s="109"/>
      <c r="IP76" s="109"/>
      <c r="IQ76" s="109"/>
      <c r="IR76" s="109"/>
      <c r="IS76" s="109"/>
      <c r="IT76" s="109"/>
      <c r="IU76" s="109"/>
      <c r="IV76" s="109"/>
      <c r="IW76" s="109"/>
      <c r="IX76" s="109"/>
      <c r="IY76" s="109"/>
      <c r="IZ76" s="109"/>
      <c r="JA76" s="109"/>
      <c r="JB76" s="109"/>
      <c r="JC76" s="109"/>
      <c r="JD76" s="109"/>
      <c r="JE76" s="109"/>
      <c r="JF76" s="109"/>
      <c r="JG76" s="109"/>
      <c r="JH76" s="109"/>
      <c r="JI76" s="109"/>
      <c r="JJ76" s="109"/>
      <c r="JK76" s="109"/>
      <c r="JL76" s="109"/>
      <c r="JM76" s="109"/>
      <c r="JN76" s="109"/>
      <c r="JO76" s="109"/>
      <c r="JP76" s="109"/>
      <c r="JQ76" s="109"/>
      <c r="JR76" s="109"/>
      <c r="JS76" s="109"/>
      <c r="JT76" s="109"/>
      <c r="JU76" s="109"/>
      <c r="JV76" s="109"/>
      <c r="JW76" s="109"/>
      <c r="JX76" s="109"/>
      <c r="JY76" s="109"/>
      <c r="JZ76" s="109"/>
      <c r="KA76" s="109"/>
      <c r="KB76" s="109"/>
      <c r="KC76" s="109"/>
      <c r="KD76" s="109"/>
      <c r="KE76" s="109"/>
      <c r="KF76" s="109"/>
      <c r="KG76" s="109"/>
      <c r="KH76" s="109"/>
      <c r="KI76" s="109"/>
      <c r="KJ76" s="109"/>
      <c r="KK76" s="109"/>
      <c r="KL76" s="109"/>
      <c r="KM76" s="109"/>
      <c r="KN76" s="109"/>
      <c r="KO76" s="109"/>
      <c r="KP76" s="109"/>
      <c r="KQ76" s="109"/>
      <c r="KR76" s="109"/>
      <c r="KS76" s="109"/>
      <c r="KT76" s="109"/>
      <c r="KU76" s="109"/>
      <c r="KV76" s="109"/>
      <c r="KW76" s="109"/>
      <c r="KX76" s="109"/>
      <c r="KY76" s="109"/>
      <c r="KZ76" s="109"/>
      <c r="LA76" s="109"/>
      <c r="LB76" s="109"/>
      <c r="LC76" s="109"/>
      <c r="LD76" s="109"/>
      <c r="LE76" s="109"/>
      <c r="LF76" s="109"/>
      <c r="LG76" s="109"/>
      <c r="LH76" s="109"/>
      <c r="LI76" s="109"/>
      <c r="LJ76" s="109"/>
      <c r="LK76" s="109"/>
      <c r="LL76" s="109"/>
      <c r="LM76" s="109"/>
      <c r="LN76" s="109"/>
      <c r="LO76" s="109"/>
      <c r="LP76" s="109"/>
      <c r="LQ76" s="109"/>
      <c r="LR76" s="109"/>
      <c r="LS76" s="109"/>
      <c r="LT76" s="109"/>
      <c r="LU76" s="109"/>
      <c r="LV76" s="109"/>
      <c r="LW76" s="109"/>
      <c r="LX76" s="109"/>
      <c r="LY76" s="109"/>
      <c r="LZ76" s="109"/>
      <c r="MA76" s="109"/>
      <c r="MB76" s="109"/>
      <c r="MC76" s="109"/>
      <c r="MD76" s="109"/>
      <c r="ME76" s="109"/>
      <c r="MF76" s="109"/>
      <c r="MG76" s="109"/>
      <c r="MH76" s="150"/>
      <c r="MI76" s="109"/>
      <c r="MJ76" s="109"/>
      <c r="MK76" s="109"/>
      <c r="ML76" s="109"/>
      <c r="MM76" s="109"/>
      <c r="MN76" s="109"/>
      <c r="MO76" s="109"/>
      <c r="MP76" s="109"/>
      <c r="MQ76" s="109"/>
      <c r="MR76" s="109"/>
      <c r="MS76" s="109"/>
      <c r="MT76" s="109"/>
      <c r="MU76" s="109"/>
      <c r="MV76" s="109"/>
      <c r="MW76" s="109"/>
      <c r="MX76" s="109"/>
      <c r="MY76" s="109"/>
      <c r="MZ76" s="109"/>
      <c r="NA76" s="109"/>
      <c r="NB76" s="109"/>
    </row>
    <row r="77" spans="1:366" s="261" customFormat="1" x14ac:dyDescent="0.25">
      <c r="A77" s="113"/>
      <c r="B77" s="161" t="s">
        <v>623</v>
      </c>
      <c r="C77" s="250" t="s">
        <v>616</v>
      </c>
      <c r="D77" s="254">
        <v>1</v>
      </c>
      <c r="E77" s="250" t="s">
        <v>616</v>
      </c>
      <c r="F77" s="254">
        <v>1</v>
      </c>
      <c r="G77" s="250" t="s">
        <v>616</v>
      </c>
      <c r="H77" s="254">
        <v>1</v>
      </c>
      <c r="I77" s="250" t="s">
        <v>616</v>
      </c>
      <c r="J77" s="254">
        <v>0</v>
      </c>
      <c r="K77" s="250" t="s">
        <v>616</v>
      </c>
      <c r="L77" s="254">
        <v>0</v>
      </c>
      <c r="M77" s="250" t="s">
        <v>616</v>
      </c>
      <c r="N77" s="254">
        <v>0</v>
      </c>
      <c r="O77" s="250" t="s">
        <v>616</v>
      </c>
      <c r="P77" s="254">
        <v>0</v>
      </c>
      <c r="Q77" s="250" t="s">
        <v>616</v>
      </c>
      <c r="R77" s="254">
        <v>0</v>
      </c>
      <c r="S77" s="250" t="s">
        <v>616</v>
      </c>
      <c r="T77" s="254">
        <v>0</v>
      </c>
      <c r="U77" s="250" t="s">
        <v>616</v>
      </c>
      <c r="V77" s="254">
        <v>1</v>
      </c>
      <c r="W77" s="250" t="s">
        <v>616</v>
      </c>
      <c r="X77" s="254">
        <v>1</v>
      </c>
      <c r="Y77" s="250" t="s">
        <v>616</v>
      </c>
      <c r="Z77" s="254">
        <v>0</v>
      </c>
      <c r="AA77" s="250" t="s">
        <v>616</v>
      </c>
      <c r="AB77" s="254">
        <v>0</v>
      </c>
      <c r="AC77" s="250" t="s">
        <v>616</v>
      </c>
      <c r="AD77" s="254">
        <v>0</v>
      </c>
      <c r="AE77" s="250" t="s">
        <v>616</v>
      </c>
      <c r="AF77" s="254">
        <v>0</v>
      </c>
      <c r="AG77" s="250" t="s">
        <v>616</v>
      </c>
      <c r="AH77" s="254">
        <v>0</v>
      </c>
      <c r="AI77" s="250" t="s">
        <v>616</v>
      </c>
      <c r="AJ77" s="254">
        <v>0</v>
      </c>
      <c r="AK77" s="250" t="s">
        <v>616</v>
      </c>
      <c r="AL77" s="254">
        <v>0</v>
      </c>
      <c r="AM77" s="250" t="s">
        <v>616</v>
      </c>
      <c r="AN77" s="254">
        <v>0</v>
      </c>
      <c r="AO77" s="250" t="s">
        <v>616</v>
      </c>
      <c r="AP77" s="254">
        <v>0</v>
      </c>
      <c r="AQ77" s="250" t="s">
        <v>616</v>
      </c>
      <c r="AR77" s="254">
        <v>0</v>
      </c>
      <c r="AS77" s="250" t="s">
        <v>616</v>
      </c>
      <c r="AT77" s="254">
        <v>1</v>
      </c>
      <c r="AU77" s="250" t="s">
        <v>616</v>
      </c>
      <c r="AV77" s="254">
        <v>1</v>
      </c>
      <c r="AW77" s="250" t="s">
        <v>616</v>
      </c>
      <c r="AX77" s="254">
        <v>1</v>
      </c>
      <c r="AY77" s="250" t="s">
        <v>616</v>
      </c>
      <c r="AZ77" s="254">
        <v>1</v>
      </c>
      <c r="BA77" s="250" t="s">
        <v>616</v>
      </c>
      <c r="BB77" s="254">
        <v>1</v>
      </c>
      <c r="BC77" s="250" t="s">
        <v>616</v>
      </c>
      <c r="BD77" s="254">
        <v>1</v>
      </c>
      <c r="BE77" s="250" t="s">
        <v>616</v>
      </c>
      <c r="BF77" s="254">
        <v>0</v>
      </c>
      <c r="BG77" s="250" t="s">
        <v>616</v>
      </c>
      <c r="BH77" s="254">
        <v>1</v>
      </c>
      <c r="BI77" s="250" t="s">
        <v>616</v>
      </c>
      <c r="BJ77" s="254">
        <v>0</v>
      </c>
      <c r="BK77" s="250" t="s">
        <v>616</v>
      </c>
      <c r="BL77" s="254">
        <v>0</v>
      </c>
      <c r="BM77" s="250" t="s">
        <v>616</v>
      </c>
      <c r="BN77" s="254">
        <v>1</v>
      </c>
      <c r="BO77" s="250" t="s">
        <v>616</v>
      </c>
      <c r="BP77" s="254">
        <v>1</v>
      </c>
      <c r="BQ77" s="250" t="s">
        <v>616</v>
      </c>
      <c r="BR77" s="254">
        <v>1</v>
      </c>
      <c r="BS77" s="250" t="s">
        <v>616</v>
      </c>
      <c r="BT77" s="254">
        <v>1</v>
      </c>
      <c r="BU77" s="250" t="s">
        <v>616</v>
      </c>
      <c r="BV77" s="254">
        <v>1</v>
      </c>
      <c r="BW77" s="250" t="s">
        <v>616</v>
      </c>
      <c r="BX77" s="254">
        <v>1</v>
      </c>
      <c r="BY77" s="250" t="s">
        <v>616</v>
      </c>
      <c r="BZ77" s="254">
        <v>1</v>
      </c>
      <c r="CA77" s="250" t="s">
        <v>616</v>
      </c>
      <c r="CB77" s="254">
        <v>1</v>
      </c>
      <c r="CC77" s="250" t="s">
        <v>616</v>
      </c>
      <c r="CD77" s="254">
        <v>1</v>
      </c>
      <c r="CE77" s="250" t="s">
        <v>616</v>
      </c>
      <c r="CF77" s="254">
        <v>1</v>
      </c>
      <c r="CG77" s="250" t="s">
        <v>616</v>
      </c>
      <c r="CH77" s="254">
        <v>1</v>
      </c>
      <c r="CI77" s="250" t="s">
        <v>616</v>
      </c>
      <c r="CJ77" s="254">
        <v>1</v>
      </c>
      <c r="CK77" s="250" t="s">
        <v>616</v>
      </c>
      <c r="CL77" s="254">
        <v>1</v>
      </c>
      <c r="CM77" s="250" t="s">
        <v>616</v>
      </c>
      <c r="CN77" s="254">
        <v>0</v>
      </c>
      <c r="CO77" s="250" t="s">
        <v>616</v>
      </c>
      <c r="CP77" s="254">
        <v>0</v>
      </c>
      <c r="CQ77" s="250" t="s">
        <v>616</v>
      </c>
      <c r="CR77" s="254">
        <v>0</v>
      </c>
      <c r="CS77" s="250" t="s">
        <v>616</v>
      </c>
      <c r="CT77" s="254">
        <v>0</v>
      </c>
      <c r="CU77" s="250" t="s">
        <v>616</v>
      </c>
      <c r="CV77" s="254">
        <v>0</v>
      </c>
      <c r="CW77" s="250" t="s">
        <v>616</v>
      </c>
      <c r="CX77" s="254">
        <v>0</v>
      </c>
      <c r="CY77" s="250" t="s">
        <v>616</v>
      </c>
      <c r="CZ77" s="254">
        <v>0</v>
      </c>
      <c r="DA77" s="250" t="s">
        <v>616</v>
      </c>
      <c r="DB77" s="254">
        <v>0</v>
      </c>
      <c r="DC77" s="250" t="s">
        <v>616</v>
      </c>
      <c r="DD77" s="254">
        <v>0</v>
      </c>
      <c r="DE77" s="250" t="s">
        <v>616</v>
      </c>
      <c r="DF77" s="254">
        <v>0</v>
      </c>
      <c r="DG77" s="250" t="s">
        <v>616</v>
      </c>
      <c r="DH77" s="254">
        <v>0</v>
      </c>
      <c r="DI77" s="250" t="s">
        <v>616</v>
      </c>
      <c r="DJ77" s="254">
        <v>0</v>
      </c>
      <c r="DK77" s="250" t="s">
        <v>616</v>
      </c>
      <c r="DL77" s="254">
        <v>0</v>
      </c>
      <c r="DM77" s="250" t="s">
        <v>616</v>
      </c>
      <c r="DN77" s="254">
        <v>1</v>
      </c>
      <c r="DO77" s="250" t="s">
        <v>616</v>
      </c>
      <c r="DP77" s="254">
        <v>0</v>
      </c>
      <c r="DQ77" s="250" t="s">
        <v>616</v>
      </c>
      <c r="DR77" s="254">
        <v>0</v>
      </c>
      <c r="DS77" s="109"/>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9"/>
      <c r="EX77" s="109"/>
      <c r="EY77" s="109"/>
      <c r="EZ77" s="109"/>
      <c r="FA77" s="109"/>
      <c r="FB77" s="109"/>
      <c r="FC77" s="109"/>
      <c r="FD77" s="109"/>
      <c r="FE77" s="109"/>
      <c r="FF77" s="109"/>
      <c r="FG77" s="109"/>
      <c r="FH77" s="109"/>
      <c r="FI77" s="109"/>
      <c r="FJ77" s="109"/>
      <c r="FK77" s="109"/>
      <c r="FL77" s="109"/>
      <c r="FM77" s="109"/>
      <c r="FN77" s="109"/>
      <c r="FO77" s="109"/>
      <c r="FP77" s="109"/>
      <c r="FQ77" s="109"/>
      <c r="FR77" s="109"/>
      <c r="FS77" s="109"/>
      <c r="FT77" s="109"/>
      <c r="FU77" s="109"/>
      <c r="FV77" s="109"/>
      <c r="FW77" s="109"/>
      <c r="FX77" s="109"/>
      <c r="FY77" s="109"/>
      <c r="FZ77" s="109"/>
      <c r="GA77" s="109"/>
      <c r="GB77" s="109"/>
      <c r="GC77" s="109"/>
      <c r="GD77" s="109"/>
      <c r="GE77" s="109"/>
      <c r="GF77" s="109"/>
      <c r="GG77" s="109"/>
      <c r="GH77" s="109"/>
      <c r="GI77" s="109"/>
      <c r="GJ77" s="109"/>
      <c r="GK77" s="109"/>
      <c r="GL77" s="109"/>
      <c r="GM77" s="109"/>
      <c r="GN77" s="109"/>
      <c r="GO77" s="109"/>
      <c r="GP77" s="109"/>
      <c r="GQ77" s="109"/>
      <c r="GR77" s="109"/>
      <c r="GS77" s="109"/>
      <c r="GT77" s="109"/>
      <c r="GU77" s="109"/>
      <c r="GV77" s="109"/>
      <c r="GW77" s="109"/>
      <c r="GX77" s="109"/>
      <c r="GY77" s="109"/>
      <c r="GZ77" s="109"/>
      <c r="HA77" s="109"/>
      <c r="HB77" s="109"/>
      <c r="HC77" s="109"/>
      <c r="HD77" s="109"/>
      <c r="HE77" s="109"/>
      <c r="HF77" s="109"/>
      <c r="HG77" s="109"/>
      <c r="HH77" s="109"/>
      <c r="HI77" s="109"/>
      <c r="HJ77" s="109"/>
      <c r="HK77" s="109"/>
      <c r="HL77" s="109"/>
      <c r="HM77" s="109"/>
      <c r="HN77" s="109"/>
      <c r="HO77" s="109"/>
      <c r="HP77" s="109"/>
      <c r="HQ77" s="109"/>
      <c r="HR77" s="109"/>
      <c r="HS77" s="109"/>
      <c r="HT77" s="109"/>
      <c r="HU77" s="109"/>
      <c r="HV77" s="109"/>
      <c r="HW77" s="109"/>
      <c r="HX77" s="109"/>
      <c r="HY77" s="109"/>
      <c r="HZ77" s="109"/>
      <c r="IA77" s="109"/>
      <c r="IB77" s="109"/>
      <c r="IC77" s="109"/>
      <c r="ID77" s="109"/>
      <c r="IE77" s="109"/>
      <c r="IF77" s="109"/>
      <c r="IG77" s="109"/>
      <c r="IH77" s="109"/>
      <c r="II77" s="109"/>
      <c r="IJ77" s="109"/>
      <c r="IK77" s="109"/>
      <c r="IL77" s="109"/>
      <c r="IM77" s="109"/>
      <c r="IN77" s="109"/>
      <c r="IO77" s="109"/>
      <c r="IP77" s="109"/>
      <c r="IQ77" s="109"/>
      <c r="IR77" s="109"/>
      <c r="IS77" s="109"/>
      <c r="IT77" s="109"/>
      <c r="IU77" s="109"/>
      <c r="IV77" s="109"/>
      <c r="IW77" s="109"/>
      <c r="IX77" s="109"/>
      <c r="IY77" s="109"/>
      <c r="IZ77" s="109"/>
      <c r="JA77" s="109"/>
      <c r="JB77" s="109"/>
      <c r="JC77" s="109"/>
      <c r="JD77" s="109"/>
      <c r="JE77" s="109"/>
      <c r="JF77" s="109"/>
      <c r="JG77" s="109"/>
      <c r="JH77" s="109"/>
      <c r="JI77" s="109"/>
      <c r="JJ77" s="109"/>
      <c r="JK77" s="109"/>
      <c r="JL77" s="109"/>
      <c r="JM77" s="109"/>
      <c r="JN77" s="109"/>
      <c r="JO77" s="109"/>
      <c r="JP77" s="109"/>
      <c r="JQ77" s="109"/>
      <c r="JR77" s="109"/>
      <c r="JS77" s="109"/>
      <c r="JT77" s="109"/>
      <c r="JU77" s="109"/>
      <c r="JV77" s="109"/>
      <c r="JW77" s="109"/>
      <c r="JX77" s="109"/>
      <c r="JY77" s="109"/>
      <c r="JZ77" s="109"/>
      <c r="KA77" s="109"/>
      <c r="KB77" s="109"/>
      <c r="KC77" s="109"/>
      <c r="KD77" s="109"/>
      <c r="KE77" s="109"/>
      <c r="KF77" s="109"/>
      <c r="KG77" s="109"/>
      <c r="KH77" s="109"/>
      <c r="KI77" s="109"/>
      <c r="KJ77" s="109"/>
      <c r="KK77" s="109"/>
      <c r="KL77" s="109"/>
      <c r="KM77" s="109"/>
      <c r="KN77" s="109"/>
      <c r="KO77" s="109"/>
      <c r="KP77" s="109"/>
      <c r="KQ77" s="109"/>
      <c r="KR77" s="109"/>
      <c r="KS77" s="109"/>
      <c r="KT77" s="109"/>
      <c r="KU77" s="109"/>
      <c r="KV77" s="109"/>
      <c r="KW77" s="109"/>
      <c r="KX77" s="109"/>
      <c r="KY77" s="109"/>
      <c r="KZ77" s="109"/>
      <c r="LA77" s="109"/>
      <c r="LB77" s="109"/>
      <c r="LC77" s="109"/>
      <c r="LD77" s="109"/>
      <c r="LE77" s="109"/>
      <c r="LF77" s="109"/>
      <c r="LG77" s="109"/>
      <c r="LH77" s="109"/>
      <c r="LI77" s="109"/>
      <c r="LJ77" s="109"/>
      <c r="LK77" s="109"/>
      <c r="LL77" s="109"/>
      <c r="LM77" s="109"/>
      <c r="LN77" s="109"/>
      <c r="LO77" s="109"/>
      <c r="LP77" s="109"/>
      <c r="LQ77" s="109"/>
      <c r="LR77" s="109"/>
      <c r="LS77" s="109"/>
      <c r="LT77" s="109"/>
      <c r="LU77" s="109"/>
      <c r="LV77" s="109"/>
      <c r="LW77" s="109"/>
      <c r="LX77" s="109"/>
      <c r="LY77" s="109"/>
      <c r="LZ77" s="109"/>
      <c r="MA77" s="109"/>
      <c r="MB77" s="109"/>
      <c r="MC77" s="109"/>
      <c r="MD77" s="109"/>
      <c r="ME77" s="109"/>
      <c r="MF77" s="109"/>
      <c r="MG77" s="109"/>
      <c r="MH77" s="150"/>
      <c r="MI77" s="109"/>
      <c r="MJ77" s="109"/>
      <c r="MK77" s="109"/>
      <c r="ML77" s="109"/>
      <c r="MM77" s="109"/>
      <c r="MN77" s="109"/>
      <c r="MO77" s="109"/>
      <c r="MP77" s="109"/>
      <c r="MQ77" s="109"/>
      <c r="MR77" s="109"/>
      <c r="MS77" s="109"/>
      <c r="MT77" s="109"/>
      <c r="MU77" s="109"/>
      <c r="MV77" s="109"/>
      <c r="MW77" s="109"/>
      <c r="MX77" s="109"/>
      <c r="MY77" s="109"/>
      <c r="MZ77" s="109"/>
      <c r="NA77" s="109"/>
      <c r="NB77" s="109"/>
    </row>
    <row r="78" spans="1:366" s="261" customFormat="1" x14ac:dyDescent="0.25">
      <c r="A78" s="113">
        <v>0</v>
      </c>
      <c r="B78" s="161" t="s">
        <v>624</v>
      </c>
      <c r="C78" s="250" t="s">
        <v>615</v>
      </c>
      <c r="D78" s="254">
        <v>1</v>
      </c>
      <c r="E78" s="250" t="s">
        <v>615</v>
      </c>
      <c r="F78" s="254">
        <v>1</v>
      </c>
      <c r="G78" s="250" t="s">
        <v>615</v>
      </c>
      <c r="H78" s="254">
        <v>0.96330845240643626</v>
      </c>
      <c r="I78" s="250" t="s">
        <v>615</v>
      </c>
      <c r="J78" s="254">
        <v>1</v>
      </c>
      <c r="K78" s="250" t="s">
        <v>615</v>
      </c>
      <c r="L78" s="254">
        <v>0</v>
      </c>
      <c r="M78" s="250" t="s">
        <v>615</v>
      </c>
      <c r="N78" s="254">
        <v>0</v>
      </c>
      <c r="O78" s="250" t="s">
        <v>615</v>
      </c>
      <c r="P78" s="254">
        <v>0</v>
      </c>
      <c r="Q78" s="250" t="s">
        <v>615</v>
      </c>
      <c r="R78" s="254">
        <v>0</v>
      </c>
      <c r="S78" s="250" t="s">
        <v>615</v>
      </c>
      <c r="T78" s="254">
        <v>0</v>
      </c>
      <c r="U78" s="250" t="s">
        <v>615</v>
      </c>
      <c r="V78" s="254">
        <v>0.98615492035185282</v>
      </c>
      <c r="W78" s="250" t="s">
        <v>615</v>
      </c>
      <c r="X78" s="254">
        <v>0.97911159824585048</v>
      </c>
      <c r="Y78" s="250" t="s">
        <v>615</v>
      </c>
      <c r="Z78" s="254">
        <v>0.61333333419784164</v>
      </c>
      <c r="AA78" s="250" t="s">
        <v>615</v>
      </c>
      <c r="AB78" s="254">
        <v>0</v>
      </c>
      <c r="AC78" s="250" t="s">
        <v>615</v>
      </c>
      <c r="AD78" s="254">
        <v>0</v>
      </c>
      <c r="AE78" s="250" t="s">
        <v>615</v>
      </c>
      <c r="AF78" s="254">
        <v>0</v>
      </c>
      <c r="AG78" s="250" t="s">
        <v>615</v>
      </c>
      <c r="AH78" s="254">
        <v>0</v>
      </c>
      <c r="AI78" s="250" t="s">
        <v>615</v>
      </c>
      <c r="AJ78" s="254">
        <v>0</v>
      </c>
      <c r="AK78" s="250" t="s">
        <v>615</v>
      </c>
      <c r="AL78" s="254">
        <v>0</v>
      </c>
      <c r="AM78" s="250" t="s">
        <v>615</v>
      </c>
      <c r="AN78" s="254">
        <v>0</v>
      </c>
      <c r="AO78" s="250" t="s">
        <v>615</v>
      </c>
      <c r="AP78" s="254">
        <v>0</v>
      </c>
      <c r="AQ78" s="250" t="s">
        <v>615</v>
      </c>
      <c r="AR78" s="254">
        <v>0</v>
      </c>
      <c r="AS78" s="250" t="s">
        <v>615</v>
      </c>
      <c r="AT78" s="254">
        <v>1</v>
      </c>
      <c r="AU78" s="250" t="s">
        <v>615</v>
      </c>
      <c r="AV78" s="254">
        <v>0.98669523374999535</v>
      </c>
      <c r="AW78" s="250" t="s">
        <v>615</v>
      </c>
      <c r="AX78" s="254">
        <v>0.61905031857827519</v>
      </c>
      <c r="AY78" s="250" t="s">
        <v>615</v>
      </c>
      <c r="AZ78" s="254">
        <v>0.29376415119478172</v>
      </c>
      <c r="BA78" s="250" t="s">
        <v>615</v>
      </c>
      <c r="BB78" s="254">
        <v>0.99940848820392358</v>
      </c>
      <c r="BC78" s="250" t="s">
        <v>615</v>
      </c>
      <c r="BD78" s="254">
        <v>0.98615492035185282</v>
      </c>
      <c r="BE78" s="250" t="s">
        <v>615</v>
      </c>
      <c r="BF78" s="254">
        <v>0.69203539900698818</v>
      </c>
      <c r="BG78" s="250" t="s">
        <v>615</v>
      </c>
      <c r="BH78" s="254">
        <v>0.99166949481064059</v>
      </c>
      <c r="BI78" s="250" t="s">
        <v>615</v>
      </c>
      <c r="BJ78" s="254">
        <v>0</v>
      </c>
      <c r="BK78" s="250" t="s">
        <v>615</v>
      </c>
      <c r="BL78" s="254">
        <v>5.0218340785222637E-2</v>
      </c>
      <c r="BM78" s="250" t="s">
        <v>615</v>
      </c>
      <c r="BN78" s="254">
        <v>0.60727735816283157</v>
      </c>
      <c r="BO78" s="250" t="s">
        <v>615</v>
      </c>
      <c r="BP78" s="254">
        <v>0.33128146138194697</v>
      </c>
      <c r="BQ78" s="250" t="s">
        <v>615</v>
      </c>
      <c r="BR78" s="254">
        <v>2.1930227556743724E-2</v>
      </c>
      <c r="BS78" s="250" t="s">
        <v>615</v>
      </c>
      <c r="BT78" s="254">
        <v>0.14327539467226919</v>
      </c>
      <c r="BU78" s="250" t="s">
        <v>615</v>
      </c>
      <c r="BV78" s="254">
        <v>1</v>
      </c>
      <c r="BW78" s="250" t="s">
        <v>615</v>
      </c>
      <c r="BX78" s="254">
        <v>0.97733419820976086</v>
      </c>
      <c r="BY78" s="250" t="s">
        <v>615</v>
      </c>
      <c r="BZ78" s="254">
        <v>0.99337614877495861</v>
      </c>
      <c r="CA78" s="250" t="s">
        <v>615</v>
      </c>
      <c r="CB78" s="254">
        <v>1</v>
      </c>
      <c r="CC78" s="250" t="s">
        <v>615</v>
      </c>
      <c r="CD78" s="254">
        <v>0.97733419820976086</v>
      </c>
      <c r="CE78" s="250" t="s">
        <v>615</v>
      </c>
      <c r="CF78" s="254">
        <v>0.99337614877495861</v>
      </c>
      <c r="CG78" s="250" t="s">
        <v>615</v>
      </c>
      <c r="CH78" s="254">
        <v>1</v>
      </c>
      <c r="CI78" s="250" t="s">
        <v>615</v>
      </c>
      <c r="CJ78" s="254">
        <v>0.97733419820976086</v>
      </c>
      <c r="CK78" s="250" t="s">
        <v>615</v>
      </c>
      <c r="CL78" s="254">
        <v>0.99337614877495861</v>
      </c>
      <c r="CM78" s="250" t="s">
        <v>615</v>
      </c>
      <c r="CN78" s="254">
        <v>0</v>
      </c>
      <c r="CO78" s="250" t="s">
        <v>615</v>
      </c>
      <c r="CP78" s="254">
        <v>0</v>
      </c>
      <c r="CQ78" s="250" t="s">
        <v>615</v>
      </c>
      <c r="CR78" s="254">
        <v>0</v>
      </c>
      <c r="CS78" s="250" t="s">
        <v>615</v>
      </c>
      <c r="CT78" s="254">
        <v>0</v>
      </c>
      <c r="CU78" s="250" t="s">
        <v>615</v>
      </c>
      <c r="CV78" s="254">
        <v>0</v>
      </c>
      <c r="CW78" s="250" t="s">
        <v>615</v>
      </c>
      <c r="CX78" s="254">
        <v>0</v>
      </c>
      <c r="CY78" s="250" t="s">
        <v>615</v>
      </c>
      <c r="CZ78" s="254">
        <v>0</v>
      </c>
      <c r="DA78" s="250" t="s">
        <v>615</v>
      </c>
      <c r="DB78" s="254">
        <v>0</v>
      </c>
      <c r="DC78" s="250" t="s">
        <v>615</v>
      </c>
      <c r="DD78" s="254">
        <v>0</v>
      </c>
      <c r="DE78" s="250" t="s">
        <v>615</v>
      </c>
      <c r="DF78" s="254">
        <v>0</v>
      </c>
      <c r="DG78" s="250" t="s">
        <v>615</v>
      </c>
      <c r="DH78" s="254">
        <v>0</v>
      </c>
      <c r="DI78" s="250" t="s">
        <v>615</v>
      </c>
      <c r="DJ78" s="254">
        <v>0</v>
      </c>
      <c r="DK78" s="250" t="s">
        <v>615</v>
      </c>
      <c r="DL78" s="254">
        <v>0</v>
      </c>
      <c r="DM78" s="250" t="s">
        <v>615</v>
      </c>
      <c r="DN78" s="254">
        <v>0.38991850342491197</v>
      </c>
      <c r="DO78" s="250" t="s">
        <v>615</v>
      </c>
      <c r="DP78" s="254">
        <v>0</v>
      </c>
      <c r="DQ78" s="250" t="s">
        <v>615</v>
      </c>
      <c r="DR78" s="254">
        <v>0</v>
      </c>
      <c r="DS78" s="109"/>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9"/>
      <c r="EX78" s="109"/>
      <c r="EY78" s="109"/>
      <c r="EZ78" s="109"/>
      <c r="FA78" s="109"/>
      <c r="FB78" s="109"/>
      <c r="FC78" s="109"/>
      <c r="FD78" s="109"/>
      <c r="FE78" s="109"/>
      <c r="FF78" s="109"/>
      <c r="FG78" s="109"/>
      <c r="FH78" s="109"/>
      <c r="FI78" s="109"/>
      <c r="FJ78" s="109"/>
      <c r="FK78" s="109"/>
      <c r="FL78" s="109"/>
      <c r="FM78" s="109"/>
      <c r="FN78" s="109"/>
      <c r="FO78" s="109"/>
      <c r="FP78" s="109"/>
      <c r="FQ78" s="109"/>
      <c r="FR78" s="109"/>
      <c r="FS78" s="109"/>
      <c r="FT78" s="109"/>
      <c r="FU78" s="109"/>
      <c r="FV78" s="109"/>
      <c r="FW78" s="109"/>
      <c r="FX78" s="109"/>
      <c r="FY78" s="109"/>
      <c r="FZ78" s="109"/>
      <c r="GA78" s="109"/>
      <c r="GB78" s="109"/>
      <c r="GC78" s="109"/>
      <c r="GD78" s="109"/>
      <c r="GE78" s="109"/>
      <c r="GF78" s="109"/>
      <c r="GG78" s="109"/>
      <c r="GH78" s="109"/>
      <c r="GI78" s="109"/>
      <c r="GJ78" s="109"/>
      <c r="GK78" s="109"/>
      <c r="GL78" s="109"/>
      <c r="GM78" s="109"/>
      <c r="GN78" s="109"/>
      <c r="GO78" s="109"/>
      <c r="GP78" s="109"/>
      <c r="GQ78" s="109"/>
      <c r="GR78" s="109"/>
      <c r="GS78" s="109"/>
      <c r="GT78" s="109"/>
      <c r="GU78" s="109"/>
      <c r="GV78" s="109"/>
      <c r="GW78" s="109"/>
      <c r="GX78" s="109"/>
      <c r="GY78" s="109"/>
      <c r="GZ78" s="109"/>
      <c r="HA78" s="109"/>
      <c r="HB78" s="109"/>
      <c r="HC78" s="109"/>
      <c r="HD78" s="109"/>
      <c r="HE78" s="109"/>
      <c r="HF78" s="109"/>
      <c r="HG78" s="109"/>
      <c r="HH78" s="109"/>
      <c r="HI78" s="109"/>
      <c r="HJ78" s="109"/>
      <c r="HK78" s="109"/>
      <c r="HL78" s="109"/>
      <c r="HM78" s="109"/>
      <c r="HN78" s="109"/>
      <c r="HO78" s="109"/>
      <c r="HP78" s="109"/>
      <c r="HQ78" s="109"/>
      <c r="HR78" s="109"/>
      <c r="HS78" s="109"/>
      <c r="HT78" s="109"/>
      <c r="HU78" s="109"/>
      <c r="HV78" s="109"/>
      <c r="HW78" s="109"/>
      <c r="HX78" s="109"/>
      <c r="HY78" s="109"/>
      <c r="HZ78" s="109"/>
      <c r="IA78" s="109"/>
      <c r="IB78" s="109"/>
      <c r="IC78" s="109"/>
      <c r="ID78" s="109"/>
      <c r="IE78" s="109"/>
      <c r="IF78" s="109"/>
      <c r="IG78" s="109"/>
      <c r="IH78" s="109"/>
      <c r="II78" s="109"/>
      <c r="IJ78" s="109"/>
      <c r="IK78" s="109"/>
      <c r="IL78" s="109"/>
      <c r="IM78" s="109"/>
      <c r="IN78" s="109"/>
      <c r="IO78" s="109"/>
      <c r="IP78" s="109"/>
      <c r="IQ78" s="109"/>
      <c r="IR78" s="109"/>
      <c r="IS78" s="109"/>
      <c r="IT78" s="109"/>
      <c r="IU78" s="109"/>
      <c r="IV78" s="109"/>
      <c r="IW78" s="109"/>
      <c r="IX78" s="109"/>
      <c r="IY78" s="109"/>
      <c r="IZ78" s="109"/>
      <c r="JA78" s="109"/>
      <c r="JB78" s="109"/>
      <c r="JC78" s="109"/>
      <c r="JD78" s="109"/>
      <c r="JE78" s="109"/>
      <c r="JF78" s="109"/>
      <c r="JG78" s="109"/>
      <c r="JH78" s="109"/>
      <c r="JI78" s="109"/>
      <c r="JJ78" s="109"/>
      <c r="JK78" s="109"/>
      <c r="JL78" s="109"/>
      <c r="JM78" s="109"/>
      <c r="JN78" s="109"/>
      <c r="JO78" s="109"/>
      <c r="JP78" s="109"/>
      <c r="JQ78" s="109"/>
      <c r="JR78" s="109"/>
      <c r="JS78" s="109"/>
      <c r="JT78" s="109"/>
      <c r="JU78" s="109"/>
      <c r="JV78" s="109"/>
      <c r="JW78" s="109"/>
      <c r="JX78" s="109"/>
      <c r="JY78" s="109"/>
      <c r="JZ78" s="109"/>
      <c r="KA78" s="109"/>
      <c r="KB78" s="109"/>
      <c r="KC78" s="109"/>
      <c r="KD78" s="109"/>
      <c r="KE78" s="109"/>
      <c r="KF78" s="109"/>
      <c r="KG78" s="109"/>
      <c r="KH78" s="109"/>
      <c r="KI78" s="109"/>
      <c r="KJ78" s="109"/>
      <c r="KK78" s="109"/>
      <c r="KL78" s="109"/>
      <c r="KM78" s="109"/>
      <c r="KN78" s="109"/>
      <c r="KO78" s="109"/>
      <c r="KP78" s="109"/>
      <c r="KQ78" s="109"/>
      <c r="KR78" s="109"/>
      <c r="KS78" s="109"/>
      <c r="KT78" s="109"/>
      <c r="KU78" s="109"/>
      <c r="KV78" s="109"/>
      <c r="KW78" s="109"/>
      <c r="KX78" s="109"/>
      <c r="KY78" s="109"/>
      <c r="KZ78" s="109"/>
      <c r="LA78" s="109"/>
      <c r="LB78" s="109"/>
      <c r="LC78" s="109"/>
      <c r="LD78" s="109"/>
      <c r="LE78" s="109"/>
      <c r="LF78" s="109"/>
      <c r="LG78" s="109"/>
      <c r="LH78" s="109"/>
      <c r="LI78" s="109"/>
      <c r="LJ78" s="109"/>
      <c r="LK78" s="109"/>
      <c r="LL78" s="109"/>
      <c r="LM78" s="109"/>
      <c r="LN78" s="109"/>
      <c r="LO78" s="109"/>
      <c r="LP78" s="109"/>
      <c r="LQ78" s="109"/>
      <c r="LR78" s="109"/>
      <c r="LS78" s="109"/>
      <c r="LT78" s="109"/>
      <c r="LU78" s="109"/>
      <c r="LV78" s="109"/>
      <c r="LW78" s="109"/>
      <c r="LX78" s="109"/>
      <c r="LY78" s="109"/>
      <c r="LZ78" s="109"/>
      <c r="MA78" s="109"/>
      <c r="MB78" s="109"/>
      <c r="MC78" s="109"/>
      <c r="MD78" s="109"/>
      <c r="ME78" s="109"/>
      <c r="MF78" s="109"/>
      <c r="MG78" s="109"/>
      <c r="MH78" s="150"/>
      <c r="MI78" s="109"/>
      <c r="MJ78" s="109"/>
      <c r="MK78" s="109"/>
      <c r="ML78" s="109"/>
      <c r="MM78" s="109"/>
      <c r="MN78" s="109"/>
      <c r="MO78" s="109"/>
      <c r="MP78" s="109"/>
      <c r="MQ78" s="109"/>
      <c r="MR78" s="109"/>
      <c r="MS78" s="109"/>
      <c r="MT78" s="109"/>
      <c r="MU78" s="109"/>
      <c r="MV78" s="109"/>
      <c r="MW78" s="109"/>
      <c r="MX78" s="109"/>
      <c r="MY78" s="109"/>
      <c r="MZ78" s="109"/>
      <c r="NA78" s="109"/>
      <c r="NB78" s="109"/>
    </row>
    <row r="79" spans="1:366" s="261" customFormat="1" x14ac:dyDescent="0.25">
      <c r="A79" s="113">
        <v>0</v>
      </c>
      <c r="B79" s="161" t="s">
        <v>625</v>
      </c>
      <c r="C79" s="250" t="s">
        <v>610</v>
      </c>
      <c r="D79" s="254">
        <v>0</v>
      </c>
      <c r="E79" s="250" t="s">
        <v>610</v>
      </c>
      <c r="F79" s="254">
        <v>0.72133296006366021</v>
      </c>
      <c r="G79" s="250" t="s">
        <v>610</v>
      </c>
      <c r="H79" s="254">
        <v>0.18626220208233582</v>
      </c>
      <c r="I79" s="250" t="s">
        <v>610</v>
      </c>
      <c r="J79" s="254">
        <v>0</v>
      </c>
      <c r="K79" s="250" t="s">
        <v>610</v>
      </c>
      <c r="L79" s="254">
        <v>0</v>
      </c>
      <c r="M79" s="250" t="s">
        <v>610</v>
      </c>
      <c r="N79" s="254">
        <v>0</v>
      </c>
      <c r="O79" s="250" t="s">
        <v>610</v>
      </c>
      <c r="P79" s="254">
        <v>0</v>
      </c>
      <c r="Q79" s="250" t="s">
        <v>610</v>
      </c>
      <c r="R79" s="254">
        <v>0</v>
      </c>
      <c r="S79" s="250" t="s">
        <v>610</v>
      </c>
      <c r="T79" s="254">
        <v>0</v>
      </c>
      <c r="U79" s="250" t="s">
        <v>610</v>
      </c>
      <c r="V79" s="254">
        <v>0.37909093848721925</v>
      </c>
      <c r="W79" s="250" t="s">
        <v>610</v>
      </c>
      <c r="X79" s="254">
        <v>6.8289922650503668E-2</v>
      </c>
      <c r="Y79" s="250" t="s">
        <v>610</v>
      </c>
      <c r="Z79" s="254">
        <v>0</v>
      </c>
      <c r="AA79" s="250" t="s">
        <v>610</v>
      </c>
      <c r="AB79" s="254">
        <v>0</v>
      </c>
      <c r="AC79" s="250" t="s">
        <v>610</v>
      </c>
      <c r="AD79" s="254">
        <v>0</v>
      </c>
      <c r="AE79" s="250" t="s">
        <v>610</v>
      </c>
      <c r="AF79" s="254">
        <v>0</v>
      </c>
      <c r="AG79" s="250" t="s">
        <v>610</v>
      </c>
      <c r="AH79" s="254">
        <v>0</v>
      </c>
      <c r="AI79" s="250" t="s">
        <v>610</v>
      </c>
      <c r="AJ79" s="254">
        <v>0</v>
      </c>
      <c r="AK79" s="250" t="s">
        <v>610</v>
      </c>
      <c r="AL79" s="254">
        <v>0</v>
      </c>
      <c r="AM79" s="250" t="s">
        <v>610</v>
      </c>
      <c r="AN79" s="254">
        <v>0</v>
      </c>
      <c r="AO79" s="250" t="s">
        <v>610</v>
      </c>
      <c r="AP79" s="254">
        <v>0</v>
      </c>
      <c r="AQ79" s="250" t="s">
        <v>610</v>
      </c>
      <c r="AR79" s="254">
        <v>0</v>
      </c>
      <c r="AS79" s="250" t="s">
        <v>610</v>
      </c>
      <c r="AT79" s="254">
        <v>0.58665918756986113</v>
      </c>
      <c r="AU79" s="250" t="s">
        <v>610</v>
      </c>
      <c r="AV79" s="254">
        <v>7.200883531462568E-2</v>
      </c>
      <c r="AW79" s="250" t="s">
        <v>610</v>
      </c>
      <c r="AX79" s="254">
        <v>0</v>
      </c>
      <c r="AY79" s="250" t="s">
        <v>610</v>
      </c>
      <c r="AZ79" s="254">
        <v>0</v>
      </c>
      <c r="BA79" s="250" t="s">
        <v>610</v>
      </c>
      <c r="BB79" s="254">
        <v>0.5030381349921984</v>
      </c>
      <c r="BC79" s="250" t="s">
        <v>610</v>
      </c>
      <c r="BD79" s="254">
        <v>0.37909093848721925</v>
      </c>
      <c r="BE79" s="250" t="s">
        <v>610</v>
      </c>
      <c r="BF79" s="254">
        <v>0</v>
      </c>
      <c r="BG79" s="250" t="s">
        <v>610</v>
      </c>
      <c r="BH79" s="254">
        <v>2.1229256631576938E-2</v>
      </c>
      <c r="BI79" s="250" t="s">
        <v>610</v>
      </c>
      <c r="BJ79" s="254">
        <v>0</v>
      </c>
      <c r="BK79" s="250" t="s">
        <v>610</v>
      </c>
      <c r="BL79" s="254">
        <v>0</v>
      </c>
      <c r="BM79" s="250" t="s">
        <v>610</v>
      </c>
      <c r="BN79" s="254">
        <v>8.2671808047781042E-3</v>
      </c>
      <c r="BO79" s="250" t="s">
        <v>610</v>
      </c>
      <c r="BP79" s="254">
        <v>4.5298343696485693E-2</v>
      </c>
      <c r="BQ79" s="250" t="s">
        <v>610</v>
      </c>
      <c r="BR79" s="254">
        <v>4.8520411005937491E-3</v>
      </c>
      <c r="BS79" s="250" t="s">
        <v>610</v>
      </c>
      <c r="BT79" s="254">
        <v>6.3445951889475813E-3</v>
      </c>
      <c r="BU79" s="250" t="s">
        <v>610</v>
      </c>
      <c r="BV79" s="254">
        <v>0.34146173839353722</v>
      </c>
      <c r="BW79" s="250" t="s">
        <v>610</v>
      </c>
      <c r="BX79" s="254">
        <v>0.2795950224560132</v>
      </c>
      <c r="BY79" s="250" t="s">
        <v>610</v>
      </c>
      <c r="BZ79" s="254">
        <v>1.6388924889471541E-2</v>
      </c>
      <c r="CA79" s="250" t="s">
        <v>610</v>
      </c>
      <c r="CB79" s="254">
        <v>0.34146173839353722</v>
      </c>
      <c r="CC79" s="250" t="s">
        <v>610</v>
      </c>
      <c r="CD79" s="254">
        <v>0.2795950224560132</v>
      </c>
      <c r="CE79" s="250" t="s">
        <v>610</v>
      </c>
      <c r="CF79" s="254">
        <v>1.6388924889471541E-2</v>
      </c>
      <c r="CG79" s="250" t="s">
        <v>610</v>
      </c>
      <c r="CH79" s="254">
        <v>0.34146173839353722</v>
      </c>
      <c r="CI79" s="250" t="s">
        <v>610</v>
      </c>
      <c r="CJ79" s="254">
        <v>0.2795950224560132</v>
      </c>
      <c r="CK79" s="250" t="s">
        <v>610</v>
      </c>
      <c r="CL79" s="254">
        <v>1.6388924889471541E-2</v>
      </c>
      <c r="CM79" s="250" t="s">
        <v>610</v>
      </c>
      <c r="CN79" s="254">
        <v>0</v>
      </c>
      <c r="CO79" s="250" t="s">
        <v>610</v>
      </c>
      <c r="CP79" s="254">
        <v>0</v>
      </c>
      <c r="CQ79" s="250" t="s">
        <v>610</v>
      </c>
      <c r="CR79" s="254">
        <v>0</v>
      </c>
      <c r="CS79" s="250" t="s">
        <v>610</v>
      </c>
      <c r="CT79" s="254">
        <v>0</v>
      </c>
      <c r="CU79" s="250" t="s">
        <v>610</v>
      </c>
      <c r="CV79" s="254">
        <v>0</v>
      </c>
      <c r="CW79" s="250" t="s">
        <v>610</v>
      </c>
      <c r="CX79" s="254">
        <v>0</v>
      </c>
      <c r="CY79" s="250" t="s">
        <v>610</v>
      </c>
      <c r="CZ79" s="254">
        <v>0</v>
      </c>
      <c r="DA79" s="250" t="s">
        <v>610</v>
      </c>
      <c r="DB79" s="254">
        <v>0</v>
      </c>
      <c r="DC79" s="250" t="s">
        <v>610</v>
      </c>
      <c r="DD79" s="254">
        <v>0</v>
      </c>
      <c r="DE79" s="250" t="s">
        <v>610</v>
      </c>
      <c r="DF79" s="254">
        <v>0</v>
      </c>
      <c r="DG79" s="250" t="s">
        <v>610</v>
      </c>
      <c r="DH79" s="254">
        <v>0</v>
      </c>
      <c r="DI79" s="250" t="s">
        <v>610</v>
      </c>
      <c r="DJ79" s="254">
        <v>0</v>
      </c>
      <c r="DK79" s="250" t="s">
        <v>610</v>
      </c>
      <c r="DL79" s="254">
        <v>0</v>
      </c>
      <c r="DM79" s="250" t="s">
        <v>610</v>
      </c>
      <c r="DN79" s="254">
        <v>6.2833963543519292E-2</v>
      </c>
      <c r="DO79" s="250" t="s">
        <v>610</v>
      </c>
      <c r="DP79" s="254">
        <v>0</v>
      </c>
      <c r="DQ79" s="250" t="s">
        <v>610</v>
      </c>
      <c r="DR79" s="254">
        <v>0</v>
      </c>
      <c r="DS79" s="109"/>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9"/>
      <c r="EX79" s="109"/>
      <c r="EY79" s="109"/>
      <c r="EZ79" s="109"/>
      <c r="FA79" s="109"/>
      <c r="FB79" s="109"/>
      <c r="FC79" s="109"/>
      <c r="FD79" s="109"/>
      <c r="FE79" s="109"/>
      <c r="FF79" s="109"/>
      <c r="FG79" s="109"/>
      <c r="FH79" s="109"/>
      <c r="FI79" s="109"/>
      <c r="FJ79" s="109"/>
      <c r="FK79" s="109"/>
      <c r="FL79" s="109"/>
      <c r="FM79" s="109"/>
      <c r="FN79" s="109"/>
      <c r="FO79" s="109"/>
      <c r="FP79" s="109"/>
      <c r="FQ79" s="109"/>
      <c r="FR79" s="109"/>
      <c r="FS79" s="109"/>
      <c r="FT79" s="109"/>
      <c r="FU79" s="109"/>
      <c r="FV79" s="109"/>
      <c r="FW79" s="109"/>
      <c r="FX79" s="109"/>
      <c r="FY79" s="109"/>
      <c r="FZ79" s="109"/>
      <c r="GA79" s="109"/>
      <c r="GB79" s="109"/>
      <c r="GC79" s="109"/>
      <c r="GD79" s="109"/>
      <c r="GE79" s="109"/>
      <c r="GF79" s="109"/>
      <c r="GG79" s="109"/>
      <c r="GH79" s="109"/>
      <c r="GI79" s="109"/>
      <c r="GJ79" s="109"/>
      <c r="GK79" s="109"/>
      <c r="GL79" s="109"/>
      <c r="GM79" s="109"/>
      <c r="GN79" s="109"/>
      <c r="GO79" s="109"/>
      <c r="GP79" s="109"/>
      <c r="GQ79" s="109"/>
      <c r="GR79" s="109"/>
      <c r="GS79" s="109"/>
      <c r="GT79" s="109"/>
      <c r="GU79" s="109"/>
      <c r="GV79" s="109"/>
      <c r="GW79" s="109"/>
      <c r="GX79" s="109"/>
      <c r="GY79" s="109"/>
      <c r="GZ79" s="109"/>
      <c r="HA79" s="109"/>
      <c r="HB79" s="109"/>
      <c r="HC79" s="109"/>
      <c r="HD79" s="109"/>
      <c r="HE79" s="109"/>
      <c r="HF79" s="109"/>
      <c r="HG79" s="109"/>
      <c r="HH79" s="109"/>
      <c r="HI79" s="109"/>
      <c r="HJ79" s="109"/>
      <c r="HK79" s="109"/>
      <c r="HL79" s="109"/>
      <c r="HM79" s="109"/>
      <c r="HN79" s="109"/>
      <c r="HO79" s="109"/>
      <c r="HP79" s="109"/>
      <c r="HQ79" s="109"/>
      <c r="HR79" s="109"/>
      <c r="HS79" s="109"/>
      <c r="HT79" s="109"/>
      <c r="HU79" s="109"/>
      <c r="HV79" s="109"/>
      <c r="HW79" s="109"/>
      <c r="HX79" s="109"/>
      <c r="HY79" s="109"/>
      <c r="HZ79" s="109"/>
      <c r="IA79" s="109"/>
      <c r="IB79" s="109"/>
      <c r="IC79" s="109"/>
      <c r="ID79" s="109"/>
      <c r="IE79" s="109"/>
      <c r="IF79" s="109"/>
      <c r="IG79" s="109"/>
      <c r="IH79" s="109"/>
      <c r="II79" s="109"/>
      <c r="IJ79" s="109"/>
      <c r="IK79" s="109"/>
      <c r="IL79" s="109"/>
      <c r="IM79" s="109"/>
      <c r="IN79" s="109"/>
      <c r="IO79" s="109"/>
      <c r="IP79" s="109"/>
      <c r="IQ79" s="109"/>
      <c r="IR79" s="109"/>
      <c r="IS79" s="109"/>
      <c r="IT79" s="109"/>
      <c r="IU79" s="109"/>
      <c r="IV79" s="109"/>
      <c r="IW79" s="109"/>
      <c r="IX79" s="109"/>
      <c r="IY79" s="109"/>
      <c r="IZ79" s="109"/>
      <c r="JA79" s="109"/>
      <c r="JB79" s="109"/>
      <c r="JC79" s="109"/>
      <c r="JD79" s="109"/>
      <c r="JE79" s="109"/>
      <c r="JF79" s="109"/>
      <c r="JG79" s="109"/>
      <c r="JH79" s="109"/>
      <c r="JI79" s="109"/>
      <c r="JJ79" s="109"/>
      <c r="JK79" s="109"/>
      <c r="JL79" s="109"/>
      <c r="JM79" s="109"/>
      <c r="JN79" s="109"/>
      <c r="JO79" s="109"/>
      <c r="JP79" s="109"/>
      <c r="JQ79" s="109"/>
      <c r="JR79" s="109"/>
      <c r="JS79" s="109"/>
      <c r="JT79" s="109"/>
      <c r="JU79" s="109"/>
      <c r="JV79" s="109"/>
      <c r="JW79" s="109"/>
      <c r="JX79" s="109"/>
      <c r="JY79" s="109"/>
      <c r="JZ79" s="109"/>
      <c r="KA79" s="109"/>
      <c r="KB79" s="109"/>
      <c r="KC79" s="109"/>
      <c r="KD79" s="109"/>
      <c r="KE79" s="109"/>
      <c r="KF79" s="109"/>
      <c r="KG79" s="109"/>
      <c r="KH79" s="109"/>
      <c r="KI79" s="109"/>
      <c r="KJ79" s="109"/>
      <c r="KK79" s="109"/>
      <c r="KL79" s="109"/>
      <c r="KM79" s="109"/>
      <c r="KN79" s="109"/>
      <c r="KO79" s="109"/>
      <c r="KP79" s="109"/>
      <c r="KQ79" s="109"/>
      <c r="KR79" s="109"/>
      <c r="KS79" s="109"/>
      <c r="KT79" s="109"/>
      <c r="KU79" s="109"/>
      <c r="KV79" s="109"/>
      <c r="KW79" s="109"/>
      <c r="KX79" s="109"/>
      <c r="KY79" s="109"/>
      <c r="KZ79" s="109"/>
      <c r="LA79" s="109"/>
      <c r="LB79" s="109"/>
      <c r="LC79" s="109"/>
      <c r="LD79" s="109"/>
      <c r="LE79" s="109"/>
      <c r="LF79" s="109"/>
      <c r="LG79" s="109"/>
      <c r="LH79" s="109"/>
      <c r="LI79" s="109"/>
      <c r="LJ79" s="109"/>
      <c r="LK79" s="109"/>
      <c r="LL79" s="109"/>
      <c r="LM79" s="109"/>
      <c r="LN79" s="109"/>
      <c r="LO79" s="109"/>
      <c r="LP79" s="109"/>
      <c r="LQ79" s="109"/>
      <c r="LR79" s="109"/>
      <c r="LS79" s="109"/>
      <c r="LT79" s="109"/>
      <c r="LU79" s="109"/>
      <c r="LV79" s="109"/>
      <c r="LW79" s="109"/>
      <c r="LX79" s="109"/>
      <c r="LY79" s="109"/>
      <c r="LZ79" s="109"/>
      <c r="MA79" s="109"/>
      <c r="MB79" s="109"/>
      <c r="MC79" s="109"/>
      <c r="MD79" s="109"/>
      <c r="ME79" s="109"/>
      <c r="MF79" s="109"/>
      <c r="MG79" s="109"/>
      <c r="MH79" s="150"/>
      <c r="MI79" s="109"/>
      <c r="MJ79" s="109"/>
      <c r="MK79" s="109"/>
      <c r="ML79" s="109"/>
      <c r="MM79" s="109"/>
      <c r="MN79" s="109"/>
      <c r="MO79" s="109"/>
      <c r="MP79" s="109"/>
      <c r="MQ79" s="109"/>
      <c r="MR79" s="109"/>
      <c r="MS79" s="109"/>
      <c r="MT79" s="109"/>
      <c r="MU79" s="109"/>
      <c r="MV79" s="109"/>
      <c r="MW79" s="109"/>
      <c r="MX79" s="109"/>
      <c r="MY79" s="109"/>
      <c r="MZ79" s="109"/>
      <c r="NA79" s="109"/>
      <c r="NB79" s="109"/>
    </row>
    <row r="80" spans="1:366" s="261" customFormat="1" x14ac:dyDescent="0.25">
      <c r="A80" s="113">
        <v>0</v>
      </c>
      <c r="B80" s="161" t="s">
        <v>626</v>
      </c>
      <c r="C80" s="250" t="s">
        <v>609</v>
      </c>
      <c r="D80" s="254">
        <v>0</v>
      </c>
      <c r="E80" s="250" t="s">
        <v>609</v>
      </c>
      <c r="F80" s="254">
        <v>0</v>
      </c>
      <c r="G80" s="250" t="s">
        <v>609</v>
      </c>
      <c r="H80" s="254">
        <v>0.3083933985128714</v>
      </c>
      <c r="I80" s="250" t="s">
        <v>609</v>
      </c>
      <c r="J80" s="254">
        <v>1</v>
      </c>
      <c r="K80" s="250" t="s">
        <v>609</v>
      </c>
      <c r="L80" s="254">
        <v>0.13223559021815798</v>
      </c>
      <c r="M80" s="250" t="s">
        <v>609</v>
      </c>
      <c r="N80" s="254">
        <v>0</v>
      </c>
      <c r="O80" s="250" t="s">
        <v>609</v>
      </c>
      <c r="P80" s="254">
        <v>0</v>
      </c>
      <c r="Q80" s="250" t="s">
        <v>609</v>
      </c>
      <c r="R80" s="254">
        <v>0</v>
      </c>
      <c r="S80" s="250" t="s">
        <v>609</v>
      </c>
      <c r="T80" s="254">
        <v>0</v>
      </c>
      <c r="U80" s="250" t="s">
        <v>609</v>
      </c>
      <c r="V80" s="254">
        <v>0.13467955343228249</v>
      </c>
      <c r="W80" s="250" t="s">
        <v>609</v>
      </c>
      <c r="X80" s="254">
        <v>0.53640157522237819</v>
      </c>
      <c r="Y80" s="250" t="s">
        <v>609</v>
      </c>
      <c r="Z80" s="254">
        <v>0.40664159256290644</v>
      </c>
      <c r="AA80" s="250" t="s">
        <v>609</v>
      </c>
      <c r="AB80" s="254">
        <v>0</v>
      </c>
      <c r="AC80" s="250" t="s">
        <v>609</v>
      </c>
      <c r="AD80" s="254">
        <v>0</v>
      </c>
      <c r="AE80" s="250" t="s">
        <v>609</v>
      </c>
      <c r="AF80" s="254">
        <v>0</v>
      </c>
      <c r="AG80" s="250" t="s">
        <v>609</v>
      </c>
      <c r="AH80" s="254">
        <v>0</v>
      </c>
      <c r="AI80" s="250" t="s">
        <v>609</v>
      </c>
      <c r="AJ80" s="254">
        <v>0</v>
      </c>
      <c r="AK80" s="250" t="s">
        <v>609</v>
      </c>
      <c r="AL80" s="254">
        <v>0</v>
      </c>
      <c r="AM80" s="250" t="s">
        <v>609</v>
      </c>
      <c r="AN80" s="254">
        <v>0</v>
      </c>
      <c r="AO80" s="250" t="s">
        <v>609</v>
      </c>
      <c r="AP80" s="254">
        <v>0</v>
      </c>
      <c r="AQ80" s="250" t="s">
        <v>609</v>
      </c>
      <c r="AR80" s="254">
        <v>0</v>
      </c>
      <c r="AS80" s="250" t="s">
        <v>609</v>
      </c>
      <c r="AT80" s="254">
        <v>0</v>
      </c>
      <c r="AU80" s="250" t="s">
        <v>609</v>
      </c>
      <c r="AV80" s="254">
        <v>0.25148515173559538</v>
      </c>
      <c r="AW80" s="250" t="s">
        <v>609</v>
      </c>
      <c r="AX80" s="254">
        <v>0.22078153308288148</v>
      </c>
      <c r="AY80" s="250" t="s">
        <v>609</v>
      </c>
      <c r="AZ80" s="254">
        <v>9.7869758425502315E-2</v>
      </c>
      <c r="BA80" s="250" t="s">
        <v>609</v>
      </c>
      <c r="BB80" s="254">
        <v>5.5276440051640228E-3</v>
      </c>
      <c r="BC80" s="250" t="s">
        <v>609</v>
      </c>
      <c r="BD80" s="254">
        <v>0.13467955343228249</v>
      </c>
      <c r="BE80" s="250" t="s">
        <v>609</v>
      </c>
      <c r="BF80" s="254">
        <v>0.47572021154041294</v>
      </c>
      <c r="BG80" s="250" t="s">
        <v>609</v>
      </c>
      <c r="BH80" s="254">
        <v>0.78476090876690752</v>
      </c>
      <c r="BI80" s="250" t="s">
        <v>609</v>
      </c>
      <c r="BJ80" s="254">
        <v>0.12337612440987285</v>
      </c>
      <c r="BK80" s="250" t="s">
        <v>609</v>
      </c>
      <c r="BL80" s="254">
        <v>0.13762344683695671</v>
      </c>
      <c r="BM80" s="250" t="s">
        <v>609</v>
      </c>
      <c r="BN80" s="254">
        <v>0.37832131819105047</v>
      </c>
      <c r="BO80" s="250" t="s">
        <v>609</v>
      </c>
      <c r="BP80" s="254">
        <v>0.13885389394768605</v>
      </c>
      <c r="BQ80" s="250" t="s">
        <v>609</v>
      </c>
      <c r="BR80" s="254">
        <v>0.13405702462289482</v>
      </c>
      <c r="BS80" s="250" t="s">
        <v>609</v>
      </c>
      <c r="BT80" s="254">
        <v>7.5059967727233612E-2</v>
      </c>
      <c r="BU80" s="250" t="s">
        <v>609</v>
      </c>
      <c r="BV80" s="254">
        <v>0</v>
      </c>
      <c r="BW80" s="250" t="s">
        <v>609</v>
      </c>
      <c r="BX80" s="254">
        <v>0.20785616297637585</v>
      </c>
      <c r="BY80" s="250" t="s">
        <v>609</v>
      </c>
      <c r="BZ80" s="254">
        <v>0.82495117994324674</v>
      </c>
      <c r="CA80" s="250" t="s">
        <v>609</v>
      </c>
      <c r="CB80" s="254">
        <v>0</v>
      </c>
      <c r="CC80" s="250" t="s">
        <v>609</v>
      </c>
      <c r="CD80" s="254">
        <v>0.20785616297637585</v>
      </c>
      <c r="CE80" s="250" t="s">
        <v>609</v>
      </c>
      <c r="CF80" s="254">
        <v>0.82495117994324674</v>
      </c>
      <c r="CG80" s="250" t="s">
        <v>609</v>
      </c>
      <c r="CH80" s="254">
        <v>0</v>
      </c>
      <c r="CI80" s="250" t="s">
        <v>609</v>
      </c>
      <c r="CJ80" s="254">
        <v>0.20785616297637585</v>
      </c>
      <c r="CK80" s="250" t="s">
        <v>609</v>
      </c>
      <c r="CL80" s="254">
        <v>0.82495117994324674</v>
      </c>
      <c r="CM80" s="250" t="s">
        <v>609</v>
      </c>
      <c r="CN80" s="254">
        <v>0</v>
      </c>
      <c r="CO80" s="250" t="s">
        <v>609</v>
      </c>
      <c r="CP80" s="254">
        <v>0</v>
      </c>
      <c r="CQ80" s="250" t="s">
        <v>609</v>
      </c>
      <c r="CR80" s="254">
        <v>0</v>
      </c>
      <c r="CS80" s="250" t="s">
        <v>609</v>
      </c>
      <c r="CT80" s="254">
        <v>0</v>
      </c>
      <c r="CU80" s="250" t="s">
        <v>609</v>
      </c>
      <c r="CV80" s="254">
        <v>0</v>
      </c>
      <c r="CW80" s="250" t="s">
        <v>609</v>
      </c>
      <c r="CX80" s="254">
        <v>0</v>
      </c>
      <c r="CY80" s="250" t="s">
        <v>609</v>
      </c>
      <c r="CZ80" s="254">
        <v>0</v>
      </c>
      <c r="DA80" s="250" t="s">
        <v>609</v>
      </c>
      <c r="DB80" s="254">
        <v>0</v>
      </c>
      <c r="DC80" s="250" t="s">
        <v>609</v>
      </c>
      <c r="DD80" s="254">
        <v>0</v>
      </c>
      <c r="DE80" s="250" t="s">
        <v>609</v>
      </c>
      <c r="DF80" s="254">
        <v>0</v>
      </c>
      <c r="DG80" s="250" t="s">
        <v>609</v>
      </c>
      <c r="DH80" s="254">
        <v>0</v>
      </c>
      <c r="DI80" s="250" t="s">
        <v>609</v>
      </c>
      <c r="DJ80" s="254">
        <v>0</v>
      </c>
      <c r="DK80" s="250" t="s">
        <v>609</v>
      </c>
      <c r="DL80" s="254">
        <v>0</v>
      </c>
      <c r="DM80" s="250" t="s">
        <v>609</v>
      </c>
      <c r="DN80" s="254">
        <v>0.19697081295967631</v>
      </c>
      <c r="DO80" s="250" t="s">
        <v>609</v>
      </c>
      <c r="DP80" s="254">
        <v>0.13223559021815798</v>
      </c>
      <c r="DQ80" s="250" t="s">
        <v>609</v>
      </c>
      <c r="DR80" s="254">
        <v>0.13223559021815798</v>
      </c>
      <c r="DS80" s="109"/>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9"/>
      <c r="EX80" s="109"/>
      <c r="EY80" s="109"/>
      <c r="EZ80" s="109"/>
      <c r="FA80" s="109"/>
      <c r="FB80" s="109"/>
      <c r="FC80" s="109"/>
      <c r="FD80" s="109"/>
      <c r="FE80" s="109"/>
      <c r="FF80" s="109"/>
      <c r="FG80" s="109"/>
      <c r="FH80" s="109"/>
      <c r="FI80" s="109"/>
      <c r="FJ80" s="109"/>
      <c r="FK80" s="109"/>
      <c r="FL80" s="109"/>
      <c r="FM80" s="109"/>
      <c r="FN80" s="109"/>
      <c r="FO80" s="109"/>
      <c r="FP80" s="109"/>
      <c r="FQ80" s="109"/>
      <c r="FR80" s="109"/>
      <c r="FS80" s="109"/>
      <c r="FT80" s="109"/>
      <c r="FU80" s="109"/>
      <c r="FV80" s="109"/>
      <c r="FW80" s="109"/>
      <c r="FX80" s="109"/>
      <c r="FY80" s="109"/>
      <c r="FZ80" s="109"/>
      <c r="GA80" s="109"/>
      <c r="GB80" s="109"/>
      <c r="GC80" s="109"/>
      <c r="GD80" s="109"/>
      <c r="GE80" s="109"/>
      <c r="GF80" s="109"/>
      <c r="GG80" s="109"/>
      <c r="GH80" s="109"/>
      <c r="GI80" s="109"/>
      <c r="GJ80" s="109"/>
      <c r="GK80" s="109"/>
      <c r="GL80" s="109"/>
      <c r="GM80" s="109"/>
      <c r="GN80" s="109"/>
      <c r="GO80" s="109"/>
      <c r="GP80" s="109"/>
      <c r="GQ80" s="109"/>
      <c r="GR80" s="109"/>
      <c r="GS80" s="109"/>
      <c r="GT80" s="109"/>
      <c r="GU80" s="109"/>
      <c r="GV80" s="109"/>
      <c r="GW80" s="109"/>
      <c r="GX80" s="109"/>
      <c r="GY80" s="109"/>
      <c r="GZ80" s="109"/>
      <c r="HA80" s="109"/>
      <c r="HB80" s="109"/>
      <c r="HC80" s="109"/>
      <c r="HD80" s="109"/>
      <c r="HE80" s="109"/>
      <c r="HF80" s="109"/>
      <c r="HG80" s="109"/>
      <c r="HH80" s="109"/>
      <c r="HI80" s="109"/>
      <c r="HJ80" s="109"/>
      <c r="HK80" s="109"/>
      <c r="HL80" s="109"/>
      <c r="HM80" s="109"/>
      <c r="HN80" s="109"/>
      <c r="HO80" s="109"/>
      <c r="HP80" s="109"/>
      <c r="HQ80" s="109"/>
      <c r="HR80" s="109"/>
      <c r="HS80" s="109"/>
      <c r="HT80" s="109"/>
      <c r="HU80" s="109"/>
      <c r="HV80" s="109"/>
      <c r="HW80" s="109"/>
      <c r="HX80" s="109"/>
      <c r="HY80" s="109"/>
      <c r="HZ80" s="109"/>
      <c r="IA80" s="109"/>
      <c r="IB80" s="109"/>
      <c r="IC80" s="109"/>
      <c r="ID80" s="109"/>
      <c r="IE80" s="109"/>
      <c r="IF80" s="109"/>
      <c r="IG80" s="109"/>
      <c r="IH80" s="109"/>
      <c r="II80" s="109"/>
      <c r="IJ80" s="109"/>
      <c r="IK80" s="109"/>
      <c r="IL80" s="109"/>
      <c r="IM80" s="109"/>
      <c r="IN80" s="109"/>
      <c r="IO80" s="109"/>
      <c r="IP80" s="109"/>
      <c r="IQ80" s="109"/>
      <c r="IR80" s="109"/>
      <c r="IS80" s="109"/>
      <c r="IT80" s="109"/>
      <c r="IU80" s="109"/>
      <c r="IV80" s="109"/>
      <c r="IW80" s="109"/>
      <c r="IX80" s="109"/>
      <c r="IY80" s="109"/>
      <c r="IZ80" s="109"/>
      <c r="JA80" s="109"/>
      <c r="JB80" s="109"/>
      <c r="JC80" s="109"/>
      <c r="JD80" s="109"/>
      <c r="JE80" s="109"/>
      <c r="JF80" s="109"/>
      <c r="JG80" s="109"/>
      <c r="JH80" s="109"/>
      <c r="JI80" s="109"/>
      <c r="JJ80" s="109"/>
      <c r="JK80" s="109"/>
      <c r="JL80" s="109"/>
      <c r="JM80" s="109"/>
      <c r="JN80" s="109"/>
      <c r="JO80" s="109"/>
      <c r="JP80" s="109"/>
      <c r="JQ80" s="109"/>
      <c r="JR80" s="109"/>
      <c r="JS80" s="109"/>
      <c r="JT80" s="109"/>
      <c r="JU80" s="109"/>
      <c r="JV80" s="109"/>
      <c r="JW80" s="109"/>
      <c r="JX80" s="109"/>
      <c r="JY80" s="109"/>
      <c r="JZ80" s="109"/>
      <c r="KA80" s="109"/>
      <c r="KB80" s="109"/>
      <c r="KC80" s="109"/>
      <c r="KD80" s="109"/>
      <c r="KE80" s="109"/>
      <c r="KF80" s="109"/>
      <c r="KG80" s="109"/>
      <c r="KH80" s="109"/>
      <c r="KI80" s="109"/>
      <c r="KJ80" s="109"/>
      <c r="KK80" s="109"/>
      <c r="KL80" s="109"/>
      <c r="KM80" s="109"/>
      <c r="KN80" s="109"/>
      <c r="KO80" s="109"/>
      <c r="KP80" s="109"/>
      <c r="KQ80" s="109"/>
      <c r="KR80" s="109"/>
      <c r="KS80" s="109"/>
      <c r="KT80" s="109"/>
      <c r="KU80" s="109"/>
      <c r="KV80" s="109"/>
      <c r="KW80" s="109"/>
      <c r="KX80" s="109"/>
      <c r="KY80" s="109"/>
      <c r="KZ80" s="109"/>
      <c r="LA80" s="109"/>
      <c r="LB80" s="109"/>
      <c r="LC80" s="109"/>
      <c r="LD80" s="109"/>
      <c r="LE80" s="109"/>
      <c r="LF80" s="109"/>
      <c r="LG80" s="109"/>
      <c r="LH80" s="109"/>
      <c r="LI80" s="109"/>
      <c r="LJ80" s="109"/>
      <c r="LK80" s="109"/>
      <c r="LL80" s="109"/>
      <c r="LM80" s="109"/>
      <c r="LN80" s="109"/>
      <c r="LO80" s="109"/>
      <c r="LP80" s="109"/>
      <c r="LQ80" s="109"/>
      <c r="LR80" s="109"/>
      <c r="LS80" s="109"/>
      <c r="LT80" s="109"/>
      <c r="LU80" s="109"/>
      <c r="LV80" s="109"/>
      <c r="LW80" s="109"/>
      <c r="LX80" s="109"/>
      <c r="LY80" s="109"/>
      <c r="LZ80" s="109"/>
      <c r="MA80" s="109"/>
      <c r="MB80" s="109"/>
      <c r="MC80" s="109"/>
      <c r="MD80" s="109"/>
      <c r="ME80" s="109"/>
      <c r="MF80" s="109"/>
      <c r="MG80" s="109"/>
      <c r="MH80" s="150"/>
      <c r="MI80" s="109"/>
      <c r="MJ80" s="109"/>
      <c r="MK80" s="109"/>
      <c r="ML80" s="109"/>
      <c r="MM80" s="109"/>
      <c r="MN80" s="109"/>
      <c r="MO80" s="109"/>
      <c r="MP80" s="109"/>
      <c r="MQ80" s="109"/>
      <c r="MR80" s="109"/>
      <c r="MS80" s="109"/>
      <c r="MT80" s="109"/>
      <c r="MU80" s="109"/>
      <c r="MV80" s="109"/>
      <c r="MW80" s="109"/>
      <c r="MX80" s="109"/>
      <c r="MY80" s="109"/>
      <c r="MZ80" s="109"/>
      <c r="NA80" s="109"/>
      <c r="NB80" s="109"/>
    </row>
    <row r="81" spans="1:366" s="261" customFormat="1" x14ac:dyDescent="0.25">
      <c r="A81" s="113">
        <v>0</v>
      </c>
      <c r="B81" s="161" t="s">
        <v>1095</v>
      </c>
      <c r="C81" s="250" t="s">
        <v>613</v>
      </c>
      <c r="D81" s="254">
        <v>0</v>
      </c>
      <c r="E81" s="250" t="s">
        <v>613</v>
      </c>
      <c r="F81" s="254">
        <v>0</v>
      </c>
      <c r="G81" s="250" t="s">
        <v>613</v>
      </c>
      <c r="H81" s="254">
        <v>0.95026240931371442</v>
      </c>
      <c r="I81" s="250" t="s">
        <v>613</v>
      </c>
      <c r="J81" s="254">
        <v>0</v>
      </c>
      <c r="K81" s="250" t="s">
        <v>613</v>
      </c>
      <c r="L81" s="254">
        <v>0</v>
      </c>
      <c r="M81" s="250" t="s">
        <v>613</v>
      </c>
      <c r="N81" s="254">
        <v>0</v>
      </c>
      <c r="O81" s="250" t="s">
        <v>613</v>
      </c>
      <c r="P81" s="254">
        <v>0</v>
      </c>
      <c r="Q81" s="250" t="s">
        <v>613</v>
      </c>
      <c r="R81" s="254">
        <v>1</v>
      </c>
      <c r="S81" s="250" t="s">
        <v>613</v>
      </c>
      <c r="T81" s="254">
        <v>0</v>
      </c>
      <c r="U81" s="250" t="s">
        <v>613</v>
      </c>
      <c r="V81" s="254">
        <v>0.11659800727844596</v>
      </c>
      <c r="W81" s="250" t="s">
        <v>613</v>
      </c>
      <c r="X81" s="254">
        <v>0.95026240931371431</v>
      </c>
      <c r="Y81" s="250" t="s">
        <v>613</v>
      </c>
      <c r="Z81" s="254">
        <v>0</v>
      </c>
      <c r="AA81" s="250" t="s">
        <v>613</v>
      </c>
      <c r="AB81" s="254">
        <v>0</v>
      </c>
      <c r="AC81" s="250" t="s">
        <v>613</v>
      </c>
      <c r="AD81" s="254">
        <v>0</v>
      </c>
      <c r="AE81" s="250" t="s">
        <v>613</v>
      </c>
      <c r="AF81" s="254">
        <v>1</v>
      </c>
      <c r="AG81" s="250" t="s">
        <v>613</v>
      </c>
      <c r="AH81" s="254">
        <v>1</v>
      </c>
      <c r="AI81" s="250" t="s">
        <v>613</v>
      </c>
      <c r="AJ81" s="254">
        <v>1</v>
      </c>
      <c r="AK81" s="250" t="s">
        <v>613</v>
      </c>
      <c r="AL81" s="254">
        <v>1</v>
      </c>
      <c r="AM81" s="250" t="s">
        <v>613</v>
      </c>
      <c r="AN81" s="254">
        <v>1</v>
      </c>
      <c r="AO81" s="250" t="s">
        <v>613</v>
      </c>
      <c r="AP81" s="254">
        <v>0</v>
      </c>
      <c r="AQ81" s="250" t="s">
        <v>613</v>
      </c>
      <c r="AR81" s="254">
        <v>0</v>
      </c>
      <c r="AS81" s="250" t="s">
        <v>613</v>
      </c>
      <c r="AT81" s="254">
        <v>0</v>
      </c>
      <c r="AU81" s="250" t="s">
        <v>613</v>
      </c>
      <c r="AV81" s="254">
        <v>0.25207343158519591</v>
      </c>
      <c r="AW81" s="250" t="s">
        <v>613</v>
      </c>
      <c r="AX81" s="254">
        <v>0</v>
      </c>
      <c r="AY81" s="250" t="s">
        <v>613</v>
      </c>
      <c r="AZ81" s="254">
        <v>0</v>
      </c>
      <c r="BA81" s="250" t="s">
        <v>613</v>
      </c>
      <c r="BB81" s="254">
        <v>4.2717297106210439E-3</v>
      </c>
      <c r="BC81" s="250" t="s">
        <v>613</v>
      </c>
      <c r="BD81" s="254">
        <v>0.11659800727844596</v>
      </c>
      <c r="BE81" s="250" t="s">
        <v>613</v>
      </c>
      <c r="BF81" s="254">
        <v>0</v>
      </c>
      <c r="BG81" s="250" t="s">
        <v>613</v>
      </c>
      <c r="BH81" s="254">
        <v>0.95026240931371442</v>
      </c>
      <c r="BI81" s="250" t="s">
        <v>613</v>
      </c>
      <c r="BJ81" s="254">
        <v>0</v>
      </c>
      <c r="BK81" s="250" t="s">
        <v>613</v>
      </c>
      <c r="BL81" s="254">
        <v>0</v>
      </c>
      <c r="BM81" s="250" t="s">
        <v>613</v>
      </c>
      <c r="BN81" s="254">
        <v>0.26497344158620317</v>
      </c>
      <c r="BO81" s="250" t="s">
        <v>613</v>
      </c>
      <c r="BP81" s="254">
        <v>0.51032168683986245</v>
      </c>
      <c r="BQ81" s="250" t="s">
        <v>613</v>
      </c>
      <c r="BR81" s="254">
        <v>4.6588536593591634E-2</v>
      </c>
      <c r="BS81" s="250" t="s">
        <v>613</v>
      </c>
      <c r="BT81" s="254">
        <v>0.26497344158620317</v>
      </c>
      <c r="BU81" s="250" t="s">
        <v>613</v>
      </c>
      <c r="BV81" s="254">
        <v>0</v>
      </c>
      <c r="BW81" s="250" t="s">
        <v>613</v>
      </c>
      <c r="BX81" s="254">
        <v>0.25813835852071049</v>
      </c>
      <c r="BY81" s="250" t="s">
        <v>613</v>
      </c>
      <c r="BZ81" s="254">
        <v>0.95026240931371442</v>
      </c>
      <c r="CA81" s="250" t="s">
        <v>613</v>
      </c>
      <c r="CB81" s="254">
        <v>0</v>
      </c>
      <c r="CC81" s="250" t="s">
        <v>613</v>
      </c>
      <c r="CD81" s="254">
        <v>0.25813835852071049</v>
      </c>
      <c r="CE81" s="250" t="s">
        <v>613</v>
      </c>
      <c r="CF81" s="254">
        <v>0.95026240931371442</v>
      </c>
      <c r="CG81" s="250" t="s">
        <v>613</v>
      </c>
      <c r="CH81" s="254">
        <v>0</v>
      </c>
      <c r="CI81" s="250" t="s">
        <v>613</v>
      </c>
      <c r="CJ81" s="254">
        <v>0.25813835852071049</v>
      </c>
      <c r="CK81" s="250" t="s">
        <v>613</v>
      </c>
      <c r="CL81" s="254">
        <v>0.95026240931371442</v>
      </c>
      <c r="CM81" s="250" t="s">
        <v>613</v>
      </c>
      <c r="CN81" s="254">
        <v>0</v>
      </c>
      <c r="CO81" s="250" t="s">
        <v>613</v>
      </c>
      <c r="CP81" s="254">
        <v>0</v>
      </c>
      <c r="CQ81" s="250" t="s">
        <v>613</v>
      </c>
      <c r="CR81" s="254">
        <v>0</v>
      </c>
      <c r="CS81" s="250" t="s">
        <v>613</v>
      </c>
      <c r="CT81" s="254">
        <v>0</v>
      </c>
      <c r="CU81" s="250" t="s">
        <v>613</v>
      </c>
      <c r="CV81" s="254">
        <v>0</v>
      </c>
      <c r="CW81" s="250" t="s">
        <v>613</v>
      </c>
      <c r="CX81" s="254">
        <v>0</v>
      </c>
      <c r="CY81" s="250" t="s">
        <v>613</v>
      </c>
      <c r="CZ81" s="254">
        <v>0</v>
      </c>
      <c r="DA81" s="250" t="s">
        <v>613</v>
      </c>
      <c r="DB81" s="254">
        <v>0</v>
      </c>
      <c r="DC81" s="250" t="s">
        <v>613</v>
      </c>
      <c r="DD81" s="254">
        <v>0</v>
      </c>
      <c r="DE81" s="250" t="s">
        <v>613</v>
      </c>
      <c r="DF81" s="254">
        <v>0</v>
      </c>
      <c r="DG81" s="250" t="s">
        <v>613</v>
      </c>
      <c r="DH81" s="254">
        <v>1</v>
      </c>
      <c r="DI81" s="250" t="s">
        <v>613</v>
      </c>
      <c r="DJ81" s="254">
        <v>1</v>
      </c>
      <c r="DK81" s="250" t="s">
        <v>613</v>
      </c>
      <c r="DL81" s="254">
        <v>1</v>
      </c>
      <c r="DM81" s="250" t="s">
        <v>613</v>
      </c>
      <c r="DN81" s="254">
        <v>0.49877583389618663</v>
      </c>
      <c r="DO81" s="250" t="s">
        <v>613</v>
      </c>
      <c r="DP81" s="254">
        <v>0</v>
      </c>
      <c r="DQ81" s="250" t="s">
        <v>613</v>
      </c>
      <c r="DR81" s="254">
        <v>0</v>
      </c>
      <c r="DS81" s="109"/>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9"/>
      <c r="EX81" s="109"/>
      <c r="EY81" s="109"/>
      <c r="EZ81" s="109"/>
      <c r="FA81" s="109"/>
      <c r="FB81" s="109"/>
      <c r="FC81" s="109"/>
      <c r="FD81" s="109"/>
      <c r="FE81" s="109"/>
      <c r="FF81" s="109"/>
      <c r="FG81" s="109"/>
      <c r="FH81" s="109"/>
      <c r="FI81" s="109"/>
      <c r="FJ81" s="109"/>
      <c r="FK81" s="109"/>
      <c r="FL81" s="109"/>
      <c r="FM81" s="109"/>
      <c r="FN81" s="109"/>
      <c r="FO81" s="109"/>
      <c r="FP81" s="109"/>
      <c r="FQ81" s="109"/>
      <c r="FR81" s="109"/>
      <c r="FS81" s="109"/>
      <c r="FT81" s="109"/>
      <c r="FU81" s="109"/>
      <c r="FV81" s="109"/>
      <c r="FW81" s="109"/>
      <c r="FX81" s="109"/>
      <c r="FY81" s="109"/>
      <c r="FZ81" s="109"/>
      <c r="GA81" s="109"/>
      <c r="GB81" s="109"/>
      <c r="GC81" s="109"/>
      <c r="GD81" s="109"/>
      <c r="GE81" s="109"/>
      <c r="GF81" s="109"/>
      <c r="GG81" s="109"/>
      <c r="GH81" s="109"/>
      <c r="GI81" s="109"/>
      <c r="GJ81" s="109"/>
      <c r="GK81" s="109"/>
      <c r="GL81" s="109"/>
      <c r="GM81" s="109"/>
      <c r="GN81" s="109"/>
      <c r="GO81" s="109"/>
      <c r="GP81" s="109"/>
      <c r="GQ81" s="109"/>
      <c r="GR81" s="109"/>
      <c r="GS81" s="109"/>
      <c r="GT81" s="109"/>
      <c r="GU81" s="109"/>
      <c r="GV81" s="109"/>
      <c r="GW81" s="109"/>
      <c r="GX81" s="109"/>
      <c r="GY81" s="109"/>
      <c r="GZ81" s="109"/>
      <c r="HA81" s="109"/>
      <c r="HB81" s="109"/>
      <c r="HC81" s="109"/>
      <c r="HD81" s="109"/>
      <c r="HE81" s="109"/>
      <c r="HF81" s="109"/>
      <c r="HG81" s="109"/>
      <c r="HH81" s="109"/>
      <c r="HI81" s="109"/>
      <c r="HJ81" s="109"/>
      <c r="HK81" s="109"/>
      <c r="HL81" s="109"/>
      <c r="HM81" s="109"/>
      <c r="HN81" s="109"/>
      <c r="HO81" s="109"/>
      <c r="HP81" s="109"/>
      <c r="HQ81" s="109"/>
      <c r="HR81" s="109"/>
      <c r="HS81" s="109"/>
      <c r="HT81" s="109"/>
      <c r="HU81" s="109"/>
      <c r="HV81" s="109"/>
      <c r="HW81" s="109"/>
      <c r="HX81" s="109"/>
      <c r="HY81" s="109"/>
      <c r="HZ81" s="109"/>
      <c r="IA81" s="109"/>
      <c r="IB81" s="109"/>
      <c r="IC81" s="109"/>
      <c r="ID81" s="109"/>
      <c r="IE81" s="109"/>
      <c r="IF81" s="109"/>
      <c r="IG81" s="109"/>
      <c r="IH81" s="109"/>
      <c r="II81" s="109"/>
      <c r="IJ81" s="109"/>
      <c r="IK81" s="109"/>
      <c r="IL81" s="109"/>
      <c r="IM81" s="109"/>
      <c r="IN81" s="109"/>
      <c r="IO81" s="109"/>
      <c r="IP81" s="109"/>
      <c r="IQ81" s="109"/>
      <c r="IR81" s="109"/>
      <c r="IS81" s="109"/>
      <c r="IT81" s="109"/>
      <c r="IU81" s="109"/>
      <c r="IV81" s="109"/>
      <c r="IW81" s="109"/>
      <c r="IX81" s="109"/>
      <c r="IY81" s="109"/>
      <c r="IZ81" s="109"/>
      <c r="JA81" s="109"/>
      <c r="JB81" s="109"/>
      <c r="JC81" s="109"/>
      <c r="JD81" s="109"/>
      <c r="JE81" s="109"/>
      <c r="JF81" s="109"/>
      <c r="JG81" s="109"/>
      <c r="JH81" s="109"/>
      <c r="JI81" s="109"/>
      <c r="JJ81" s="109"/>
      <c r="JK81" s="109"/>
      <c r="JL81" s="109"/>
      <c r="JM81" s="109"/>
      <c r="JN81" s="109"/>
      <c r="JO81" s="109"/>
      <c r="JP81" s="109"/>
      <c r="JQ81" s="109"/>
      <c r="JR81" s="109"/>
      <c r="JS81" s="109"/>
      <c r="JT81" s="109"/>
      <c r="JU81" s="109"/>
      <c r="JV81" s="109"/>
      <c r="JW81" s="109"/>
      <c r="JX81" s="109"/>
      <c r="JY81" s="109"/>
      <c r="JZ81" s="109"/>
      <c r="KA81" s="109"/>
      <c r="KB81" s="109"/>
      <c r="KC81" s="109"/>
      <c r="KD81" s="109"/>
      <c r="KE81" s="109"/>
      <c r="KF81" s="109"/>
      <c r="KG81" s="109"/>
      <c r="KH81" s="109"/>
      <c r="KI81" s="109"/>
      <c r="KJ81" s="109"/>
      <c r="KK81" s="109"/>
      <c r="KL81" s="109"/>
      <c r="KM81" s="109"/>
      <c r="KN81" s="109"/>
      <c r="KO81" s="109"/>
      <c r="KP81" s="109"/>
      <c r="KQ81" s="109"/>
      <c r="KR81" s="109"/>
      <c r="KS81" s="109"/>
      <c r="KT81" s="109"/>
      <c r="KU81" s="109"/>
      <c r="KV81" s="109"/>
      <c r="KW81" s="109"/>
      <c r="KX81" s="109"/>
      <c r="KY81" s="109"/>
      <c r="KZ81" s="109"/>
      <c r="LA81" s="109"/>
      <c r="LB81" s="109"/>
      <c r="LC81" s="109"/>
      <c r="LD81" s="109"/>
      <c r="LE81" s="109"/>
      <c r="LF81" s="109"/>
      <c r="LG81" s="109"/>
      <c r="LH81" s="109"/>
      <c r="LI81" s="109"/>
      <c r="LJ81" s="109"/>
      <c r="LK81" s="109"/>
      <c r="LL81" s="109"/>
      <c r="LM81" s="109"/>
      <c r="LN81" s="109"/>
      <c r="LO81" s="109"/>
      <c r="LP81" s="109"/>
      <c r="LQ81" s="109"/>
      <c r="LR81" s="109"/>
      <c r="LS81" s="109"/>
      <c r="LT81" s="109"/>
      <c r="LU81" s="109"/>
      <c r="LV81" s="109"/>
      <c r="LW81" s="109"/>
      <c r="LX81" s="109"/>
      <c r="LY81" s="109"/>
      <c r="LZ81" s="109"/>
      <c r="MA81" s="109"/>
      <c r="MB81" s="109"/>
      <c r="MC81" s="109"/>
      <c r="MD81" s="109"/>
      <c r="ME81" s="109"/>
      <c r="MF81" s="109"/>
      <c r="MG81" s="109"/>
      <c r="MH81" s="150"/>
      <c r="MI81" s="109"/>
      <c r="MJ81" s="109"/>
      <c r="MK81" s="109"/>
      <c r="ML81" s="109"/>
      <c r="MM81" s="109"/>
      <c r="MN81" s="109"/>
      <c r="MO81" s="109"/>
      <c r="MP81" s="109"/>
      <c r="MQ81" s="109"/>
      <c r="MR81" s="109"/>
      <c r="MS81" s="109"/>
      <c r="MT81" s="109"/>
      <c r="MU81" s="109"/>
      <c r="MV81" s="109"/>
      <c r="MW81" s="109"/>
      <c r="MX81" s="109"/>
      <c r="MY81" s="109"/>
      <c r="MZ81" s="109"/>
      <c r="NA81" s="109"/>
      <c r="NB81" s="109"/>
    </row>
    <row r="82" spans="1:366" s="261" customFormat="1" x14ac:dyDescent="0.25">
      <c r="A82" s="113">
        <v>0</v>
      </c>
      <c r="B82" s="161" t="s">
        <v>887</v>
      </c>
      <c r="C82" s="250" t="s">
        <v>612</v>
      </c>
      <c r="D82" s="254">
        <v>0</v>
      </c>
      <c r="E82" s="250" t="s">
        <v>612</v>
      </c>
      <c r="F82" s="254">
        <v>7.0416078866666426E-2</v>
      </c>
      <c r="G82" s="250" t="s">
        <v>612</v>
      </c>
      <c r="H82" s="254">
        <v>1</v>
      </c>
      <c r="I82" s="250" t="s">
        <v>612</v>
      </c>
      <c r="J82" s="254">
        <v>1</v>
      </c>
      <c r="K82" s="250" t="s">
        <v>612</v>
      </c>
      <c r="L82" s="254">
        <v>0</v>
      </c>
      <c r="M82" s="250" t="s">
        <v>612</v>
      </c>
      <c r="N82" s="254">
        <v>0</v>
      </c>
      <c r="O82" s="250" t="s">
        <v>612</v>
      </c>
      <c r="P82" s="254">
        <v>0</v>
      </c>
      <c r="Q82" s="250" t="s">
        <v>612</v>
      </c>
      <c r="R82" s="254">
        <v>0</v>
      </c>
      <c r="S82" s="250" t="s">
        <v>612</v>
      </c>
      <c r="T82" s="254">
        <v>0</v>
      </c>
      <c r="U82" s="250" t="s">
        <v>612</v>
      </c>
      <c r="V82" s="254">
        <v>0.27498439910419137</v>
      </c>
      <c r="W82" s="250" t="s">
        <v>612</v>
      </c>
      <c r="X82" s="254">
        <v>1</v>
      </c>
      <c r="Y82" s="250" t="s">
        <v>612</v>
      </c>
      <c r="Z82" s="254">
        <v>1</v>
      </c>
      <c r="AA82" s="250" t="s">
        <v>612</v>
      </c>
      <c r="AB82" s="254">
        <v>0</v>
      </c>
      <c r="AC82" s="250" t="s">
        <v>612</v>
      </c>
      <c r="AD82" s="254">
        <v>0</v>
      </c>
      <c r="AE82" s="250" t="s">
        <v>612</v>
      </c>
      <c r="AF82" s="254">
        <v>0</v>
      </c>
      <c r="AG82" s="250" t="s">
        <v>612</v>
      </c>
      <c r="AH82" s="254">
        <v>0</v>
      </c>
      <c r="AI82" s="250" t="s">
        <v>612</v>
      </c>
      <c r="AJ82" s="254">
        <v>0</v>
      </c>
      <c r="AK82" s="250" t="s">
        <v>612</v>
      </c>
      <c r="AL82" s="254">
        <v>0</v>
      </c>
      <c r="AM82" s="250" t="s">
        <v>612</v>
      </c>
      <c r="AN82" s="254">
        <v>0</v>
      </c>
      <c r="AO82" s="250" t="s">
        <v>612</v>
      </c>
      <c r="AP82" s="254">
        <v>0</v>
      </c>
      <c r="AQ82" s="250" t="s">
        <v>612</v>
      </c>
      <c r="AR82" s="254">
        <v>0</v>
      </c>
      <c r="AS82" s="250" t="s">
        <v>612</v>
      </c>
      <c r="AT82" s="254">
        <v>6.7507666482258408E-2</v>
      </c>
      <c r="AU82" s="250" t="s">
        <v>612</v>
      </c>
      <c r="AV82" s="254">
        <v>0.87078577780028632</v>
      </c>
      <c r="AW82" s="250" t="s">
        <v>612</v>
      </c>
      <c r="AX82" s="254">
        <v>0.88448204274053721</v>
      </c>
      <c r="AY82" s="250" t="s">
        <v>612</v>
      </c>
      <c r="AZ82" s="254">
        <v>0</v>
      </c>
      <c r="BA82" s="250" t="s">
        <v>612</v>
      </c>
      <c r="BB82" s="254">
        <v>7.5772948777087304E-2</v>
      </c>
      <c r="BC82" s="250" t="s">
        <v>612</v>
      </c>
      <c r="BD82" s="254">
        <v>0.27498439910419137</v>
      </c>
      <c r="BE82" s="250" t="s">
        <v>612</v>
      </c>
      <c r="BF82" s="254">
        <v>1</v>
      </c>
      <c r="BG82" s="250" t="s">
        <v>612</v>
      </c>
      <c r="BH82" s="254">
        <v>1</v>
      </c>
      <c r="BI82" s="250" t="s">
        <v>612</v>
      </c>
      <c r="BJ82" s="254">
        <v>0</v>
      </c>
      <c r="BK82" s="250" t="s">
        <v>612</v>
      </c>
      <c r="BL82" s="254">
        <v>1</v>
      </c>
      <c r="BM82" s="250" t="s">
        <v>612</v>
      </c>
      <c r="BN82" s="254">
        <v>1</v>
      </c>
      <c r="BO82" s="250" t="s">
        <v>612</v>
      </c>
      <c r="BP82" s="254">
        <v>1</v>
      </c>
      <c r="BQ82" s="250" t="s">
        <v>612</v>
      </c>
      <c r="BR82" s="254">
        <v>1</v>
      </c>
      <c r="BS82" s="250" t="s">
        <v>612</v>
      </c>
      <c r="BT82" s="254">
        <v>1</v>
      </c>
      <c r="BU82" s="250" t="s">
        <v>612</v>
      </c>
      <c r="BV82" s="254">
        <v>5.8253582461330534E-2</v>
      </c>
      <c r="BW82" s="250" t="s">
        <v>612</v>
      </c>
      <c r="BX82" s="254">
        <v>0.46954243485796265</v>
      </c>
      <c r="BY82" s="250" t="s">
        <v>612</v>
      </c>
      <c r="BZ82" s="254">
        <v>1</v>
      </c>
      <c r="CA82" s="250" t="s">
        <v>612</v>
      </c>
      <c r="CB82" s="254">
        <v>5.8253582461330534E-2</v>
      </c>
      <c r="CC82" s="250" t="s">
        <v>612</v>
      </c>
      <c r="CD82" s="254">
        <v>0.46954243485796265</v>
      </c>
      <c r="CE82" s="250" t="s">
        <v>612</v>
      </c>
      <c r="CF82" s="254">
        <v>1</v>
      </c>
      <c r="CG82" s="250" t="s">
        <v>612</v>
      </c>
      <c r="CH82" s="254">
        <v>5.8253582461330534E-2</v>
      </c>
      <c r="CI82" s="250" t="s">
        <v>612</v>
      </c>
      <c r="CJ82" s="254">
        <v>0.46954243485796265</v>
      </c>
      <c r="CK82" s="250" t="s">
        <v>612</v>
      </c>
      <c r="CL82" s="254">
        <v>1</v>
      </c>
      <c r="CM82" s="250" t="s">
        <v>612</v>
      </c>
      <c r="CN82" s="254">
        <v>0</v>
      </c>
      <c r="CO82" s="250" t="s">
        <v>612</v>
      </c>
      <c r="CP82" s="254">
        <v>0</v>
      </c>
      <c r="CQ82" s="250" t="s">
        <v>612</v>
      </c>
      <c r="CR82" s="254">
        <v>0</v>
      </c>
      <c r="CS82" s="250" t="s">
        <v>612</v>
      </c>
      <c r="CT82" s="254">
        <v>0</v>
      </c>
      <c r="CU82" s="250" t="s">
        <v>612</v>
      </c>
      <c r="CV82" s="254">
        <v>0</v>
      </c>
      <c r="CW82" s="250" t="s">
        <v>612</v>
      </c>
      <c r="CX82" s="254">
        <v>0</v>
      </c>
      <c r="CY82" s="250" t="s">
        <v>612</v>
      </c>
      <c r="CZ82" s="254">
        <v>0</v>
      </c>
      <c r="DA82" s="250" t="s">
        <v>612</v>
      </c>
      <c r="DB82" s="254">
        <v>0</v>
      </c>
      <c r="DC82" s="250" t="s">
        <v>612</v>
      </c>
      <c r="DD82" s="254">
        <v>0</v>
      </c>
      <c r="DE82" s="250" t="s">
        <v>612</v>
      </c>
      <c r="DF82" s="254">
        <v>0</v>
      </c>
      <c r="DG82" s="250" t="s">
        <v>612</v>
      </c>
      <c r="DH82" s="254">
        <v>0</v>
      </c>
      <c r="DI82" s="250" t="s">
        <v>612</v>
      </c>
      <c r="DJ82" s="254">
        <v>0</v>
      </c>
      <c r="DK82" s="250" t="s">
        <v>612</v>
      </c>
      <c r="DL82" s="254">
        <v>0</v>
      </c>
      <c r="DM82" s="250" t="s">
        <v>612</v>
      </c>
      <c r="DN82" s="254">
        <v>1</v>
      </c>
      <c r="DO82" s="250" t="s">
        <v>612</v>
      </c>
      <c r="DP82" s="254">
        <v>0</v>
      </c>
      <c r="DQ82" s="250" t="s">
        <v>612</v>
      </c>
      <c r="DR82" s="254">
        <v>0</v>
      </c>
      <c r="DS82" s="109"/>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9"/>
      <c r="EX82" s="109"/>
      <c r="EY82" s="109"/>
      <c r="EZ82" s="109"/>
      <c r="FA82" s="109"/>
      <c r="FB82" s="109"/>
      <c r="FC82" s="109"/>
      <c r="FD82" s="109"/>
      <c r="FE82" s="109"/>
      <c r="FF82" s="109"/>
      <c r="FG82" s="109"/>
      <c r="FH82" s="109"/>
      <c r="FI82" s="109"/>
      <c r="FJ82" s="109"/>
      <c r="FK82" s="109"/>
      <c r="FL82" s="109"/>
      <c r="FM82" s="109"/>
      <c r="FN82" s="109"/>
      <c r="FO82" s="109"/>
      <c r="FP82" s="109"/>
      <c r="FQ82" s="109"/>
      <c r="FR82" s="109"/>
      <c r="FS82" s="109"/>
      <c r="FT82" s="109"/>
      <c r="FU82" s="109"/>
      <c r="FV82" s="109"/>
      <c r="FW82" s="109"/>
      <c r="FX82" s="109"/>
      <c r="FY82" s="109"/>
      <c r="FZ82" s="109"/>
      <c r="GA82" s="109"/>
      <c r="GB82" s="109"/>
      <c r="GC82" s="109"/>
      <c r="GD82" s="109"/>
      <c r="GE82" s="109"/>
      <c r="GF82" s="109"/>
      <c r="GG82" s="109"/>
      <c r="GH82" s="109"/>
      <c r="GI82" s="109"/>
      <c r="GJ82" s="109"/>
      <c r="GK82" s="109"/>
      <c r="GL82" s="109"/>
      <c r="GM82" s="109"/>
      <c r="GN82" s="109"/>
      <c r="GO82" s="109"/>
      <c r="GP82" s="109"/>
      <c r="GQ82" s="109"/>
      <c r="GR82" s="109"/>
      <c r="GS82" s="109"/>
      <c r="GT82" s="109"/>
      <c r="GU82" s="109"/>
      <c r="GV82" s="109"/>
      <c r="GW82" s="109"/>
      <c r="GX82" s="109"/>
      <c r="GY82" s="109"/>
      <c r="GZ82" s="109"/>
      <c r="HA82" s="109"/>
      <c r="HB82" s="109"/>
      <c r="HC82" s="109"/>
      <c r="HD82" s="109"/>
      <c r="HE82" s="109"/>
      <c r="HF82" s="109"/>
      <c r="HG82" s="109"/>
      <c r="HH82" s="109"/>
      <c r="HI82" s="109"/>
      <c r="HJ82" s="109"/>
      <c r="HK82" s="109"/>
      <c r="HL82" s="109"/>
      <c r="HM82" s="109"/>
      <c r="HN82" s="109"/>
      <c r="HO82" s="109"/>
      <c r="HP82" s="109"/>
      <c r="HQ82" s="109"/>
      <c r="HR82" s="109"/>
      <c r="HS82" s="109"/>
      <c r="HT82" s="109"/>
      <c r="HU82" s="109"/>
      <c r="HV82" s="109"/>
      <c r="HW82" s="109"/>
      <c r="HX82" s="109"/>
      <c r="HY82" s="109"/>
      <c r="HZ82" s="109"/>
      <c r="IA82" s="109"/>
      <c r="IB82" s="109"/>
      <c r="IC82" s="109"/>
      <c r="ID82" s="109"/>
      <c r="IE82" s="109"/>
      <c r="IF82" s="109"/>
      <c r="IG82" s="109"/>
      <c r="IH82" s="109"/>
      <c r="II82" s="109"/>
      <c r="IJ82" s="109"/>
      <c r="IK82" s="109"/>
      <c r="IL82" s="109"/>
      <c r="IM82" s="109"/>
      <c r="IN82" s="109"/>
      <c r="IO82" s="109"/>
      <c r="IP82" s="109"/>
      <c r="IQ82" s="109"/>
      <c r="IR82" s="109"/>
      <c r="IS82" s="109"/>
      <c r="IT82" s="109"/>
      <c r="IU82" s="109"/>
      <c r="IV82" s="109"/>
      <c r="IW82" s="109"/>
      <c r="IX82" s="109"/>
      <c r="IY82" s="109"/>
      <c r="IZ82" s="109"/>
      <c r="JA82" s="109"/>
      <c r="JB82" s="109"/>
      <c r="JC82" s="109"/>
      <c r="JD82" s="109"/>
      <c r="JE82" s="109"/>
      <c r="JF82" s="109"/>
      <c r="JG82" s="109"/>
      <c r="JH82" s="109"/>
      <c r="JI82" s="109"/>
      <c r="JJ82" s="109"/>
      <c r="JK82" s="109"/>
      <c r="JL82" s="109"/>
      <c r="JM82" s="109"/>
      <c r="JN82" s="109"/>
      <c r="JO82" s="109"/>
      <c r="JP82" s="109"/>
      <c r="JQ82" s="109"/>
      <c r="JR82" s="109"/>
      <c r="JS82" s="109"/>
      <c r="JT82" s="109"/>
      <c r="JU82" s="109"/>
      <c r="JV82" s="109"/>
      <c r="JW82" s="109"/>
      <c r="JX82" s="109"/>
      <c r="JY82" s="109"/>
      <c r="JZ82" s="109"/>
      <c r="KA82" s="109"/>
      <c r="KB82" s="109"/>
      <c r="KC82" s="109"/>
      <c r="KD82" s="109"/>
      <c r="KE82" s="109"/>
      <c r="KF82" s="109"/>
      <c r="KG82" s="109"/>
      <c r="KH82" s="109"/>
      <c r="KI82" s="109"/>
      <c r="KJ82" s="109"/>
      <c r="KK82" s="109"/>
      <c r="KL82" s="109"/>
      <c r="KM82" s="109"/>
      <c r="KN82" s="109"/>
      <c r="KO82" s="109"/>
      <c r="KP82" s="109"/>
      <c r="KQ82" s="109"/>
      <c r="KR82" s="109"/>
      <c r="KS82" s="109"/>
      <c r="KT82" s="109"/>
      <c r="KU82" s="109"/>
      <c r="KV82" s="109"/>
      <c r="KW82" s="109"/>
      <c r="KX82" s="109"/>
      <c r="KY82" s="109"/>
      <c r="KZ82" s="109"/>
      <c r="LA82" s="109"/>
      <c r="LB82" s="109"/>
      <c r="LC82" s="109"/>
      <c r="LD82" s="109"/>
      <c r="LE82" s="109"/>
      <c r="LF82" s="109"/>
      <c r="LG82" s="109"/>
      <c r="LH82" s="109"/>
      <c r="LI82" s="109"/>
      <c r="LJ82" s="109"/>
      <c r="LK82" s="109"/>
      <c r="LL82" s="109"/>
      <c r="LM82" s="109"/>
      <c r="LN82" s="109"/>
      <c r="LO82" s="109"/>
      <c r="LP82" s="109"/>
      <c r="LQ82" s="109"/>
      <c r="LR82" s="109"/>
      <c r="LS82" s="109"/>
      <c r="LT82" s="109"/>
      <c r="LU82" s="109"/>
      <c r="LV82" s="109"/>
      <c r="LW82" s="109"/>
      <c r="LX82" s="109"/>
      <c r="LY82" s="109"/>
      <c r="LZ82" s="109"/>
      <c r="MA82" s="109"/>
      <c r="MB82" s="109"/>
      <c r="MC82" s="109"/>
      <c r="MD82" s="109"/>
      <c r="ME82" s="109"/>
      <c r="MF82" s="109"/>
      <c r="MG82" s="109"/>
      <c r="MH82" s="150"/>
      <c r="MI82" s="109"/>
      <c r="MJ82" s="109"/>
      <c r="MK82" s="109"/>
      <c r="ML82" s="109"/>
      <c r="MM82" s="109"/>
      <c r="MN82" s="109"/>
      <c r="MO82" s="109"/>
      <c r="MP82" s="109"/>
      <c r="MQ82" s="109"/>
      <c r="MR82" s="109"/>
      <c r="MS82" s="109"/>
      <c r="MT82" s="109"/>
      <c r="MU82" s="109"/>
      <c r="MV82" s="109"/>
      <c r="MW82" s="109"/>
      <c r="MX82" s="109"/>
      <c r="MY82" s="109"/>
      <c r="MZ82" s="109"/>
      <c r="NA82" s="109"/>
      <c r="NB82" s="109"/>
    </row>
    <row r="83" spans="1:366" s="261" customFormat="1" x14ac:dyDescent="0.25">
      <c r="A83" s="113">
        <v>0</v>
      </c>
      <c r="B83" s="161" t="s">
        <v>627</v>
      </c>
      <c r="C83" s="250" t="s">
        <v>615</v>
      </c>
      <c r="D83" s="254">
        <v>0</v>
      </c>
      <c r="E83" s="250" t="s">
        <v>615</v>
      </c>
      <c r="F83" s="254">
        <v>0</v>
      </c>
      <c r="G83" s="250" t="s">
        <v>615</v>
      </c>
      <c r="H83" s="254">
        <v>3.6691547593563724E-2</v>
      </c>
      <c r="I83" s="250" t="s">
        <v>615</v>
      </c>
      <c r="J83" s="254">
        <v>0</v>
      </c>
      <c r="K83" s="250" t="s">
        <v>615</v>
      </c>
      <c r="L83" s="254">
        <v>0</v>
      </c>
      <c r="M83" s="250" t="s">
        <v>615</v>
      </c>
      <c r="N83" s="254">
        <v>0</v>
      </c>
      <c r="O83" s="250" t="s">
        <v>615</v>
      </c>
      <c r="P83" s="254">
        <v>0</v>
      </c>
      <c r="Q83" s="250" t="s">
        <v>615</v>
      </c>
      <c r="R83" s="254">
        <v>0</v>
      </c>
      <c r="S83" s="250" t="s">
        <v>615</v>
      </c>
      <c r="T83" s="254">
        <v>0</v>
      </c>
      <c r="U83" s="250" t="s">
        <v>615</v>
      </c>
      <c r="V83" s="254">
        <v>1.3845079648147343E-2</v>
      </c>
      <c r="W83" s="250" t="s">
        <v>615</v>
      </c>
      <c r="X83" s="254">
        <v>2.0888401754149539E-2</v>
      </c>
      <c r="Y83" s="250" t="s">
        <v>615</v>
      </c>
      <c r="Z83" s="254">
        <v>0</v>
      </c>
      <c r="AA83" s="250" t="s">
        <v>615</v>
      </c>
      <c r="AB83" s="254">
        <v>0</v>
      </c>
      <c r="AC83" s="250" t="s">
        <v>615</v>
      </c>
      <c r="AD83" s="254">
        <v>0</v>
      </c>
      <c r="AE83" s="250" t="s">
        <v>615</v>
      </c>
      <c r="AF83" s="254">
        <v>0</v>
      </c>
      <c r="AG83" s="250" t="s">
        <v>615</v>
      </c>
      <c r="AH83" s="254">
        <v>0</v>
      </c>
      <c r="AI83" s="250" t="s">
        <v>615</v>
      </c>
      <c r="AJ83" s="254">
        <v>0</v>
      </c>
      <c r="AK83" s="250" t="s">
        <v>615</v>
      </c>
      <c r="AL83" s="254">
        <v>0</v>
      </c>
      <c r="AM83" s="250" t="s">
        <v>615</v>
      </c>
      <c r="AN83" s="254">
        <v>0</v>
      </c>
      <c r="AO83" s="250" t="s">
        <v>615</v>
      </c>
      <c r="AP83" s="254">
        <v>0</v>
      </c>
      <c r="AQ83" s="250" t="s">
        <v>615</v>
      </c>
      <c r="AR83" s="254">
        <v>0</v>
      </c>
      <c r="AS83" s="250" t="s">
        <v>615</v>
      </c>
      <c r="AT83" s="254">
        <v>0</v>
      </c>
      <c r="AU83" s="250" t="s">
        <v>615</v>
      </c>
      <c r="AV83" s="254">
        <v>1.3304766250004726E-2</v>
      </c>
      <c r="AW83" s="250" t="s">
        <v>615</v>
      </c>
      <c r="AX83" s="254">
        <v>0</v>
      </c>
      <c r="AY83" s="250" t="s">
        <v>615</v>
      </c>
      <c r="AZ83" s="254">
        <v>0</v>
      </c>
      <c r="BA83" s="250" t="s">
        <v>615</v>
      </c>
      <c r="BB83" s="254">
        <v>5.9151179607628342E-4</v>
      </c>
      <c r="BC83" s="250" t="s">
        <v>615</v>
      </c>
      <c r="BD83" s="254">
        <v>1.3845079648147343E-2</v>
      </c>
      <c r="BE83" s="250" t="s">
        <v>615</v>
      </c>
      <c r="BF83" s="254">
        <v>0</v>
      </c>
      <c r="BG83" s="250" t="s">
        <v>615</v>
      </c>
      <c r="BH83" s="254">
        <v>8.3305051893593617E-3</v>
      </c>
      <c r="BI83" s="250" t="s">
        <v>615</v>
      </c>
      <c r="BJ83" s="254">
        <v>0</v>
      </c>
      <c r="BK83" s="250" t="s">
        <v>615</v>
      </c>
      <c r="BL83" s="254">
        <v>0</v>
      </c>
      <c r="BM83" s="250" t="s">
        <v>615</v>
      </c>
      <c r="BN83" s="254">
        <v>2.5015948433080252E-3</v>
      </c>
      <c r="BO83" s="250" t="s">
        <v>615</v>
      </c>
      <c r="BP83" s="254">
        <v>1.2618211204101996E-2</v>
      </c>
      <c r="BQ83" s="250" t="s">
        <v>615</v>
      </c>
      <c r="BR83" s="254">
        <v>8.3530253069600169E-4</v>
      </c>
      <c r="BS83" s="250" t="s">
        <v>615</v>
      </c>
      <c r="BT83" s="254">
        <v>5.4572301836153464E-3</v>
      </c>
      <c r="BU83" s="250" t="s">
        <v>615</v>
      </c>
      <c r="BV83" s="254">
        <v>0</v>
      </c>
      <c r="BW83" s="250" t="s">
        <v>615</v>
      </c>
      <c r="BX83" s="254">
        <v>2.2665801790239134E-2</v>
      </c>
      <c r="BY83" s="250" t="s">
        <v>615</v>
      </c>
      <c r="BZ83" s="254">
        <v>6.6238512250414725E-3</v>
      </c>
      <c r="CA83" s="250" t="s">
        <v>615</v>
      </c>
      <c r="CB83" s="254">
        <v>0</v>
      </c>
      <c r="CC83" s="250" t="s">
        <v>615</v>
      </c>
      <c r="CD83" s="254">
        <v>2.2665801790239134E-2</v>
      </c>
      <c r="CE83" s="250" t="s">
        <v>615</v>
      </c>
      <c r="CF83" s="254">
        <v>6.6238512250414725E-3</v>
      </c>
      <c r="CG83" s="250" t="s">
        <v>615</v>
      </c>
      <c r="CH83" s="254">
        <v>0</v>
      </c>
      <c r="CI83" s="250" t="s">
        <v>615</v>
      </c>
      <c r="CJ83" s="254">
        <v>2.2665801790239134E-2</v>
      </c>
      <c r="CK83" s="250" t="s">
        <v>615</v>
      </c>
      <c r="CL83" s="254">
        <v>6.6238512250414725E-3</v>
      </c>
      <c r="CM83" s="250" t="s">
        <v>615</v>
      </c>
      <c r="CN83" s="254">
        <v>0</v>
      </c>
      <c r="CO83" s="250" t="s">
        <v>615</v>
      </c>
      <c r="CP83" s="254">
        <v>0</v>
      </c>
      <c r="CQ83" s="250" t="s">
        <v>615</v>
      </c>
      <c r="CR83" s="254">
        <v>0</v>
      </c>
      <c r="CS83" s="250" t="s">
        <v>615</v>
      </c>
      <c r="CT83" s="254">
        <v>0</v>
      </c>
      <c r="CU83" s="250" t="s">
        <v>615</v>
      </c>
      <c r="CV83" s="254">
        <v>0</v>
      </c>
      <c r="CW83" s="250" t="s">
        <v>615</v>
      </c>
      <c r="CX83" s="254">
        <v>0</v>
      </c>
      <c r="CY83" s="250" t="s">
        <v>615</v>
      </c>
      <c r="CZ83" s="254">
        <v>0</v>
      </c>
      <c r="DA83" s="250" t="s">
        <v>615</v>
      </c>
      <c r="DB83" s="254">
        <v>0</v>
      </c>
      <c r="DC83" s="250" t="s">
        <v>615</v>
      </c>
      <c r="DD83" s="254">
        <v>0</v>
      </c>
      <c r="DE83" s="250" t="s">
        <v>615</v>
      </c>
      <c r="DF83" s="254">
        <v>0</v>
      </c>
      <c r="DG83" s="250" t="s">
        <v>615</v>
      </c>
      <c r="DH83" s="254">
        <v>0</v>
      </c>
      <c r="DI83" s="250" t="s">
        <v>615</v>
      </c>
      <c r="DJ83" s="254">
        <v>0</v>
      </c>
      <c r="DK83" s="250" t="s">
        <v>615</v>
      </c>
      <c r="DL83" s="254">
        <v>0</v>
      </c>
      <c r="DM83" s="250" t="s">
        <v>615</v>
      </c>
      <c r="DN83" s="254">
        <v>1.0973455019087039E-2</v>
      </c>
      <c r="DO83" s="250" t="s">
        <v>615</v>
      </c>
      <c r="DP83" s="254">
        <v>0</v>
      </c>
      <c r="DQ83" s="250" t="s">
        <v>615</v>
      </c>
      <c r="DR83" s="254">
        <v>0</v>
      </c>
      <c r="DS83" s="109"/>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9"/>
      <c r="EX83" s="109"/>
      <c r="EY83" s="109"/>
      <c r="EZ83" s="109"/>
      <c r="FA83" s="109"/>
      <c r="FB83" s="109"/>
      <c r="FC83" s="109"/>
      <c r="FD83" s="109"/>
      <c r="FE83" s="109"/>
      <c r="FF83" s="109"/>
      <c r="FG83" s="109"/>
      <c r="FH83" s="109"/>
      <c r="FI83" s="109"/>
      <c r="FJ83" s="109"/>
      <c r="FK83" s="109"/>
      <c r="FL83" s="109"/>
      <c r="FM83" s="109"/>
      <c r="FN83" s="109"/>
      <c r="FO83" s="109"/>
      <c r="FP83" s="109"/>
      <c r="FQ83" s="109"/>
      <c r="FR83" s="109"/>
      <c r="FS83" s="109"/>
      <c r="FT83" s="109"/>
      <c r="FU83" s="109"/>
      <c r="FV83" s="109"/>
      <c r="FW83" s="109"/>
      <c r="FX83" s="109"/>
      <c r="FY83" s="109"/>
      <c r="FZ83" s="109"/>
      <c r="GA83" s="109"/>
      <c r="GB83" s="109"/>
      <c r="GC83" s="109"/>
      <c r="GD83" s="109"/>
      <c r="GE83" s="109"/>
      <c r="GF83" s="109"/>
      <c r="GG83" s="109"/>
      <c r="GH83" s="109"/>
      <c r="GI83" s="109"/>
      <c r="GJ83" s="109"/>
      <c r="GK83" s="109"/>
      <c r="GL83" s="109"/>
      <c r="GM83" s="109"/>
      <c r="GN83" s="109"/>
      <c r="GO83" s="109"/>
      <c r="GP83" s="109"/>
      <c r="GQ83" s="109"/>
      <c r="GR83" s="109"/>
      <c r="GS83" s="109"/>
      <c r="GT83" s="109"/>
      <c r="GU83" s="109"/>
      <c r="GV83" s="109"/>
      <c r="GW83" s="109"/>
      <c r="GX83" s="109"/>
      <c r="GY83" s="109"/>
      <c r="GZ83" s="109"/>
      <c r="HA83" s="109"/>
      <c r="HB83" s="109"/>
      <c r="HC83" s="109"/>
      <c r="HD83" s="109"/>
      <c r="HE83" s="109"/>
      <c r="HF83" s="109"/>
      <c r="HG83" s="109"/>
      <c r="HH83" s="109"/>
      <c r="HI83" s="109"/>
      <c r="HJ83" s="109"/>
      <c r="HK83" s="109"/>
      <c r="HL83" s="109"/>
      <c r="HM83" s="109"/>
      <c r="HN83" s="109"/>
      <c r="HO83" s="109"/>
      <c r="HP83" s="109"/>
      <c r="HQ83" s="109"/>
      <c r="HR83" s="109"/>
      <c r="HS83" s="109"/>
      <c r="HT83" s="109"/>
      <c r="HU83" s="109"/>
      <c r="HV83" s="109"/>
      <c r="HW83" s="109"/>
      <c r="HX83" s="109"/>
      <c r="HY83" s="109"/>
      <c r="HZ83" s="109"/>
      <c r="IA83" s="109"/>
      <c r="IB83" s="109"/>
      <c r="IC83" s="109"/>
      <c r="ID83" s="109"/>
      <c r="IE83" s="109"/>
      <c r="IF83" s="109"/>
      <c r="IG83" s="109"/>
      <c r="IH83" s="109"/>
      <c r="II83" s="109"/>
      <c r="IJ83" s="109"/>
      <c r="IK83" s="109"/>
      <c r="IL83" s="109"/>
      <c r="IM83" s="109"/>
      <c r="IN83" s="109"/>
      <c r="IO83" s="109"/>
      <c r="IP83" s="109"/>
      <c r="IQ83" s="109"/>
      <c r="IR83" s="109"/>
      <c r="IS83" s="109"/>
      <c r="IT83" s="109"/>
      <c r="IU83" s="109"/>
      <c r="IV83" s="109"/>
      <c r="IW83" s="109"/>
      <c r="IX83" s="109"/>
      <c r="IY83" s="109"/>
      <c r="IZ83" s="109"/>
      <c r="JA83" s="109"/>
      <c r="JB83" s="109"/>
      <c r="JC83" s="109"/>
      <c r="JD83" s="109"/>
      <c r="JE83" s="109"/>
      <c r="JF83" s="109"/>
      <c r="JG83" s="109"/>
      <c r="JH83" s="109"/>
      <c r="JI83" s="109"/>
      <c r="JJ83" s="109"/>
      <c r="JK83" s="109"/>
      <c r="JL83" s="109"/>
      <c r="JM83" s="109"/>
      <c r="JN83" s="109"/>
      <c r="JO83" s="109"/>
      <c r="JP83" s="109"/>
      <c r="JQ83" s="109"/>
      <c r="JR83" s="109"/>
      <c r="JS83" s="109"/>
      <c r="JT83" s="109"/>
      <c r="JU83" s="109"/>
      <c r="JV83" s="109"/>
      <c r="JW83" s="109"/>
      <c r="JX83" s="109"/>
      <c r="JY83" s="109"/>
      <c r="JZ83" s="109"/>
      <c r="KA83" s="109"/>
      <c r="KB83" s="109"/>
      <c r="KC83" s="109"/>
      <c r="KD83" s="109"/>
      <c r="KE83" s="109"/>
      <c r="KF83" s="109"/>
      <c r="KG83" s="109"/>
      <c r="KH83" s="109"/>
      <c r="KI83" s="109"/>
      <c r="KJ83" s="109"/>
      <c r="KK83" s="109"/>
      <c r="KL83" s="109"/>
      <c r="KM83" s="109"/>
      <c r="KN83" s="109"/>
      <c r="KO83" s="109"/>
      <c r="KP83" s="109"/>
      <c r="KQ83" s="109"/>
      <c r="KR83" s="109"/>
      <c r="KS83" s="109"/>
      <c r="KT83" s="109"/>
      <c r="KU83" s="109"/>
      <c r="KV83" s="109"/>
      <c r="KW83" s="109"/>
      <c r="KX83" s="109"/>
      <c r="KY83" s="109"/>
      <c r="KZ83" s="109"/>
      <c r="LA83" s="109"/>
      <c r="LB83" s="109"/>
      <c r="LC83" s="109"/>
      <c r="LD83" s="109"/>
      <c r="LE83" s="109"/>
      <c r="LF83" s="109"/>
      <c r="LG83" s="109"/>
      <c r="LH83" s="109"/>
      <c r="LI83" s="109"/>
      <c r="LJ83" s="109"/>
      <c r="LK83" s="109"/>
      <c r="LL83" s="109"/>
      <c r="LM83" s="109"/>
      <c r="LN83" s="109"/>
      <c r="LO83" s="109"/>
      <c r="LP83" s="109"/>
      <c r="LQ83" s="109"/>
      <c r="LR83" s="109"/>
      <c r="LS83" s="109"/>
      <c r="LT83" s="109"/>
      <c r="LU83" s="109"/>
      <c r="LV83" s="109"/>
      <c r="LW83" s="109"/>
      <c r="LX83" s="109"/>
      <c r="LY83" s="109"/>
      <c r="LZ83" s="109"/>
      <c r="MA83" s="109"/>
      <c r="MB83" s="109"/>
      <c r="MC83" s="109"/>
      <c r="MD83" s="109"/>
      <c r="ME83" s="109"/>
      <c r="MF83" s="109"/>
      <c r="MG83" s="109"/>
      <c r="MH83" s="150"/>
      <c r="MI83" s="109"/>
      <c r="MJ83" s="109"/>
      <c r="MK83" s="109"/>
      <c r="ML83" s="109"/>
      <c r="MM83" s="109"/>
      <c r="MN83" s="109"/>
      <c r="MO83" s="109"/>
      <c r="MP83" s="109"/>
      <c r="MQ83" s="109"/>
      <c r="MR83" s="109"/>
      <c r="MS83" s="109"/>
      <c r="MT83" s="109"/>
      <c r="MU83" s="109"/>
      <c r="MV83" s="109"/>
      <c r="MW83" s="109"/>
      <c r="MX83" s="109"/>
      <c r="MY83" s="109"/>
      <c r="MZ83" s="109"/>
      <c r="NA83" s="109"/>
      <c r="NB83" s="109"/>
    </row>
    <row r="84" spans="1:366" s="261" customFormat="1" x14ac:dyDescent="0.25">
      <c r="A84" s="113">
        <v>0</v>
      </c>
      <c r="B84" s="161" t="s">
        <v>628</v>
      </c>
      <c r="C84" s="250" t="s">
        <v>610</v>
      </c>
      <c r="D84" s="254">
        <v>0</v>
      </c>
      <c r="E84" s="250" t="s">
        <v>610</v>
      </c>
      <c r="F84" s="254">
        <v>0</v>
      </c>
      <c r="G84" s="250" t="s">
        <v>610</v>
      </c>
      <c r="H84" s="254">
        <v>9.7606625984568721E-2</v>
      </c>
      <c r="I84" s="250" t="s">
        <v>610</v>
      </c>
      <c r="J84" s="254">
        <v>0.67383680974182991</v>
      </c>
      <c r="K84" s="250" t="s">
        <v>610</v>
      </c>
      <c r="L84" s="254">
        <v>0</v>
      </c>
      <c r="M84" s="250" t="s">
        <v>610</v>
      </c>
      <c r="N84" s="254">
        <v>0</v>
      </c>
      <c r="O84" s="250" t="s">
        <v>610</v>
      </c>
      <c r="P84" s="254">
        <v>0</v>
      </c>
      <c r="Q84" s="250" t="s">
        <v>610</v>
      </c>
      <c r="R84" s="254">
        <v>0</v>
      </c>
      <c r="S84" s="250" t="s">
        <v>610</v>
      </c>
      <c r="T84" s="254">
        <v>0</v>
      </c>
      <c r="U84" s="250" t="s">
        <v>610</v>
      </c>
      <c r="V84" s="254">
        <v>6.2431161669612892E-2</v>
      </c>
      <c r="W84" s="250" t="s">
        <v>610</v>
      </c>
      <c r="X84" s="254">
        <v>0.46257164570025916</v>
      </c>
      <c r="Y84" s="250" t="s">
        <v>610</v>
      </c>
      <c r="Z84" s="254">
        <v>0.57909957510244625</v>
      </c>
      <c r="AA84" s="250" t="s">
        <v>610</v>
      </c>
      <c r="AB84" s="254">
        <v>0</v>
      </c>
      <c r="AC84" s="250" t="s">
        <v>610</v>
      </c>
      <c r="AD84" s="254">
        <v>0</v>
      </c>
      <c r="AE84" s="250" t="s">
        <v>610</v>
      </c>
      <c r="AF84" s="254">
        <v>0</v>
      </c>
      <c r="AG84" s="250" t="s">
        <v>610</v>
      </c>
      <c r="AH84" s="254">
        <v>0</v>
      </c>
      <c r="AI84" s="250" t="s">
        <v>610</v>
      </c>
      <c r="AJ84" s="254">
        <v>0</v>
      </c>
      <c r="AK84" s="250" t="s">
        <v>610</v>
      </c>
      <c r="AL84" s="254">
        <v>0</v>
      </c>
      <c r="AM84" s="250" t="s">
        <v>610</v>
      </c>
      <c r="AN84" s="254">
        <v>0</v>
      </c>
      <c r="AO84" s="250" t="s">
        <v>610</v>
      </c>
      <c r="AP84" s="254">
        <v>0</v>
      </c>
      <c r="AQ84" s="250" t="s">
        <v>610</v>
      </c>
      <c r="AR84" s="254">
        <v>0</v>
      </c>
      <c r="AS84" s="250" t="s">
        <v>610</v>
      </c>
      <c r="AT84" s="254">
        <v>0</v>
      </c>
      <c r="AU84" s="250" t="s">
        <v>610</v>
      </c>
      <c r="AV84" s="254">
        <v>0.37525534107543795</v>
      </c>
      <c r="AW84" s="250" t="s">
        <v>610</v>
      </c>
      <c r="AX84" s="254">
        <v>0.46810665154205489</v>
      </c>
      <c r="AY84" s="250" t="s">
        <v>610</v>
      </c>
      <c r="AZ84" s="254">
        <v>0</v>
      </c>
      <c r="BA84" s="250" t="s">
        <v>610</v>
      </c>
      <c r="BB84" s="254">
        <v>4.9394629287269698E-3</v>
      </c>
      <c r="BC84" s="250" t="s">
        <v>610</v>
      </c>
      <c r="BD84" s="254">
        <v>6.2431161669612892E-2</v>
      </c>
      <c r="BE84" s="250" t="s">
        <v>610</v>
      </c>
      <c r="BF84" s="254">
        <v>0.60407890148212151</v>
      </c>
      <c r="BG84" s="250" t="s">
        <v>610</v>
      </c>
      <c r="BH84" s="254">
        <v>0.60816090602607686</v>
      </c>
      <c r="BI84" s="250" t="s">
        <v>610</v>
      </c>
      <c r="BJ84" s="254">
        <v>0</v>
      </c>
      <c r="BK84" s="250" t="s">
        <v>610</v>
      </c>
      <c r="BL84" s="254">
        <v>8.452115888823776E-2</v>
      </c>
      <c r="BM84" s="250" t="s">
        <v>610</v>
      </c>
      <c r="BN84" s="254">
        <v>0.54683266073880277</v>
      </c>
      <c r="BO84" s="250" t="s">
        <v>610</v>
      </c>
      <c r="BP84" s="254">
        <v>2.3737604524555495E-2</v>
      </c>
      <c r="BQ84" s="250" t="s">
        <v>610</v>
      </c>
      <c r="BR84" s="254">
        <v>2.5426058302374286E-3</v>
      </c>
      <c r="BS84" s="250" t="s">
        <v>610</v>
      </c>
      <c r="BT84" s="254">
        <v>3.3247460982843689E-3</v>
      </c>
      <c r="BU84" s="250" t="s">
        <v>610</v>
      </c>
      <c r="BV84" s="254">
        <v>0</v>
      </c>
      <c r="BW84" s="250" t="s">
        <v>610</v>
      </c>
      <c r="BX84" s="254">
        <v>8.0581024128343892E-2</v>
      </c>
      <c r="BY84" s="250" t="s">
        <v>610</v>
      </c>
      <c r="BZ84" s="254">
        <v>0.62313520149782575</v>
      </c>
      <c r="CA84" s="250" t="s">
        <v>610</v>
      </c>
      <c r="CB84" s="254">
        <v>0</v>
      </c>
      <c r="CC84" s="250" t="s">
        <v>610</v>
      </c>
      <c r="CD84" s="254">
        <v>8.0581024128343892E-2</v>
      </c>
      <c r="CE84" s="250" t="s">
        <v>610</v>
      </c>
      <c r="CF84" s="254">
        <v>0.62313520149782575</v>
      </c>
      <c r="CG84" s="250" t="s">
        <v>610</v>
      </c>
      <c r="CH84" s="254">
        <v>0</v>
      </c>
      <c r="CI84" s="250" t="s">
        <v>610</v>
      </c>
      <c r="CJ84" s="254">
        <v>8.0581024128343892E-2</v>
      </c>
      <c r="CK84" s="250" t="s">
        <v>610</v>
      </c>
      <c r="CL84" s="254">
        <v>0.62313520149782575</v>
      </c>
      <c r="CM84" s="250" t="s">
        <v>610</v>
      </c>
      <c r="CN84" s="254">
        <v>0</v>
      </c>
      <c r="CO84" s="250" t="s">
        <v>610</v>
      </c>
      <c r="CP84" s="254">
        <v>0</v>
      </c>
      <c r="CQ84" s="250" t="s">
        <v>610</v>
      </c>
      <c r="CR84" s="254">
        <v>0</v>
      </c>
      <c r="CS84" s="250" t="s">
        <v>610</v>
      </c>
      <c r="CT84" s="254">
        <v>0</v>
      </c>
      <c r="CU84" s="250" t="s">
        <v>610</v>
      </c>
      <c r="CV84" s="254">
        <v>0</v>
      </c>
      <c r="CW84" s="250" t="s">
        <v>610</v>
      </c>
      <c r="CX84" s="254">
        <v>0</v>
      </c>
      <c r="CY84" s="250" t="s">
        <v>610</v>
      </c>
      <c r="CZ84" s="254">
        <v>0</v>
      </c>
      <c r="DA84" s="250" t="s">
        <v>610</v>
      </c>
      <c r="DB84" s="254">
        <v>0</v>
      </c>
      <c r="DC84" s="250" t="s">
        <v>610</v>
      </c>
      <c r="DD84" s="254">
        <v>0</v>
      </c>
      <c r="DE84" s="250" t="s">
        <v>610</v>
      </c>
      <c r="DF84" s="254">
        <v>0</v>
      </c>
      <c r="DG84" s="250" t="s">
        <v>610</v>
      </c>
      <c r="DH84" s="254">
        <v>0</v>
      </c>
      <c r="DI84" s="250" t="s">
        <v>610</v>
      </c>
      <c r="DJ84" s="254">
        <v>0</v>
      </c>
      <c r="DK84" s="250" t="s">
        <v>610</v>
      </c>
      <c r="DL84" s="254">
        <v>0</v>
      </c>
      <c r="DM84" s="250" t="s">
        <v>610</v>
      </c>
      <c r="DN84" s="254">
        <v>0.20963643275769156</v>
      </c>
      <c r="DO84" s="250" t="s">
        <v>610</v>
      </c>
      <c r="DP84" s="254">
        <v>0</v>
      </c>
      <c r="DQ84" s="250" t="s">
        <v>610</v>
      </c>
      <c r="DR84" s="254">
        <v>0</v>
      </c>
      <c r="DS84" s="109"/>
      <c r="DT84" s="109"/>
      <c r="DU84" s="109"/>
      <c r="DV84" s="109"/>
      <c r="DW84" s="109"/>
      <c r="DX84" s="109"/>
      <c r="DY84" s="109"/>
      <c r="DZ84" s="109"/>
      <c r="EA84" s="109"/>
      <c r="EB84" s="109"/>
      <c r="EC84" s="109"/>
      <c r="ED84" s="109"/>
      <c r="EE84" s="109"/>
      <c r="EF84" s="109"/>
      <c r="EG84" s="109"/>
      <c r="EH84" s="109"/>
      <c r="EI84" s="109"/>
      <c r="EJ84" s="109"/>
      <c r="EK84" s="109"/>
      <c r="EL84" s="109"/>
      <c r="EM84" s="109"/>
      <c r="EN84" s="109"/>
      <c r="EO84" s="109"/>
      <c r="EP84" s="109"/>
      <c r="EQ84" s="109"/>
      <c r="ER84" s="109"/>
      <c r="ES84" s="109"/>
      <c r="ET84" s="109"/>
      <c r="EU84" s="109"/>
      <c r="EV84" s="109"/>
      <c r="EW84" s="109"/>
      <c r="EX84" s="109"/>
      <c r="EY84" s="109"/>
      <c r="EZ84" s="109"/>
      <c r="FA84" s="109"/>
      <c r="FB84" s="109"/>
      <c r="FC84" s="109"/>
      <c r="FD84" s="109"/>
      <c r="FE84" s="109"/>
      <c r="FF84" s="109"/>
      <c r="FG84" s="109"/>
      <c r="FH84" s="109"/>
      <c r="FI84" s="109"/>
      <c r="FJ84" s="109"/>
      <c r="FK84" s="109"/>
      <c r="FL84" s="109"/>
      <c r="FM84" s="109"/>
      <c r="FN84" s="109"/>
      <c r="FO84" s="109"/>
      <c r="FP84" s="109"/>
      <c r="FQ84" s="109"/>
      <c r="FR84" s="109"/>
      <c r="FS84" s="109"/>
      <c r="FT84" s="109"/>
      <c r="FU84" s="109"/>
      <c r="FV84" s="109"/>
      <c r="FW84" s="109"/>
      <c r="FX84" s="109"/>
      <c r="FY84" s="109"/>
      <c r="FZ84" s="109"/>
      <c r="GA84" s="109"/>
      <c r="GB84" s="109"/>
      <c r="GC84" s="109"/>
      <c r="GD84" s="109"/>
      <c r="GE84" s="109"/>
      <c r="GF84" s="109"/>
      <c r="GG84" s="109"/>
      <c r="GH84" s="109"/>
      <c r="GI84" s="109"/>
      <c r="GJ84" s="109"/>
      <c r="GK84" s="109"/>
      <c r="GL84" s="109"/>
      <c r="GM84" s="109"/>
      <c r="GN84" s="109"/>
      <c r="GO84" s="109"/>
      <c r="GP84" s="109"/>
      <c r="GQ84" s="109"/>
      <c r="GR84" s="109"/>
      <c r="GS84" s="109"/>
      <c r="GT84" s="109"/>
      <c r="GU84" s="109"/>
      <c r="GV84" s="109"/>
      <c r="GW84" s="109"/>
      <c r="GX84" s="109"/>
      <c r="GY84" s="109"/>
      <c r="GZ84" s="109"/>
      <c r="HA84" s="109"/>
      <c r="HB84" s="109"/>
      <c r="HC84" s="109"/>
      <c r="HD84" s="109"/>
      <c r="HE84" s="109"/>
      <c r="HF84" s="109"/>
      <c r="HG84" s="109"/>
      <c r="HH84" s="109"/>
      <c r="HI84" s="109"/>
      <c r="HJ84" s="109"/>
      <c r="HK84" s="109"/>
      <c r="HL84" s="109"/>
      <c r="HM84" s="109"/>
      <c r="HN84" s="109"/>
      <c r="HO84" s="109"/>
      <c r="HP84" s="109"/>
      <c r="HQ84" s="109"/>
      <c r="HR84" s="109"/>
      <c r="HS84" s="109"/>
      <c r="HT84" s="109"/>
      <c r="HU84" s="109"/>
      <c r="HV84" s="109"/>
      <c r="HW84" s="109"/>
      <c r="HX84" s="109"/>
      <c r="HY84" s="109"/>
      <c r="HZ84" s="109"/>
      <c r="IA84" s="109"/>
      <c r="IB84" s="109"/>
      <c r="IC84" s="109"/>
      <c r="ID84" s="109"/>
      <c r="IE84" s="109"/>
      <c r="IF84" s="109"/>
      <c r="IG84" s="109"/>
      <c r="IH84" s="109"/>
      <c r="II84" s="109"/>
      <c r="IJ84" s="109"/>
      <c r="IK84" s="109"/>
      <c r="IL84" s="109"/>
      <c r="IM84" s="109"/>
      <c r="IN84" s="109"/>
      <c r="IO84" s="109"/>
      <c r="IP84" s="109"/>
      <c r="IQ84" s="109"/>
      <c r="IR84" s="109"/>
      <c r="IS84" s="109"/>
      <c r="IT84" s="109"/>
      <c r="IU84" s="109"/>
      <c r="IV84" s="109"/>
      <c r="IW84" s="109"/>
      <c r="IX84" s="109"/>
      <c r="IY84" s="109"/>
      <c r="IZ84" s="109"/>
      <c r="JA84" s="109"/>
      <c r="JB84" s="109"/>
      <c r="JC84" s="109"/>
      <c r="JD84" s="109"/>
      <c r="JE84" s="109"/>
      <c r="JF84" s="109"/>
      <c r="JG84" s="109"/>
      <c r="JH84" s="109"/>
      <c r="JI84" s="109"/>
      <c r="JJ84" s="109"/>
      <c r="JK84" s="109"/>
      <c r="JL84" s="109"/>
      <c r="JM84" s="109"/>
      <c r="JN84" s="109"/>
      <c r="JO84" s="109"/>
      <c r="JP84" s="109"/>
      <c r="JQ84" s="109"/>
      <c r="JR84" s="109"/>
      <c r="JS84" s="109"/>
      <c r="JT84" s="109"/>
      <c r="JU84" s="109"/>
      <c r="JV84" s="109"/>
      <c r="JW84" s="109"/>
      <c r="JX84" s="109"/>
      <c r="JY84" s="109"/>
      <c r="JZ84" s="109"/>
      <c r="KA84" s="109"/>
      <c r="KB84" s="109"/>
      <c r="KC84" s="109"/>
      <c r="KD84" s="109"/>
      <c r="KE84" s="109"/>
      <c r="KF84" s="109"/>
      <c r="KG84" s="109"/>
      <c r="KH84" s="109"/>
      <c r="KI84" s="109"/>
      <c r="KJ84" s="109"/>
      <c r="KK84" s="109"/>
      <c r="KL84" s="109"/>
      <c r="KM84" s="109"/>
      <c r="KN84" s="109"/>
      <c r="KO84" s="109"/>
      <c r="KP84" s="109"/>
      <c r="KQ84" s="109"/>
      <c r="KR84" s="109"/>
      <c r="KS84" s="109"/>
      <c r="KT84" s="109"/>
      <c r="KU84" s="109"/>
      <c r="KV84" s="109"/>
      <c r="KW84" s="109"/>
      <c r="KX84" s="109"/>
      <c r="KY84" s="109"/>
      <c r="KZ84" s="109"/>
      <c r="LA84" s="109"/>
      <c r="LB84" s="109"/>
      <c r="LC84" s="109"/>
      <c r="LD84" s="109"/>
      <c r="LE84" s="109"/>
      <c r="LF84" s="109"/>
      <c r="LG84" s="109"/>
      <c r="LH84" s="109"/>
      <c r="LI84" s="109"/>
      <c r="LJ84" s="109"/>
      <c r="LK84" s="109"/>
      <c r="LL84" s="109"/>
      <c r="LM84" s="109"/>
      <c r="LN84" s="109"/>
      <c r="LO84" s="109"/>
      <c r="LP84" s="109"/>
      <c r="LQ84" s="109"/>
      <c r="LR84" s="109"/>
      <c r="LS84" s="109"/>
      <c r="LT84" s="109"/>
      <c r="LU84" s="109"/>
      <c r="LV84" s="109"/>
      <c r="LW84" s="109"/>
      <c r="LX84" s="109"/>
      <c r="LY84" s="109"/>
      <c r="LZ84" s="109"/>
      <c r="MA84" s="109"/>
      <c r="MB84" s="109"/>
      <c r="MC84" s="109"/>
      <c r="MD84" s="109"/>
      <c r="ME84" s="109"/>
      <c r="MF84" s="109"/>
      <c r="MG84" s="109"/>
      <c r="MH84" s="150"/>
      <c r="MI84" s="109"/>
      <c r="MJ84" s="109"/>
      <c r="MK84" s="109"/>
      <c r="ML84" s="109"/>
      <c r="MM84" s="109"/>
      <c r="MN84" s="109"/>
      <c r="MO84" s="109"/>
      <c r="MP84" s="109"/>
      <c r="MQ84" s="109"/>
      <c r="MR84" s="109"/>
      <c r="MS84" s="109"/>
      <c r="MT84" s="109"/>
      <c r="MU84" s="109"/>
      <c r="MV84" s="109"/>
      <c r="MW84" s="109"/>
      <c r="MX84" s="109"/>
      <c r="MY84" s="109"/>
      <c r="MZ84" s="109"/>
      <c r="NA84" s="109"/>
      <c r="NB84" s="109"/>
    </row>
    <row r="85" spans="1:366" s="261" customFormat="1" x14ac:dyDescent="0.25">
      <c r="A85" s="113">
        <v>0</v>
      </c>
      <c r="B85" s="161" t="s">
        <v>629</v>
      </c>
      <c r="C85" s="250" t="s">
        <v>609</v>
      </c>
      <c r="D85" s="254">
        <v>0</v>
      </c>
      <c r="E85" s="250" t="s">
        <v>609</v>
      </c>
      <c r="F85" s="254">
        <v>0.37945476774240439</v>
      </c>
      <c r="G85" s="250" t="s">
        <v>609</v>
      </c>
      <c r="H85" s="254">
        <v>0.21096182105146083</v>
      </c>
      <c r="I85" s="250" t="s">
        <v>609</v>
      </c>
      <c r="J85" s="254">
        <v>0</v>
      </c>
      <c r="K85" s="250" t="s">
        <v>609</v>
      </c>
      <c r="L85" s="254">
        <v>0.86776440978184199</v>
      </c>
      <c r="M85" s="250" t="s">
        <v>609</v>
      </c>
      <c r="N85" s="254">
        <v>1</v>
      </c>
      <c r="O85" s="250" t="s">
        <v>609</v>
      </c>
      <c r="P85" s="254">
        <v>0</v>
      </c>
      <c r="Q85" s="250" t="s">
        <v>609</v>
      </c>
      <c r="R85" s="254">
        <v>0.88128217856001922</v>
      </c>
      <c r="S85" s="250" t="s">
        <v>609</v>
      </c>
      <c r="T85" s="254">
        <v>9.1892570966174619E-2</v>
      </c>
      <c r="U85" s="250" t="s">
        <v>609</v>
      </c>
      <c r="V85" s="254">
        <v>0.30587162709719845</v>
      </c>
      <c r="W85" s="250" t="s">
        <v>609</v>
      </c>
      <c r="X85" s="254">
        <v>0.14141213764787344</v>
      </c>
      <c r="Y85" s="250" t="s">
        <v>609</v>
      </c>
      <c r="Z85" s="254">
        <v>0.59335840743709356</v>
      </c>
      <c r="AA85" s="250" t="s">
        <v>609</v>
      </c>
      <c r="AB85" s="254">
        <v>1</v>
      </c>
      <c r="AC85" s="250" t="s">
        <v>609</v>
      </c>
      <c r="AD85" s="254">
        <v>0</v>
      </c>
      <c r="AE85" s="250" t="s">
        <v>609</v>
      </c>
      <c r="AF85" s="254">
        <v>0.88128217856001922</v>
      </c>
      <c r="AG85" s="250" t="s">
        <v>609</v>
      </c>
      <c r="AH85" s="254">
        <v>0.88128217856001911</v>
      </c>
      <c r="AI85" s="250" t="s">
        <v>609</v>
      </c>
      <c r="AJ85" s="254">
        <v>0.88128217856001922</v>
      </c>
      <c r="AK85" s="250" t="s">
        <v>609</v>
      </c>
      <c r="AL85" s="254">
        <v>0.6152269643620788</v>
      </c>
      <c r="AM85" s="250" t="s">
        <v>609</v>
      </c>
      <c r="AN85" s="254">
        <v>0.30139796818426656</v>
      </c>
      <c r="AO85" s="250" t="s">
        <v>609</v>
      </c>
      <c r="AP85" s="254">
        <v>9.1892570966174619E-2</v>
      </c>
      <c r="AQ85" s="250" t="s">
        <v>609</v>
      </c>
      <c r="AR85" s="254">
        <v>9.1892570966174619E-2</v>
      </c>
      <c r="AS85" s="250" t="s">
        <v>609</v>
      </c>
      <c r="AT85" s="254">
        <v>0.26056461206090081</v>
      </c>
      <c r="AU85" s="250" t="s">
        <v>609</v>
      </c>
      <c r="AV85" s="254">
        <v>7.8335851854237248E-2</v>
      </c>
      <c r="AW85" s="250" t="s">
        <v>609</v>
      </c>
      <c r="AX85" s="254">
        <v>0.52710822572375893</v>
      </c>
      <c r="AY85" s="250" t="s">
        <v>609</v>
      </c>
      <c r="AZ85" s="254">
        <v>0.74854032972926332</v>
      </c>
      <c r="BA85" s="250" t="s">
        <v>609</v>
      </c>
      <c r="BB85" s="254">
        <v>0.21432341098687818</v>
      </c>
      <c r="BC85" s="250" t="s">
        <v>609</v>
      </c>
      <c r="BD85" s="254">
        <v>0.30587162709719845</v>
      </c>
      <c r="BE85" s="250" t="s">
        <v>609</v>
      </c>
      <c r="BF85" s="254">
        <v>0.524279788459587</v>
      </c>
      <c r="BG85" s="250" t="s">
        <v>609</v>
      </c>
      <c r="BH85" s="254">
        <v>6.5654709701089789E-2</v>
      </c>
      <c r="BI85" s="250" t="s">
        <v>609</v>
      </c>
      <c r="BJ85" s="254">
        <v>0.87662387559012711</v>
      </c>
      <c r="BK85" s="250" t="s">
        <v>609</v>
      </c>
      <c r="BL85" s="254">
        <v>0.8623765531630434</v>
      </c>
      <c r="BM85" s="250" t="s">
        <v>609</v>
      </c>
      <c r="BN85" s="254">
        <v>0.59628264332467451</v>
      </c>
      <c r="BO85" s="250" t="s">
        <v>609</v>
      </c>
      <c r="BP85" s="254">
        <v>0.78451487412258136</v>
      </c>
      <c r="BQ85" s="250" t="s">
        <v>609</v>
      </c>
      <c r="BR85" s="254">
        <v>0.8609732102101928</v>
      </c>
      <c r="BS85" s="250" t="s">
        <v>609</v>
      </c>
      <c r="BT85" s="254">
        <v>0.90686495244024745</v>
      </c>
      <c r="BU85" s="250" t="s">
        <v>609</v>
      </c>
      <c r="BV85" s="254">
        <v>0.11816610228991109</v>
      </c>
      <c r="BW85" s="250" t="s">
        <v>609</v>
      </c>
      <c r="BX85" s="254">
        <v>0.26589106126669382</v>
      </c>
      <c r="BY85" s="250" t="s">
        <v>609</v>
      </c>
      <c r="BZ85" s="254">
        <v>5.339540972089668E-2</v>
      </c>
      <c r="CA85" s="250" t="s">
        <v>609</v>
      </c>
      <c r="CB85" s="254">
        <v>0.11816610228991109</v>
      </c>
      <c r="CC85" s="250" t="s">
        <v>609</v>
      </c>
      <c r="CD85" s="254">
        <v>0.26589106126669382</v>
      </c>
      <c r="CE85" s="250" t="s">
        <v>609</v>
      </c>
      <c r="CF85" s="254">
        <v>5.339540972089668E-2</v>
      </c>
      <c r="CG85" s="250" t="s">
        <v>609</v>
      </c>
      <c r="CH85" s="254">
        <v>0.11816610228991109</v>
      </c>
      <c r="CI85" s="250" t="s">
        <v>609</v>
      </c>
      <c r="CJ85" s="254">
        <v>0.26589106126669382</v>
      </c>
      <c r="CK85" s="250" t="s">
        <v>609</v>
      </c>
      <c r="CL85" s="254">
        <v>5.339540972089668E-2</v>
      </c>
      <c r="CM85" s="250" t="s">
        <v>609</v>
      </c>
      <c r="CN85" s="254">
        <v>0</v>
      </c>
      <c r="CO85" s="250" t="s">
        <v>609</v>
      </c>
      <c r="CP85" s="254">
        <v>0</v>
      </c>
      <c r="CQ85" s="250" t="s">
        <v>609</v>
      </c>
      <c r="CR85" s="254">
        <v>0</v>
      </c>
      <c r="CS85" s="250" t="s">
        <v>609</v>
      </c>
      <c r="CT85" s="254">
        <v>0</v>
      </c>
      <c r="CU85" s="250" t="s">
        <v>609</v>
      </c>
      <c r="CV85" s="254">
        <v>0</v>
      </c>
      <c r="CW85" s="250" t="s">
        <v>609</v>
      </c>
      <c r="CX85" s="254">
        <v>0</v>
      </c>
      <c r="CY85" s="250" t="s">
        <v>609</v>
      </c>
      <c r="CZ85" s="254">
        <v>0</v>
      </c>
      <c r="DA85" s="250" t="s">
        <v>609</v>
      </c>
      <c r="DB85" s="254">
        <v>0</v>
      </c>
      <c r="DC85" s="250" t="s">
        <v>609</v>
      </c>
      <c r="DD85" s="254">
        <v>0</v>
      </c>
      <c r="DE85" s="250" t="s">
        <v>609</v>
      </c>
      <c r="DF85" s="254">
        <v>0</v>
      </c>
      <c r="DG85" s="250" t="s">
        <v>609</v>
      </c>
      <c r="DH85" s="254">
        <v>0.88128217856001911</v>
      </c>
      <c r="DI85" s="250" t="s">
        <v>609</v>
      </c>
      <c r="DJ85" s="254">
        <v>0.89288508831964963</v>
      </c>
      <c r="DK85" s="250" t="s">
        <v>609</v>
      </c>
      <c r="DL85" s="254">
        <v>0.88128217856001911</v>
      </c>
      <c r="DM85" s="250" t="s">
        <v>609</v>
      </c>
      <c r="DN85" s="254">
        <v>0.71852709787187163</v>
      </c>
      <c r="DO85" s="250" t="s">
        <v>609</v>
      </c>
      <c r="DP85" s="254">
        <v>0.86776440978184199</v>
      </c>
      <c r="DQ85" s="250" t="s">
        <v>609</v>
      </c>
      <c r="DR85" s="254">
        <v>0.86776440978184199</v>
      </c>
      <c r="DS85" s="109"/>
      <c r="DT85" s="109"/>
      <c r="DU85" s="109"/>
      <c r="DV85" s="109"/>
      <c r="DW85" s="109"/>
      <c r="DX85" s="109"/>
      <c r="DY85" s="109"/>
      <c r="DZ85" s="109"/>
      <c r="EA85" s="109"/>
      <c r="EB85" s="109"/>
      <c r="EC85" s="109"/>
      <c r="ED85" s="109"/>
      <c r="EE85" s="109"/>
      <c r="EF85" s="109"/>
      <c r="EG85" s="109"/>
      <c r="EH85" s="109"/>
      <c r="EI85" s="109"/>
      <c r="EJ85" s="109"/>
      <c r="EK85" s="109"/>
      <c r="EL85" s="109"/>
      <c r="EM85" s="109"/>
      <c r="EN85" s="109"/>
      <c r="EO85" s="109"/>
      <c r="EP85" s="109"/>
      <c r="EQ85" s="109"/>
      <c r="ER85" s="109"/>
      <c r="ES85" s="109"/>
      <c r="ET85" s="109"/>
      <c r="EU85" s="109"/>
      <c r="EV85" s="109"/>
      <c r="EW85" s="109"/>
      <c r="EX85" s="109"/>
      <c r="EY85" s="109"/>
      <c r="EZ85" s="109"/>
      <c r="FA85" s="109"/>
      <c r="FB85" s="109"/>
      <c r="FC85" s="109"/>
      <c r="FD85" s="109"/>
      <c r="FE85" s="109"/>
      <c r="FF85" s="109"/>
      <c r="FG85" s="109"/>
      <c r="FH85" s="109"/>
      <c r="FI85" s="109"/>
      <c r="FJ85" s="109"/>
      <c r="FK85" s="109"/>
      <c r="FL85" s="109"/>
      <c r="FM85" s="109"/>
      <c r="FN85" s="109"/>
      <c r="FO85" s="109"/>
      <c r="FP85" s="109"/>
      <c r="FQ85" s="109"/>
      <c r="FR85" s="109"/>
      <c r="FS85" s="109"/>
      <c r="FT85" s="109"/>
      <c r="FU85" s="109"/>
      <c r="FV85" s="109"/>
      <c r="FW85" s="109"/>
      <c r="FX85" s="109"/>
      <c r="FY85" s="109"/>
      <c r="FZ85" s="109"/>
      <c r="GA85" s="109"/>
      <c r="GB85" s="109"/>
      <c r="GC85" s="109"/>
      <c r="GD85" s="109"/>
      <c r="GE85" s="109"/>
      <c r="GF85" s="109"/>
      <c r="GG85" s="109"/>
      <c r="GH85" s="109"/>
      <c r="GI85" s="109"/>
      <c r="GJ85" s="109"/>
      <c r="GK85" s="109"/>
      <c r="GL85" s="109"/>
      <c r="GM85" s="109"/>
      <c r="GN85" s="109"/>
      <c r="GO85" s="109"/>
      <c r="GP85" s="109"/>
      <c r="GQ85" s="109"/>
      <c r="GR85" s="109"/>
      <c r="GS85" s="109"/>
      <c r="GT85" s="109"/>
      <c r="GU85" s="109"/>
      <c r="GV85" s="109"/>
      <c r="GW85" s="109"/>
      <c r="GX85" s="109"/>
      <c r="GY85" s="109"/>
      <c r="GZ85" s="109"/>
      <c r="HA85" s="109"/>
      <c r="HB85" s="109"/>
      <c r="HC85" s="109"/>
      <c r="HD85" s="109"/>
      <c r="HE85" s="109"/>
      <c r="HF85" s="109"/>
      <c r="HG85" s="109"/>
      <c r="HH85" s="109"/>
      <c r="HI85" s="109"/>
      <c r="HJ85" s="109"/>
      <c r="HK85" s="109"/>
      <c r="HL85" s="109"/>
      <c r="HM85" s="109"/>
      <c r="HN85" s="109"/>
      <c r="HO85" s="109"/>
      <c r="HP85" s="109"/>
      <c r="HQ85" s="109"/>
      <c r="HR85" s="109"/>
      <c r="HS85" s="109"/>
      <c r="HT85" s="109"/>
      <c r="HU85" s="109"/>
      <c r="HV85" s="109"/>
      <c r="HW85" s="109"/>
      <c r="HX85" s="109"/>
      <c r="HY85" s="109"/>
      <c r="HZ85" s="109"/>
      <c r="IA85" s="109"/>
      <c r="IB85" s="109"/>
      <c r="IC85" s="109"/>
      <c r="ID85" s="109"/>
      <c r="IE85" s="109"/>
      <c r="IF85" s="109"/>
      <c r="IG85" s="109"/>
      <c r="IH85" s="109"/>
      <c r="II85" s="109"/>
      <c r="IJ85" s="109"/>
      <c r="IK85" s="109"/>
      <c r="IL85" s="109"/>
      <c r="IM85" s="109"/>
      <c r="IN85" s="109"/>
      <c r="IO85" s="109"/>
      <c r="IP85" s="109"/>
      <c r="IQ85" s="109"/>
      <c r="IR85" s="109"/>
      <c r="IS85" s="109"/>
      <c r="IT85" s="109"/>
      <c r="IU85" s="109"/>
      <c r="IV85" s="109"/>
      <c r="IW85" s="109"/>
      <c r="IX85" s="109"/>
      <c r="IY85" s="109"/>
      <c r="IZ85" s="109"/>
      <c r="JA85" s="109"/>
      <c r="JB85" s="109"/>
      <c r="JC85" s="109"/>
      <c r="JD85" s="109"/>
      <c r="JE85" s="109"/>
      <c r="JF85" s="109"/>
      <c r="JG85" s="109"/>
      <c r="JH85" s="109"/>
      <c r="JI85" s="109"/>
      <c r="JJ85" s="109"/>
      <c r="JK85" s="109"/>
      <c r="JL85" s="109"/>
      <c r="JM85" s="109"/>
      <c r="JN85" s="109"/>
      <c r="JO85" s="109"/>
      <c r="JP85" s="109"/>
      <c r="JQ85" s="109"/>
      <c r="JR85" s="109"/>
      <c r="JS85" s="109"/>
      <c r="JT85" s="109"/>
      <c r="JU85" s="109"/>
      <c r="JV85" s="109"/>
      <c r="JW85" s="109"/>
      <c r="JX85" s="109"/>
      <c r="JY85" s="109"/>
      <c r="JZ85" s="109"/>
      <c r="KA85" s="109"/>
      <c r="KB85" s="109"/>
      <c r="KC85" s="109"/>
      <c r="KD85" s="109"/>
      <c r="KE85" s="109"/>
      <c r="KF85" s="109"/>
      <c r="KG85" s="109"/>
      <c r="KH85" s="109"/>
      <c r="KI85" s="109"/>
      <c r="KJ85" s="109"/>
      <c r="KK85" s="109"/>
      <c r="KL85" s="109"/>
      <c r="KM85" s="109"/>
      <c r="KN85" s="109"/>
      <c r="KO85" s="109"/>
      <c r="KP85" s="109"/>
      <c r="KQ85" s="109"/>
      <c r="KR85" s="109"/>
      <c r="KS85" s="109"/>
      <c r="KT85" s="109"/>
      <c r="KU85" s="109"/>
      <c r="KV85" s="109"/>
      <c r="KW85" s="109"/>
      <c r="KX85" s="109"/>
      <c r="KY85" s="109"/>
      <c r="KZ85" s="109"/>
      <c r="LA85" s="109"/>
      <c r="LB85" s="109"/>
      <c r="LC85" s="109"/>
      <c r="LD85" s="109"/>
      <c r="LE85" s="109"/>
      <c r="LF85" s="109"/>
      <c r="LG85" s="109"/>
      <c r="LH85" s="109"/>
      <c r="LI85" s="109"/>
      <c r="LJ85" s="109"/>
      <c r="LK85" s="109"/>
      <c r="LL85" s="109"/>
      <c r="LM85" s="109"/>
      <c r="LN85" s="109"/>
      <c r="LO85" s="109"/>
      <c r="LP85" s="109"/>
      <c r="LQ85" s="109"/>
      <c r="LR85" s="109"/>
      <c r="LS85" s="109"/>
      <c r="LT85" s="109"/>
      <c r="LU85" s="109"/>
      <c r="LV85" s="109"/>
      <c r="LW85" s="109"/>
      <c r="LX85" s="109"/>
      <c r="LY85" s="109"/>
      <c r="LZ85" s="109"/>
      <c r="MA85" s="109"/>
      <c r="MB85" s="109"/>
      <c r="MC85" s="109"/>
      <c r="MD85" s="109"/>
      <c r="ME85" s="109"/>
      <c r="MF85" s="109"/>
      <c r="MG85" s="109"/>
      <c r="MH85" s="150"/>
      <c r="MI85" s="109"/>
      <c r="MJ85" s="109"/>
      <c r="MK85" s="109"/>
      <c r="ML85" s="109"/>
      <c r="MM85" s="109"/>
      <c r="MN85" s="109"/>
      <c r="MO85" s="109"/>
      <c r="MP85" s="109"/>
      <c r="MQ85" s="109"/>
      <c r="MR85" s="109"/>
      <c r="MS85" s="109"/>
      <c r="MT85" s="109"/>
      <c r="MU85" s="109"/>
      <c r="MV85" s="109"/>
      <c r="MW85" s="109"/>
      <c r="MX85" s="109"/>
      <c r="MY85" s="109"/>
      <c r="MZ85" s="109"/>
      <c r="NA85" s="109"/>
      <c r="NB85" s="109"/>
    </row>
    <row r="86" spans="1:366" s="261" customFormat="1" x14ac:dyDescent="0.25">
      <c r="A86" s="113">
        <v>0</v>
      </c>
      <c r="B86" s="161" t="s">
        <v>1096</v>
      </c>
      <c r="C86" s="250" t="s">
        <v>613</v>
      </c>
      <c r="D86" s="254">
        <v>0</v>
      </c>
      <c r="E86" s="250" t="s">
        <v>613</v>
      </c>
      <c r="F86" s="254">
        <v>0.51190752604440271</v>
      </c>
      <c r="G86" s="250" t="s">
        <v>613</v>
      </c>
      <c r="H86" s="254">
        <v>4.9737590686285589E-2</v>
      </c>
      <c r="I86" s="250" t="s">
        <v>613</v>
      </c>
      <c r="J86" s="254">
        <v>0</v>
      </c>
      <c r="K86" s="250" t="s">
        <v>613</v>
      </c>
      <c r="L86" s="254">
        <v>1</v>
      </c>
      <c r="M86" s="250" t="s">
        <v>613</v>
      </c>
      <c r="N86" s="254">
        <v>0</v>
      </c>
      <c r="O86" s="250" t="s">
        <v>613</v>
      </c>
      <c r="P86" s="254">
        <v>0</v>
      </c>
      <c r="Q86" s="250" t="s">
        <v>613</v>
      </c>
      <c r="R86" s="254">
        <v>0</v>
      </c>
      <c r="S86" s="250" t="s">
        <v>613</v>
      </c>
      <c r="T86" s="254">
        <v>0</v>
      </c>
      <c r="U86" s="250" t="s">
        <v>613</v>
      </c>
      <c r="V86" s="254">
        <v>0.45519888119157415</v>
      </c>
      <c r="W86" s="250" t="s">
        <v>613</v>
      </c>
      <c r="X86" s="254">
        <v>4.9737590686285596E-2</v>
      </c>
      <c r="Y86" s="250" t="s">
        <v>613</v>
      </c>
      <c r="Z86" s="254">
        <v>1</v>
      </c>
      <c r="AA86" s="250" t="s">
        <v>613</v>
      </c>
      <c r="AB86" s="254">
        <v>0</v>
      </c>
      <c r="AC86" s="250" t="s">
        <v>613</v>
      </c>
      <c r="AD86" s="254">
        <v>0</v>
      </c>
      <c r="AE86" s="250" t="s">
        <v>613</v>
      </c>
      <c r="AF86" s="254">
        <v>0</v>
      </c>
      <c r="AG86" s="250" t="s">
        <v>613</v>
      </c>
      <c r="AH86" s="254">
        <v>0</v>
      </c>
      <c r="AI86" s="250" t="s">
        <v>613</v>
      </c>
      <c r="AJ86" s="254">
        <v>0</v>
      </c>
      <c r="AK86" s="250" t="s">
        <v>613</v>
      </c>
      <c r="AL86" s="254">
        <v>0</v>
      </c>
      <c r="AM86" s="250" t="s">
        <v>613</v>
      </c>
      <c r="AN86" s="254">
        <v>0</v>
      </c>
      <c r="AO86" s="250" t="s">
        <v>613</v>
      </c>
      <c r="AP86" s="254">
        <v>0</v>
      </c>
      <c r="AQ86" s="250" t="s">
        <v>613</v>
      </c>
      <c r="AR86" s="254">
        <v>0</v>
      </c>
      <c r="AS86" s="250" t="s">
        <v>613</v>
      </c>
      <c r="AT86" s="254">
        <v>0.436716964226737</v>
      </c>
      <c r="AU86" s="250" t="s">
        <v>613</v>
      </c>
      <c r="AV86" s="254">
        <v>1.3193750526369417E-2</v>
      </c>
      <c r="AW86" s="250" t="s">
        <v>613</v>
      </c>
      <c r="AX86" s="254">
        <v>0.1892558495446463</v>
      </c>
      <c r="AY86" s="250" t="s">
        <v>613</v>
      </c>
      <c r="AZ86" s="254">
        <v>0.31827608771840038</v>
      </c>
      <c r="BA86" s="250" t="s">
        <v>613</v>
      </c>
      <c r="BB86" s="254">
        <v>0.39510173407725818</v>
      </c>
      <c r="BC86" s="250" t="s">
        <v>613</v>
      </c>
      <c r="BD86" s="254">
        <v>0.45519888119157415</v>
      </c>
      <c r="BE86" s="250" t="s">
        <v>613</v>
      </c>
      <c r="BF86" s="254">
        <v>1</v>
      </c>
      <c r="BG86" s="250" t="s">
        <v>613</v>
      </c>
      <c r="BH86" s="254">
        <v>4.9737590686285589E-2</v>
      </c>
      <c r="BI86" s="250" t="s">
        <v>613</v>
      </c>
      <c r="BJ86" s="254">
        <v>1</v>
      </c>
      <c r="BK86" s="250" t="s">
        <v>613</v>
      </c>
      <c r="BL86" s="254">
        <v>1</v>
      </c>
      <c r="BM86" s="250" t="s">
        <v>613</v>
      </c>
      <c r="BN86" s="254">
        <v>0.73502655841379683</v>
      </c>
      <c r="BO86" s="250" t="s">
        <v>613</v>
      </c>
      <c r="BP86" s="254">
        <v>0.48967831316013749</v>
      </c>
      <c r="BQ86" s="250" t="s">
        <v>613</v>
      </c>
      <c r="BR86" s="254">
        <v>0.95341146340640848</v>
      </c>
      <c r="BS86" s="250" t="s">
        <v>613</v>
      </c>
      <c r="BT86" s="254">
        <v>0.73502655841379683</v>
      </c>
      <c r="BU86" s="250" t="s">
        <v>613</v>
      </c>
      <c r="BV86" s="254">
        <v>0.27906396720163468</v>
      </c>
      <c r="BW86" s="250" t="s">
        <v>613</v>
      </c>
      <c r="BX86" s="254">
        <v>0.38635926979260676</v>
      </c>
      <c r="BY86" s="250" t="s">
        <v>613</v>
      </c>
      <c r="BZ86" s="254">
        <v>4.9737590686285582E-2</v>
      </c>
      <c r="CA86" s="250" t="s">
        <v>613</v>
      </c>
      <c r="CB86" s="254">
        <v>0.27906396720163468</v>
      </c>
      <c r="CC86" s="250" t="s">
        <v>613</v>
      </c>
      <c r="CD86" s="254">
        <v>0.38635926979260676</v>
      </c>
      <c r="CE86" s="250" t="s">
        <v>613</v>
      </c>
      <c r="CF86" s="254">
        <v>4.9737590686285582E-2</v>
      </c>
      <c r="CG86" s="250" t="s">
        <v>613</v>
      </c>
      <c r="CH86" s="254">
        <v>0.27906396720163468</v>
      </c>
      <c r="CI86" s="250" t="s">
        <v>613</v>
      </c>
      <c r="CJ86" s="254">
        <v>0.38635926979260676</v>
      </c>
      <c r="CK86" s="250" t="s">
        <v>613</v>
      </c>
      <c r="CL86" s="254">
        <v>4.9737590686285582E-2</v>
      </c>
      <c r="CM86" s="250" t="s">
        <v>613</v>
      </c>
      <c r="CN86" s="254">
        <v>0</v>
      </c>
      <c r="CO86" s="250" t="s">
        <v>613</v>
      </c>
      <c r="CP86" s="254">
        <v>0</v>
      </c>
      <c r="CQ86" s="250" t="s">
        <v>613</v>
      </c>
      <c r="CR86" s="254">
        <v>0</v>
      </c>
      <c r="CS86" s="250" t="s">
        <v>613</v>
      </c>
      <c r="CT86" s="254">
        <v>0</v>
      </c>
      <c r="CU86" s="250" t="s">
        <v>613</v>
      </c>
      <c r="CV86" s="254">
        <v>0</v>
      </c>
      <c r="CW86" s="250" t="s">
        <v>613</v>
      </c>
      <c r="CX86" s="254">
        <v>0</v>
      </c>
      <c r="CY86" s="250" t="s">
        <v>613</v>
      </c>
      <c r="CZ86" s="254">
        <v>0</v>
      </c>
      <c r="DA86" s="250" t="s">
        <v>613</v>
      </c>
      <c r="DB86" s="254">
        <v>0</v>
      </c>
      <c r="DC86" s="250" t="s">
        <v>613</v>
      </c>
      <c r="DD86" s="254">
        <v>0</v>
      </c>
      <c r="DE86" s="250" t="s">
        <v>613</v>
      </c>
      <c r="DF86" s="254">
        <v>0</v>
      </c>
      <c r="DG86" s="250" t="s">
        <v>613</v>
      </c>
      <c r="DH86" s="254">
        <v>0</v>
      </c>
      <c r="DI86" s="250" t="s">
        <v>613</v>
      </c>
      <c r="DJ86" s="254">
        <v>0</v>
      </c>
      <c r="DK86" s="250" t="s">
        <v>613</v>
      </c>
      <c r="DL86" s="254">
        <v>0</v>
      </c>
      <c r="DM86" s="250" t="s">
        <v>613</v>
      </c>
      <c r="DN86" s="254">
        <v>0.50122416610381348</v>
      </c>
      <c r="DO86" s="250" t="s">
        <v>613</v>
      </c>
      <c r="DP86" s="254">
        <v>1</v>
      </c>
      <c r="DQ86" s="250" t="s">
        <v>613</v>
      </c>
      <c r="DR86" s="254">
        <v>1</v>
      </c>
      <c r="DS86" s="109"/>
      <c r="DT86" s="109"/>
      <c r="DU86" s="109"/>
      <c r="DV86" s="109"/>
      <c r="DW86" s="109"/>
      <c r="DX86" s="109"/>
      <c r="DY86" s="109"/>
      <c r="DZ86" s="109"/>
      <c r="EA86" s="109"/>
      <c r="EB86" s="109"/>
      <c r="EC86" s="109"/>
      <c r="ED86" s="109"/>
      <c r="EE86" s="109"/>
      <c r="EF86" s="109"/>
      <c r="EG86" s="109"/>
      <c r="EH86" s="109"/>
      <c r="EI86" s="109"/>
      <c r="EJ86" s="109"/>
      <c r="EK86" s="109"/>
      <c r="EL86" s="109"/>
      <c r="EM86" s="109"/>
      <c r="EN86" s="109"/>
      <c r="EO86" s="109"/>
      <c r="EP86" s="109"/>
      <c r="EQ86" s="109"/>
      <c r="ER86" s="109"/>
      <c r="ES86" s="109"/>
      <c r="ET86" s="109"/>
      <c r="EU86" s="109"/>
      <c r="EV86" s="109"/>
      <c r="EW86" s="109"/>
      <c r="EX86" s="109"/>
      <c r="EY86" s="109"/>
      <c r="EZ86" s="109"/>
      <c r="FA86" s="109"/>
      <c r="FB86" s="109"/>
      <c r="FC86" s="109"/>
      <c r="FD86" s="109"/>
      <c r="FE86" s="109"/>
      <c r="FF86" s="109"/>
      <c r="FG86" s="109"/>
      <c r="FH86" s="109"/>
      <c r="FI86" s="109"/>
      <c r="FJ86" s="109"/>
      <c r="FK86" s="109"/>
      <c r="FL86" s="109"/>
      <c r="FM86" s="109"/>
      <c r="FN86" s="109"/>
      <c r="FO86" s="109"/>
      <c r="FP86" s="109"/>
      <c r="FQ86" s="109"/>
      <c r="FR86" s="109"/>
      <c r="FS86" s="109"/>
      <c r="FT86" s="109"/>
      <c r="FU86" s="109"/>
      <c r="FV86" s="109"/>
      <c r="FW86" s="109"/>
      <c r="FX86" s="109"/>
      <c r="FY86" s="109"/>
      <c r="FZ86" s="109"/>
      <c r="GA86" s="109"/>
      <c r="GB86" s="109"/>
      <c r="GC86" s="109"/>
      <c r="GD86" s="109"/>
      <c r="GE86" s="109"/>
      <c r="GF86" s="109"/>
      <c r="GG86" s="109"/>
      <c r="GH86" s="109"/>
      <c r="GI86" s="109"/>
      <c r="GJ86" s="109"/>
      <c r="GK86" s="109"/>
      <c r="GL86" s="109"/>
      <c r="GM86" s="109"/>
      <c r="GN86" s="109"/>
      <c r="GO86" s="109"/>
      <c r="GP86" s="109"/>
      <c r="GQ86" s="109"/>
      <c r="GR86" s="109"/>
      <c r="GS86" s="109"/>
      <c r="GT86" s="109"/>
      <c r="GU86" s="109"/>
      <c r="GV86" s="109"/>
      <c r="GW86" s="109"/>
      <c r="GX86" s="109"/>
      <c r="GY86" s="109"/>
      <c r="GZ86" s="109"/>
      <c r="HA86" s="109"/>
      <c r="HB86" s="109"/>
      <c r="HC86" s="109"/>
      <c r="HD86" s="109"/>
      <c r="HE86" s="109"/>
      <c r="HF86" s="109"/>
      <c r="HG86" s="109"/>
      <c r="HH86" s="109"/>
      <c r="HI86" s="109"/>
      <c r="HJ86" s="109"/>
      <c r="HK86" s="109"/>
      <c r="HL86" s="109"/>
      <c r="HM86" s="109"/>
      <c r="HN86" s="109"/>
      <c r="HO86" s="109"/>
      <c r="HP86" s="109"/>
      <c r="HQ86" s="109"/>
      <c r="HR86" s="109"/>
      <c r="HS86" s="109"/>
      <c r="HT86" s="109"/>
      <c r="HU86" s="109"/>
      <c r="HV86" s="109"/>
      <c r="HW86" s="109"/>
      <c r="HX86" s="109"/>
      <c r="HY86" s="109"/>
      <c r="HZ86" s="109"/>
      <c r="IA86" s="109"/>
      <c r="IB86" s="109"/>
      <c r="IC86" s="109"/>
      <c r="ID86" s="109"/>
      <c r="IE86" s="109"/>
      <c r="IF86" s="109"/>
      <c r="IG86" s="109"/>
      <c r="IH86" s="109"/>
      <c r="II86" s="109"/>
      <c r="IJ86" s="109"/>
      <c r="IK86" s="109"/>
      <c r="IL86" s="109"/>
      <c r="IM86" s="109"/>
      <c r="IN86" s="109"/>
      <c r="IO86" s="109"/>
      <c r="IP86" s="109"/>
      <c r="IQ86" s="109"/>
      <c r="IR86" s="109"/>
      <c r="IS86" s="109"/>
      <c r="IT86" s="109"/>
      <c r="IU86" s="109"/>
      <c r="IV86" s="109"/>
      <c r="IW86" s="109"/>
      <c r="IX86" s="109"/>
      <c r="IY86" s="109"/>
      <c r="IZ86" s="109"/>
      <c r="JA86" s="109"/>
      <c r="JB86" s="109"/>
      <c r="JC86" s="109"/>
      <c r="JD86" s="109"/>
      <c r="JE86" s="109"/>
      <c r="JF86" s="109"/>
      <c r="JG86" s="109"/>
      <c r="JH86" s="109"/>
      <c r="JI86" s="109"/>
      <c r="JJ86" s="109"/>
      <c r="JK86" s="109"/>
      <c r="JL86" s="109"/>
      <c r="JM86" s="109"/>
      <c r="JN86" s="109"/>
      <c r="JO86" s="109"/>
      <c r="JP86" s="109"/>
      <c r="JQ86" s="109"/>
      <c r="JR86" s="109"/>
      <c r="JS86" s="109"/>
      <c r="JT86" s="109"/>
      <c r="JU86" s="109"/>
      <c r="JV86" s="109"/>
      <c r="JW86" s="109"/>
      <c r="JX86" s="109"/>
      <c r="JY86" s="109"/>
      <c r="JZ86" s="109"/>
      <c r="KA86" s="109"/>
      <c r="KB86" s="109"/>
      <c r="KC86" s="109"/>
      <c r="KD86" s="109"/>
      <c r="KE86" s="109"/>
      <c r="KF86" s="109"/>
      <c r="KG86" s="109"/>
      <c r="KH86" s="109"/>
      <c r="KI86" s="109"/>
      <c r="KJ86" s="109"/>
      <c r="KK86" s="109"/>
      <c r="KL86" s="109"/>
      <c r="KM86" s="109"/>
      <c r="KN86" s="109"/>
      <c r="KO86" s="109"/>
      <c r="KP86" s="109"/>
      <c r="KQ86" s="109"/>
      <c r="KR86" s="109"/>
      <c r="KS86" s="109"/>
      <c r="KT86" s="109"/>
      <c r="KU86" s="109"/>
      <c r="KV86" s="109"/>
      <c r="KW86" s="109"/>
      <c r="KX86" s="109"/>
      <c r="KY86" s="109"/>
      <c r="KZ86" s="109"/>
      <c r="LA86" s="109"/>
      <c r="LB86" s="109"/>
      <c r="LC86" s="109"/>
      <c r="LD86" s="109"/>
      <c r="LE86" s="109"/>
      <c r="LF86" s="109"/>
      <c r="LG86" s="109"/>
      <c r="LH86" s="109"/>
      <c r="LI86" s="109"/>
      <c r="LJ86" s="109"/>
      <c r="LK86" s="109"/>
      <c r="LL86" s="109"/>
      <c r="LM86" s="109"/>
      <c r="LN86" s="109"/>
      <c r="LO86" s="109"/>
      <c r="LP86" s="109"/>
      <c r="LQ86" s="109"/>
      <c r="LR86" s="109"/>
      <c r="LS86" s="109"/>
      <c r="LT86" s="109"/>
      <c r="LU86" s="109"/>
      <c r="LV86" s="109"/>
      <c r="LW86" s="109"/>
      <c r="LX86" s="109"/>
      <c r="LY86" s="109"/>
      <c r="LZ86" s="109"/>
      <c r="MA86" s="109"/>
      <c r="MB86" s="109"/>
      <c r="MC86" s="109"/>
      <c r="MD86" s="109"/>
      <c r="ME86" s="109"/>
      <c r="MF86" s="109"/>
      <c r="MG86" s="109"/>
      <c r="MH86" s="150"/>
      <c r="MI86" s="109"/>
      <c r="MJ86" s="109"/>
      <c r="MK86" s="109"/>
      <c r="ML86" s="109"/>
      <c r="MM86" s="109"/>
      <c r="MN86" s="109"/>
      <c r="MO86" s="109"/>
      <c r="MP86" s="109"/>
      <c r="MQ86" s="109"/>
      <c r="MR86" s="109"/>
      <c r="MS86" s="109"/>
      <c r="MT86" s="109"/>
      <c r="MU86" s="109"/>
      <c r="MV86" s="109"/>
      <c r="MW86" s="109"/>
      <c r="MX86" s="109"/>
      <c r="MY86" s="109"/>
      <c r="MZ86" s="109"/>
      <c r="NA86" s="109"/>
      <c r="NB86" s="109"/>
    </row>
    <row r="87" spans="1:366" s="261" customFormat="1" x14ac:dyDescent="0.25">
      <c r="A87" s="113">
        <v>0</v>
      </c>
      <c r="B87" s="161" t="s">
        <v>646</v>
      </c>
      <c r="C87" s="250" t="s">
        <v>612</v>
      </c>
      <c r="D87" s="254">
        <v>0</v>
      </c>
      <c r="E87" s="250" t="s">
        <v>612</v>
      </c>
      <c r="F87" s="254">
        <v>0.85916784234309129</v>
      </c>
      <c r="G87" s="250" t="s">
        <v>612</v>
      </c>
      <c r="H87" s="254">
        <v>0</v>
      </c>
      <c r="I87" s="250" t="s">
        <v>612</v>
      </c>
      <c r="J87" s="254">
        <v>0</v>
      </c>
      <c r="K87" s="250" t="s">
        <v>612</v>
      </c>
      <c r="L87" s="254">
        <v>0</v>
      </c>
      <c r="M87" s="250" t="s">
        <v>612</v>
      </c>
      <c r="N87" s="254">
        <v>0</v>
      </c>
      <c r="O87" s="250" t="s">
        <v>612</v>
      </c>
      <c r="P87" s="254">
        <v>0</v>
      </c>
      <c r="Q87" s="250" t="s">
        <v>612</v>
      </c>
      <c r="R87" s="254">
        <v>0</v>
      </c>
      <c r="S87" s="250" t="s">
        <v>612</v>
      </c>
      <c r="T87" s="254">
        <v>0</v>
      </c>
      <c r="U87" s="250" t="s">
        <v>612</v>
      </c>
      <c r="V87" s="254">
        <v>0.67009559365795601</v>
      </c>
      <c r="W87" s="250" t="s">
        <v>612</v>
      </c>
      <c r="X87" s="254">
        <v>0</v>
      </c>
      <c r="Y87" s="250" t="s">
        <v>612</v>
      </c>
      <c r="Z87" s="254">
        <v>0</v>
      </c>
      <c r="AA87" s="250" t="s">
        <v>612</v>
      </c>
      <c r="AB87" s="254">
        <v>0</v>
      </c>
      <c r="AC87" s="250" t="s">
        <v>612</v>
      </c>
      <c r="AD87" s="254">
        <v>0</v>
      </c>
      <c r="AE87" s="250" t="s">
        <v>612</v>
      </c>
      <c r="AF87" s="254">
        <v>0</v>
      </c>
      <c r="AG87" s="250" t="s">
        <v>612</v>
      </c>
      <c r="AH87" s="254">
        <v>0</v>
      </c>
      <c r="AI87" s="250" t="s">
        <v>612</v>
      </c>
      <c r="AJ87" s="254">
        <v>0</v>
      </c>
      <c r="AK87" s="250" t="s">
        <v>612</v>
      </c>
      <c r="AL87" s="254">
        <v>0</v>
      </c>
      <c r="AM87" s="250" t="s">
        <v>612</v>
      </c>
      <c r="AN87" s="254">
        <v>0</v>
      </c>
      <c r="AO87" s="250" t="s">
        <v>612</v>
      </c>
      <c r="AP87" s="254">
        <v>0</v>
      </c>
      <c r="AQ87" s="250" t="s">
        <v>612</v>
      </c>
      <c r="AR87" s="254">
        <v>0</v>
      </c>
      <c r="AS87" s="250" t="s">
        <v>612</v>
      </c>
      <c r="AT87" s="254">
        <v>0.82368142456502547</v>
      </c>
      <c r="AU87" s="250" t="s">
        <v>612</v>
      </c>
      <c r="AV87" s="254">
        <v>0</v>
      </c>
      <c r="AW87" s="250" t="s">
        <v>612</v>
      </c>
      <c r="AX87" s="254">
        <v>0</v>
      </c>
      <c r="AY87" s="250" t="s">
        <v>612</v>
      </c>
      <c r="AZ87" s="254">
        <v>0</v>
      </c>
      <c r="BA87" s="250" t="s">
        <v>612</v>
      </c>
      <c r="BB87" s="254">
        <v>0.79225508735870243</v>
      </c>
      <c r="BC87" s="250" t="s">
        <v>612</v>
      </c>
      <c r="BD87" s="254">
        <v>0.67009559365795601</v>
      </c>
      <c r="BE87" s="250" t="s">
        <v>612</v>
      </c>
      <c r="BF87" s="254">
        <v>0</v>
      </c>
      <c r="BG87" s="250" t="s">
        <v>612</v>
      </c>
      <c r="BH87" s="254">
        <v>0</v>
      </c>
      <c r="BI87" s="250" t="s">
        <v>612</v>
      </c>
      <c r="BJ87" s="254">
        <v>0</v>
      </c>
      <c r="BK87" s="250" t="s">
        <v>612</v>
      </c>
      <c r="BL87" s="254">
        <v>0</v>
      </c>
      <c r="BM87" s="250" t="s">
        <v>612</v>
      </c>
      <c r="BN87" s="254">
        <v>0</v>
      </c>
      <c r="BO87" s="250" t="s">
        <v>612</v>
      </c>
      <c r="BP87" s="254">
        <v>0</v>
      </c>
      <c r="BQ87" s="250" t="s">
        <v>612</v>
      </c>
      <c r="BR87" s="254">
        <v>0</v>
      </c>
      <c r="BS87" s="250" t="s">
        <v>612</v>
      </c>
      <c r="BT87" s="254">
        <v>0</v>
      </c>
      <c r="BU87" s="250" t="s">
        <v>612</v>
      </c>
      <c r="BV87" s="254">
        <v>0.71076955089797256</v>
      </c>
      <c r="BW87" s="250" t="s">
        <v>612</v>
      </c>
      <c r="BX87" s="254">
        <v>0.49027534936491635</v>
      </c>
      <c r="BY87" s="250" t="s">
        <v>612</v>
      </c>
      <c r="BZ87" s="254">
        <v>0</v>
      </c>
      <c r="CA87" s="250" t="s">
        <v>612</v>
      </c>
      <c r="CB87" s="254">
        <v>0.71076955089797256</v>
      </c>
      <c r="CC87" s="250" t="s">
        <v>612</v>
      </c>
      <c r="CD87" s="254">
        <v>0.49027534936491635</v>
      </c>
      <c r="CE87" s="250" t="s">
        <v>612</v>
      </c>
      <c r="CF87" s="254">
        <v>0</v>
      </c>
      <c r="CG87" s="250" t="s">
        <v>612</v>
      </c>
      <c r="CH87" s="254">
        <v>0.71076955089797256</v>
      </c>
      <c r="CI87" s="250" t="s">
        <v>612</v>
      </c>
      <c r="CJ87" s="254">
        <v>0.49027534936491635</v>
      </c>
      <c r="CK87" s="250" t="s">
        <v>612</v>
      </c>
      <c r="CL87" s="254">
        <v>0</v>
      </c>
      <c r="CM87" s="250" t="s">
        <v>612</v>
      </c>
      <c r="CN87" s="254">
        <v>0</v>
      </c>
      <c r="CO87" s="250" t="s">
        <v>612</v>
      </c>
      <c r="CP87" s="254">
        <v>0</v>
      </c>
      <c r="CQ87" s="250" t="s">
        <v>612</v>
      </c>
      <c r="CR87" s="254">
        <v>0</v>
      </c>
      <c r="CS87" s="250" t="s">
        <v>612</v>
      </c>
      <c r="CT87" s="254">
        <v>0</v>
      </c>
      <c r="CU87" s="250" t="s">
        <v>612</v>
      </c>
      <c r="CV87" s="254">
        <v>0</v>
      </c>
      <c r="CW87" s="250" t="s">
        <v>612</v>
      </c>
      <c r="CX87" s="254">
        <v>0</v>
      </c>
      <c r="CY87" s="250" t="s">
        <v>612</v>
      </c>
      <c r="CZ87" s="254">
        <v>0</v>
      </c>
      <c r="DA87" s="250" t="s">
        <v>612</v>
      </c>
      <c r="DB87" s="254">
        <v>0</v>
      </c>
      <c r="DC87" s="250" t="s">
        <v>612</v>
      </c>
      <c r="DD87" s="254">
        <v>0</v>
      </c>
      <c r="DE87" s="250" t="s">
        <v>612</v>
      </c>
      <c r="DF87" s="254">
        <v>0</v>
      </c>
      <c r="DG87" s="250" t="s">
        <v>612</v>
      </c>
      <c r="DH87" s="254">
        <v>0</v>
      </c>
      <c r="DI87" s="250" t="s">
        <v>612</v>
      </c>
      <c r="DJ87" s="254">
        <v>0</v>
      </c>
      <c r="DK87" s="250" t="s">
        <v>612</v>
      </c>
      <c r="DL87" s="254">
        <v>0</v>
      </c>
      <c r="DM87" s="250" t="s">
        <v>612</v>
      </c>
      <c r="DN87" s="254">
        <v>0</v>
      </c>
      <c r="DO87" s="250" t="s">
        <v>612</v>
      </c>
      <c r="DP87" s="254">
        <v>0</v>
      </c>
      <c r="DQ87" s="250" t="s">
        <v>612</v>
      </c>
      <c r="DR87" s="254">
        <v>0</v>
      </c>
      <c r="DS87" s="109"/>
      <c r="DT87" s="109"/>
      <c r="DU87" s="109"/>
      <c r="DV87" s="109"/>
      <c r="DW87" s="109"/>
      <c r="DX87" s="109"/>
      <c r="DY87" s="109"/>
      <c r="DZ87" s="109"/>
      <c r="EA87" s="109"/>
      <c r="EB87" s="109"/>
      <c r="EC87" s="109"/>
      <c r="ED87" s="109"/>
      <c r="EE87" s="109"/>
      <c r="EF87" s="109"/>
      <c r="EG87" s="109"/>
      <c r="EH87" s="109"/>
      <c r="EI87" s="109"/>
      <c r="EJ87" s="109"/>
      <c r="EK87" s="109"/>
      <c r="EL87" s="109"/>
      <c r="EM87" s="109"/>
      <c r="EN87" s="109"/>
      <c r="EO87" s="109"/>
      <c r="EP87" s="109"/>
      <c r="EQ87" s="109"/>
      <c r="ER87" s="109"/>
      <c r="ES87" s="109"/>
      <c r="ET87" s="109"/>
      <c r="EU87" s="109"/>
      <c r="EV87" s="109"/>
      <c r="EW87" s="109"/>
      <c r="EX87" s="109"/>
      <c r="EY87" s="109"/>
      <c r="EZ87" s="109"/>
      <c r="FA87" s="109"/>
      <c r="FB87" s="109"/>
      <c r="FC87" s="109"/>
      <c r="FD87" s="109"/>
      <c r="FE87" s="109"/>
      <c r="FF87" s="109"/>
      <c r="FG87" s="109"/>
      <c r="FH87" s="109"/>
      <c r="FI87" s="109"/>
      <c r="FJ87" s="109"/>
      <c r="FK87" s="109"/>
      <c r="FL87" s="109"/>
      <c r="FM87" s="109"/>
      <c r="FN87" s="109"/>
      <c r="FO87" s="109"/>
      <c r="FP87" s="109"/>
      <c r="FQ87" s="109"/>
      <c r="FR87" s="109"/>
      <c r="FS87" s="109"/>
      <c r="FT87" s="109"/>
      <c r="FU87" s="109"/>
      <c r="FV87" s="109"/>
      <c r="FW87" s="109"/>
      <c r="FX87" s="109"/>
      <c r="FY87" s="109"/>
      <c r="FZ87" s="109"/>
      <c r="GA87" s="109"/>
      <c r="GB87" s="109"/>
      <c r="GC87" s="109"/>
      <c r="GD87" s="109"/>
      <c r="GE87" s="109"/>
      <c r="GF87" s="109"/>
      <c r="GG87" s="109"/>
      <c r="GH87" s="109"/>
      <c r="GI87" s="109"/>
      <c r="GJ87" s="109"/>
      <c r="GK87" s="109"/>
      <c r="GL87" s="109"/>
      <c r="GM87" s="109"/>
      <c r="GN87" s="109"/>
      <c r="GO87" s="109"/>
      <c r="GP87" s="109"/>
      <c r="GQ87" s="109"/>
      <c r="GR87" s="109"/>
      <c r="GS87" s="109"/>
      <c r="GT87" s="109"/>
      <c r="GU87" s="109"/>
      <c r="GV87" s="109"/>
      <c r="GW87" s="109"/>
      <c r="GX87" s="109"/>
      <c r="GY87" s="109"/>
      <c r="GZ87" s="109"/>
      <c r="HA87" s="109"/>
      <c r="HB87" s="109"/>
      <c r="HC87" s="109"/>
      <c r="HD87" s="109"/>
      <c r="HE87" s="109"/>
      <c r="HF87" s="109"/>
      <c r="HG87" s="109"/>
      <c r="HH87" s="109"/>
      <c r="HI87" s="109"/>
      <c r="HJ87" s="109"/>
      <c r="HK87" s="109"/>
      <c r="HL87" s="109"/>
      <c r="HM87" s="109"/>
      <c r="HN87" s="109"/>
      <c r="HO87" s="109"/>
      <c r="HP87" s="109"/>
      <c r="HQ87" s="109"/>
      <c r="HR87" s="109"/>
      <c r="HS87" s="109"/>
      <c r="HT87" s="109"/>
      <c r="HU87" s="109"/>
      <c r="HV87" s="109"/>
      <c r="HW87" s="109"/>
      <c r="HX87" s="109"/>
      <c r="HY87" s="109"/>
      <c r="HZ87" s="109"/>
      <c r="IA87" s="109"/>
      <c r="IB87" s="109"/>
      <c r="IC87" s="109"/>
      <c r="ID87" s="109"/>
      <c r="IE87" s="109"/>
      <c r="IF87" s="109"/>
      <c r="IG87" s="109"/>
      <c r="IH87" s="109"/>
      <c r="II87" s="109"/>
      <c r="IJ87" s="109"/>
      <c r="IK87" s="109"/>
      <c r="IL87" s="109"/>
      <c r="IM87" s="109"/>
      <c r="IN87" s="109"/>
      <c r="IO87" s="109"/>
      <c r="IP87" s="109"/>
      <c r="IQ87" s="109"/>
      <c r="IR87" s="109"/>
      <c r="IS87" s="109"/>
      <c r="IT87" s="109"/>
      <c r="IU87" s="109"/>
      <c r="IV87" s="109"/>
      <c r="IW87" s="109"/>
      <c r="IX87" s="109"/>
      <c r="IY87" s="109"/>
      <c r="IZ87" s="109"/>
      <c r="JA87" s="109"/>
      <c r="JB87" s="109"/>
      <c r="JC87" s="109"/>
      <c r="JD87" s="109"/>
      <c r="JE87" s="109"/>
      <c r="JF87" s="109"/>
      <c r="JG87" s="109"/>
      <c r="JH87" s="109"/>
      <c r="JI87" s="109"/>
      <c r="JJ87" s="109"/>
      <c r="JK87" s="109"/>
      <c r="JL87" s="109"/>
      <c r="JM87" s="109"/>
      <c r="JN87" s="109"/>
      <c r="JO87" s="109"/>
      <c r="JP87" s="109"/>
      <c r="JQ87" s="109"/>
      <c r="JR87" s="109"/>
      <c r="JS87" s="109"/>
      <c r="JT87" s="109"/>
      <c r="JU87" s="109"/>
      <c r="JV87" s="109"/>
      <c r="JW87" s="109"/>
      <c r="JX87" s="109"/>
      <c r="JY87" s="109"/>
      <c r="JZ87" s="109"/>
      <c r="KA87" s="109"/>
      <c r="KB87" s="109"/>
      <c r="KC87" s="109"/>
      <c r="KD87" s="109"/>
      <c r="KE87" s="109"/>
      <c r="KF87" s="109"/>
      <c r="KG87" s="109"/>
      <c r="KH87" s="109"/>
      <c r="KI87" s="109"/>
      <c r="KJ87" s="109"/>
      <c r="KK87" s="109"/>
      <c r="KL87" s="109"/>
      <c r="KM87" s="109"/>
      <c r="KN87" s="109"/>
      <c r="KO87" s="109"/>
      <c r="KP87" s="109"/>
      <c r="KQ87" s="109"/>
      <c r="KR87" s="109"/>
      <c r="KS87" s="109"/>
      <c r="KT87" s="109"/>
      <c r="KU87" s="109"/>
      <c r="KV87" s="109"/>
      <c r="KW87" s="109"/>
      <c r="KX87" s="109"/>
      <c r="KY87" s="109"/>
      <c r="KZ87" s="109"/>
      <c r="LA87" s="109"/>
      <c r="LB87" s="109"/>
      <c r="LC87" s="109"/>
      <c r="LD87" s="109"/>
      <c r="LE87" s="109"/>
      <c r="LF87" s="109"/>
      <c r="LG87" s="109"/>
      <c r="LH87" s="109"/>
      <c r="LI87" s="109"/>
      <c r="LJ87" s="109"/>
      <c r="LK87" s="109"/>
      <c r="LL87" s="109"/>
      <c r="LM87" s="109"/>
      <c r="LN87" s="109"/>
      <c r="LO87" s="109"/>
      <c r="LP87" s="109"/>
      <c r="LQ87" s="109"/>
      <c r="LR87" s="109"/>
      <c r="LS87" s="109"/>
      <c r="LT87" s="109"/>
      <c r="LU87" s="109"/>
      <c r="LV87" s="109"/>
      <c r="LW87" s="109"/>
      <c r="LX87" s="109"/>
      <c r="LY87" s="109"/>
      <c r="LZ87" s="109"/>
      <c r="MA87" s="109"/>
      <c r="MB87" s="109"/>
      <c r="MC87" s="109"/>
      <c r="MD87" s="109"/>
      <c r="ME87" s="109"/>
      <c r="MF87" s="109"/>
      <c r="MG87" s="109"/>
      <c r="MH87" s="150"/>
      <c r="MI87" s="109"/>
      <c r="MJ87" s="109"/>
      <c r="MK87" s="109"/>
      <c r="ML87" s="109"/>
      <c r="MM87" s="109"/>
      <c r="MN87" s="109"/>
      <c r="MO87" s="109"/>
      <c r="MP87" s="109"/>
      <c r="MQ87" s="109"/>
      <c r="MR87" s="109"/>
      <c r="MS87" s="109"/>
      <c r="MT87" s="109"/>
      <c r="MU87" s="109"/>
      <c r="MV87" s="109"/>
      <c r="MW87" s="109"/>
      <c r="MX87" s="109"/>
      <c r="MY87" s="109"/>
      <c r="MZ87" s="109"/>
      <c r="NA87" s="109"/>
      <c r="NB87" s="109"/>
    </row>
    <row r="88" spans="1:366" s="261" customFormat="1" x14ac:dyDescent="0.25">
      <c r="A88" s="113">
        <v>0</v>
      </c>
      <c r="B88" s="161" t="s">
        <v>630</v>
      </c>
      <c r="C88" s="250" t="s">
        <v>615</v>
      </c>
      <c r="D88" s="254">
        <v>0</v>
      </c>
      <c r="E88" s="250" t="s">
        <v>615</v>
      </c>
      <c r="F88" s="254">
        <v>0</v>
      </c>
      <c r="G88" s="250" t="s">
        <v>615</v>
      </c>
      <c r="H88" s="254">
        <v>0</v>
      </c>
      <c r="I88" s="250" t="s">
        <v>615</v>
      </c>
      <c r="J88" s="254">
        <v>0</v>
      </c>
      <c r="K88" s="250" t="s">
        <v>615</v>
      </c>
      <c r="L88" s="254">
        <v>1</v>
      </c>
      <c r="M88" s="250" t="s">
        <v>615</v>
      </c>
      <c r="N88" s="254">
        <v>0</v>
      </c>
      <c r="O88" s="250" t="s">
        <v>615</v>
      </c>
      <c r="P88" s="254">
        <v>0</v>
      </c>
      <c r="Q88" s="250" t="s">
        <v>615</v>
      </c>
      <c r="R88" s="254">
        <v>0</v>
      </c>
      <c r="S88" s="250" t="s">
        <v>615</v>
      </c>
      <c r="T88" s="254">
        <v>0</v>
      </c>
      <c r="U88" s="250" t="s">
        <v>615</v>
      </c>
      <c r="V88" s="254">
        <v>0</v>
      </c>
      <c r="W88" s="250" t="s">
        <v>615</v>
      </c>
      <c r="X88" s="254">
        <v>0</v>
      </c>
      <c r="Y88" s="250" t="s">
        <v>615</v>
      </c>
      <c r="Z88" s="254">
        <v>0.38666666580215842</v>
      </c>
      <c r="AA88" s="250" t="s">
        <v>615</v>
      </c>
      <c r="AB88" s="254">
        <v>0</v>
      </c>
      <c r="AC88" s="250" t="s">
        <v>615</v>
      </c>
      <c r="AD88" s="254">
        <v>0</v>
      </c>
      <c r="AE88" s="250" t="s">
        <v>615</v>
      </c>
      <c r="AF88" s="254">
        <v>0</v>
      </c>
      <c r="AG88" s="250" t="s">
        <v>615</v>
      </c>
      <c r="AH88" s="254">
        <v>0</v>
      </c>
      <c r="AI88" s="250" t="s">
        <v>615</v>
      </c>
      <c r="AJ88" s="254">
        <v>0</v>
      </c>
      <c r="AK88" s="250" t="s">
        <v>615</v>
      </c>
      <c r="AL88" s="254">
        <v>0</v>
      </c>
      <c r="AM88" s="250" t="s">
        <v>615</v>
      </c>
      <c r="AN88" s="254">
        <v>0</v>
      </c>
      <c r="AO88" s="250" t="s">
        <v>615</v>
      </c>
      <c r="AP88" s="254">
        <v>0</v>
      </c>
      <c r="AQ88" s="250" t="s">
        <v>615</v>
      </c>
      <c r="AR88" s="254">
        <v>0</v>
      </c>
      <c r="AS88" s="250" t="s">
        <v>615</v>
      </c>
      <c r="AT88" s="254">
        <v>0</v>
      </c>
      <c r="AU88" s="250" t="s">
        <v>615</v>
      </c>
      <c r="AV88" s="254">
        <v>0</v>
      </c>
      <c r="AW88" s="250" t="s">
        <v>615</v>
      </c>
      <c r="AX88" s="254">
        <v>0.38094968142172481</v>
      </c>
      <c r="AY88" s="250" t="s">
        <v>615</v>
      </c>
      <c r="AZ88" s="254">
        <v>0.70623584880521828</v>
      </c>
      <c r="BA88" s="250" t="s">
        <v>615</v>
      </c>
      <c r="BB88" s="254">
        <v>0</v>
      </c>
      <c r="BC88" s="250" t="s">
        <v>615</v>
      </c>
      <c r="BD88" s="254">
        <v>0</v>
      </c>
      <c r="BE88" s="250" t="s">
        <v>615</v>
      </c>
      <c r="BF88" s="254">
        <v>0.30796460099301182</v>
      </c>
      <c r="BG88" s="250" t="s">
        <v>615</v>
      </c>
      <c r="BH88" s="254">
        <v>0</v>
      </c>
      <c r="BI88" s="250" t="s">
        <v>615</v>
      </c>
      <c r="BJ88" s="254">
        <v>1</v>
      </c>
      <c r="BK88" s="250" t="s">
        <v>615</v>
      </c>
      <c r="BL88" s="254">
        <v>0.94978165921477731</v>
      </c>
      <c r="BM88" s="250" t="s">
        <v>615</v>
      </c>
      <c r="BN88" s="254">
        <v>0.3902210469938604</v>
      </c>
      <c r="BO88" s="250" t="s">
        <v>615</v>
      </c>
      <c r="BP88" s="254">
        <v>0.65610032741395108</v>
      </c>
      <c r="BQ88" s="250" t="s">
        <v>615</v>
      </c>
      <c r="BR88" s="254">
        <v>0.97723446991256036</v>
      </c>
      <c r="BS88" s="250" t="s">
        <v>615</v>
      </c>
      <c r="BT88" s="254">
        <v>0.85126737514411543</v>
      </c>
      <c r="BU88" s="250" t="s">
        <v>615</v>
      </c>
      <c r="BV88" s="254">
        <v>0</v>
      </c>
      <c r="BW88" s="250" t="s">
        <v>615</v>
      </c>
      <c r="BX88" s="254">
        <v>0</v>
      </c>
      <c r="BY88" s="250" t="s">
        <v>615</v>
      </c>
      <c r="BZ88" s="254">
        <v>0</v>
      </c>
      <c r="CA88" s="250" t="s">
        <v>615</v>
      </c>
      <c r="CB88" s="254">
        <v>0</v>
      </c>
      <c r="CC88" s="250" t="s">
        <v>615</v>
      </c>
      <c r="CD88" s="254">
        <v>0</v>
      </c>
      <c r="CE88" s="250" t="s">
        <v>615</v>
      </c>
      <c r="CF88" s="254">
        <v>0</v>
      </c>
      <c r="CG88" s="250" t="s">
        <v>615</v>
      </c>
      <c r="CH88" s="254">
        <v>0</v>
      </c>
      <c r="CI88" s="250" t="s">
        <v>615</v>
      </c>
      <c r="CJ88" s="254">
        <v>0</v>
      </c>
      <c r="CK88" s="250" t="s">
        <v>615</v>
      </c>
      <c r="CL88" s="254">
        <v>0</v>
      </c>
      <c r="CM88" s="250" t="s">
        <v>615</v>
      </c>
      <c r="CN88" s="254">
        <v>0</v>
      </c>
      <c r="CO88" s="250" t="s">
        <v>615</v>
      </c>
      <c r="CP88" s="254">
        <v>0</v>
      </c>
      <c r="CQ88" s="250" t="s">
        <v>615</v>
      </c>
      <c r="CR88" s="254">
        <v>0</v>
      </c>
      <c r="CS88" s="250" t="s">
        <v>615</v>
      </c>
      <c r="CT88" s="254">
        <v>0</v>
      </c>
      <c r="CU88" s="250" t="s">
        <v>615</v>
      </c>
      <c r="CV88" s="254">
        <v>0</v>
      </c>
      <c r="CW88" s="250" t="s">
        <v>615</v>
      </c>
      <c r="CX88" s="254">
        <v>0</v>
      </c>
      <c r="CY88" s="250" t="s">
        <v>615</v>
      </c>
      <c r="CZ88" s="254">
        <v>0</v>
      </c>
      <c r="DA88" s="250" t="s">
        <v>615</v>
      </c>
      <c r="DB88" s="254">
        <v>0</v>
      </c>
      <c r="DC88" s="250" t="s">
        <v>615</v>
      </c>
      <c r="DD88" s="254">
        <v>0</v>
      </c>
      <c r="DE88" s="250" t="s">
        <v>615</v>
      </c>
      <c r="DF88" s="254">
        <v>0</v>
      </c>
      <c r="DG88" s="250" t="s">
        <v>615</v>
      </c>
      <c r="DH88" s="254">
        <v>0</v>
      </c>
      <c r="DI88" s="250" t="s">
        <v>615</v>
      </c>
      <c r="DJ88" s="254">
        <v>0</v>
      </c>
      <c r="DK88" s="250" t="s">
        <v>615</v>
      </c>
      <c r="DL88" s="254">
        <v>0</v>
      </c>
      <c r="DM88" s="250" t="s">
        <v>615</v>
      </c>
      <c r="DN88" s="254">
        <v>0.59910804155600095</v>
      </c>
      <c r="DO88" s="250" t="s">
        <v>615</v>
      </c>
      <c r="DP88" s="254">
        <v>1</v>
      </c>
      <c r="DQ88" s="250" t="s">
        <v>615</v>
      </c>
      <c r="DR88" s="254">
        <v>1</v>
      </c>
      <c r="DS88" s="109"/>
      <c r="DT88" s="109"/>
      <c r="DU88" s="109"/>
      <c r="DV88" s="109"/>
      <c r="DW88" s="109"/>
      <c r="DX88" s="109"/>
      <c r="DY88" s="109"/>
      <c r="DZ88" s="109"/>
      <c r="EA88" s="109"/>
      <c r="EB88" s="109"/>
      <c r="EC88" s="109"/>
      <c r="ED88" s="109"/>
      <c r="EE88" s="109"/>
      <c r="EF88" s="109"/>
      <c r="EG88" s="109"/>
      <c r="EH88" s="109"/>
      <c r="EI88" s="109"/>
      <c r="EJ88" s="109"/>
      <c r="EK88" s="109"/>
      <c r="EL88" s="109"/>
      <c r="EM88" s="109"/>
      <c r="EN88" s="109"/>
      <c r="EO88" s="109"/>
      <c r="EP88" s="109"/>
      <c r="EQ88" s="109"/>
      <c r="ER88" s="109"/>
      <c r="ES88" s="109"/>
      <c r="ET88" s="109"/>
      <c r="EU88" s="109"/>
      <c r="EV88" s="109"/>
      <c r="EW88" s="109"/>
      <c r="EX88" s="109"/>
      <c r="EY88" s="109"/>
      <c r="EZ88" s="109"/>
      <c r="FA88" s="109"/>
      <c r="FB88" s="109"/>
      <c r="FC88" s="109"/>
      <c r="FD88" s="109"/>
      <c r="FE88" s="109"/>
      <c r="FF88" s="109"/>
      <c r="FG88" s="109"/>
      <c r="FH88" s="109"/>
      <c r="FI88" s="109"/>
      <c r="FJ88" s="109"/>
      <c r="FK88" s="109"/>
      <c r="FL88" s="109"/>
      <c r="FM88" s="109"/>
      <c r="FN88" s="109"/>
      <c r="FO88" s="109"/>
      <c r="FP88" s="109"/>
      <c r="FQ88" s="109"/>
      <c r="FR88" s="109"/>
      <c r="FS88" s="109"/>
      <c r="FT88" s="109"/>
      <c r="FU88" s="109"/>
      <c r="FV88" s="109"/>
      <c r="FW88" s="109"/>
      <c r="FX88" s="109"/>
      <c r="FY88" s="109"/>
      <c r="FZ88" s="109"/>
      <c r="GA88" s="109"/>
      <c r="GB88" s="109"/>
      <c r="GC88" s="109"/>
      <c r="GD88" s="109"/>
      <c r="GE88" s="109"/>
      <c r="GF88" s="109"/>
      <c r="GG88" s="109"/>
      <c r="GH88" s="109"/>
      <c r="GI88" s="109"/>
      <c r="GJ88" s="109"/>
      <c r="GK88" s="109"/>
      <c r="GL88" s="109"/>
      <c r="GM88" s="109"/>
      <c r="GN88" s="109"/>
      <c r="GO88" s="109"/>
      <c r="GP88" s="109"/>
      <c r="GQ88" s="109"/>
      <c r="GR88" s="109"/>
      <c r="GS88" s="109"/>
      <c r="GT88" s="109"/>
      <c r="GU88" s="109"/>
      <c r="GV88" s="109"/>
      <c r="GW88" s="109"/>
      <c r="GX88" s="109"/>
      <c r="GY88" s="109"/>
      <c r="GZ88" s="109"/>
      <c r="HA88" s="109"/>
      <c r="HB88" s="109"/>
      <c r="HC88" s="109"/>
      <c r="HD88" s="109"/>
      <c r="HE88" s="109"/>
      <c r="HF88" s="109"/>
      <c r="HG88" s="109"/>
      <c r="HH88" s="109"/>
      <c r="HI88" s="109"/>
      <c r="HJ88" s="109"/>
      <c r="HK88" s="109"/>
      <c r="HL88" s="109"/>
      <c r="HM88" s="109"/>
      <c r="HN88" s="109"/>
      <c r="HO88" s="109"/>
      <c r="HP88" s="109"/>
      <c r="HQ88" s="109"/>
      <c r="HR88" s="109"/>
      <c r="HS88" s="109"/>
      <c r="HT88" s="109"/>
      <c r="HU88" s="109"/>
      <c r="HV88" s="109"/>
      <c r="HW88" s="109"/>
      <c r="HX88" s="109"/>
      <c r="HY88" s="109"/>
      <c r="HZ88" s="109"/>
      <c r="IA88" s="109"/>
      <c r="IB88" s="109"/>
      <c r="IC88" s="109"/>
      <c r="ID88" s="109"/>
      <c r="IE88" s="109"/>
      <c r="IF88" s="109"/>
      <c r="IG88" s="109"/>
      <c r="IH88" s="109"/>
      <c r="II88" s="109"/>
      <c r="IJ88" s="109"/>
      <c r="IK88" s="109"/>
      <c r="IL88" s="109"/>
      <c r="IM88" s="109"/>
      <c r="IN88" s="109"/>
      <c r="IO88" s="109"/>
      <c r="IP88" s="109"/>
      <c r="IQ88" s="109"/>
      <c r="IR88" s="109"/>
      <c r="IS88" s="109"/>
      <c r="IT88" s="109"/>
      <c r="IU88" s="109"/>
      <c r="IV88" s="109"/>
      <c r="IW88" s="109"/>
      <c r="IX88" s="109"/>
      <c r="IY88" s="109"/>
      <c r="IZ88" s="109"/>
      <c r="JA88" s="109"/>
      <c r="JB88" s="109"/>
      <c r="JC88" s="109"/>
      <c r="JD88" s="109"/>
      <c r="JE88" s="109"/>
      <c r="JF88" s="109"/>
      <c r="JG88" s="109"/>
      <c r="JH88" s="109"/>
      <c r="JI88" s="109"/>
      <c r="JJ88" s="109"/>
      <c r="JK88" s="109"/>
      <c r="JL88" s="109"/>
      <c r="JM88" s="109"/>
      <c r="JN88" s="109"/>
      <c r="JO88" s="109"/>
      <c r="JP88" s="109"/>
      <c r="JQ88" s="109"/>
      <c r="JR88" s="109"/>
      <c r="JS88" s="109"/>
      <c r="JT88" s="109"/>
      <c r="JU88" s="109"/>
      <c r="JV88" s="109"/>
      <c r="JW88" s="109"/>
      <c r="JX88" s="109"/>
      <c r="JY88" s="109"/>
      <c r="JZ88" s="109"/>
      <c r="KA88" s="109"/>
      <c r="KB88" s="109"/>
      <c r="KC88" s="109"/>
      <c r="KD88" s="109"/>
      <c r="KE88" s="109"/>
      <c r="KF88" s="109"/>
      <c r="KG88" s="109"/>
      <c r="KH88" s="109"/>
      <c r="KI88" s="109"/>
      <c r="KJ88" s="109"/>
      <c r="KK88" s="109"/>
      <c r="KL88" s="109"/>
      <c r="KM88" s="109"/>
      <c r="KN88" s="109"/>
      <c r="KO88" s="109"/>
      <c r="KP88" s="109"/>
      <c r="KQ88" s="109"/>
      <c r="KR88" s="109"/>
      <c r="KS88" s="109"/>
      <c r="KT88" s="109"/>
      <c r="KU88" s="109"/>
      <c r="KV88" s="109"/>
      <c r="KW88" s="109"/>
      <c r="KX88" s="109"/>
      <c r="KY88" s="109"/>
      <c r="KZ88" s="109"/>
      <c r="LA88" s="109"/>
      <c r="LB88" s="109"/>
      <c r="LC88" s="109"/>
      <c r="LD88" s="109"/>
      <c r="LE88" s="109"/>
      <c r="LF88" s="109"/>
      <c r="LG88" s="109"/>
      <c r="LH88" s="109"/>
      <c r="LI88" s="109"/>
      <c r="LJ88" s="109"/>
      <c r="LK88" s="109"/>
      <c r="LL88" s="109"/>
      <c r="LM88" s="109"/>
      <c r="LN88" s="109"/>
      <c r="LO88" s="109"/>
      <c r="LP88" s="109"/>
      <c r="LQ88" s="109"/>
      <c r="LR88" s="109"/>
      <c r="LS88" s="109"/>
      <c r="LT88" s="109"/>
      <c r="LU88" s="109"/>
      <c r="LV88" s="109"/>
      <c r="LW88" s="109"/>
      <c r="LX88" s="109"/>
      <c r="LY88" s="109"/>
      <c r="LZ88" s="109"/>
      <c r="MA88" s="109"/>
      <c r="MB88" s="109"/>
      <c r="MC88" s="109"/>
      <c r="MD88" s="109"/>
      <c r="ME88" s="109"/>
      <c r="MF88" s="109"/>
      <c r="MG88" s="109"/>
      <c r="MH88" s="150"/>
      <c r="MI88" s="109"/>
      <c r="MJ88" s="109"/>
      <c r="MK88" s="109"/>
      <c r="ML88" s="109"/>
      <c r="MM88" s="109"/>
      <c r="MN88" s="109"/>
      <c r="MO88" s="109"/>
      <c r="MP88" s="109"/>
      <c r="MQ88" s="109"/>
      <c r="MR88" s="109"/>
      <c r="MS88" s="109"/>
      <c r="MT88" s="109"/>
      <c r="MU88" s="109"/>
      <c r="MV88" s="109"/>
      <c r="MW88" s="109"/>
      <c r="MX88" s="109"/>
      <c r="MY88" s="109"/>
      <c r="MZ88" s="109"/>
      <c r="NA88" s="109"/>
      <c r="NB88" s="109"/>
    </row>
    <row r="89" spans="1:366" s="261" customFormat="1" x14ac:dyDescent="0.25">
      <c r="A89" s="113">
        <v>0</v>
      </c>
      <c r="B89" s="161" t="s">
        <v>631</v>
      </c>
      <c r="C89" s="250" t="s">
        <v>610</v>
      </c>
      <c r="D89" s="254">
        <v>0</v>
      </c>
      <c r="E89" s="250" t="s">
        <v>610</v>
      </c>
      <c r="F89" s="254">
        <v>4.7727282698020589E-2</v>
      </c>
      <c r="G89" s="250" t="s">
        <v>610</v>
      </c>
      <c r="H89" s="254">
        <v>0.71613117193309539</v>
      </c>
      <c r="I89" s="250" t="s">
        <v>610</v>
      </c>
      <c r="J89" s="254">
        <v>0.32616319025817003</v>
      </c>
      <c r="K89" s="250" t="s">
        <v>610</v>
      </c>
      <c r="L89" s="254">
        <v>1</v>
      </c>
      <c r="M89" s="250" t="s">
        <v>610</v>
      </c>
      <c r="N89" s="254">
        <v>1</v>
      </c>
      <c r="O89" s="250" t="s">
        <v>610</v>
      </c>
      <c r="P89" s="254">
        <v>0.80615781677256304</v>
      </c>
      <c r="Q89" s="250" t="s">
        <v>610</v>
      </c>
      <c r="R89" s="254">
        <v>0.12577716593143681</v>
      </c>
      <c r="S89" s="250" t="s">
        <v>610</v>
      </c>
      <c r="T89" s="254">
        <v>0</v>
      </c>
      <c r="U89" s="250" t="s">
        <v>610</v>
      </c>
      <c r="V89" s="254">
        <v>0.47525185747463694</v>
      </c>
      <c r="W89" s="250" t="s">
        <v>610</v>
      </c>
      <c r="X89" s="254">
        <v>0.46913843164923713</v>
      </c>
      <c r="Y89" s="250" t="s">
        <v>610</v>
      </c>
      <c r="Z89" s="254">
        <v>0.4209004248975538</v>
      </c>
      <c r="AA89" s="250" t="s">
        <v>610</v>
      </c>
      <c r="AB89" s="254">
        <v>1</v>
      </c>
      <c r="AC89" s="250" t="s">
        <v>610</v>
      </c>
      <c r="AD89" s="254">
        <v>0.80615781677256304</v>
      </c>
      <c r="AE89" s="250" t="s">
        <v>610</v>
      </c>
      <c r="AF89" s="254">
        <v>0.63520507144533334</v>
      </c>
      <c r="AG89" s="250" t="s">
        <v>610</v>
      </c>
      <c r="AH89" s="254">
        <v>0.36644648849118505</v>
      </c>
      <c r="AI89" s="250" t="s">
        <v>610</v>
      </c>
      <c r="AJ89" s="254">
        <v>0.12577716593143681</v>
      </c>
      <c r="AK89" s="250" t="s">
        <v>610</v>
      </c>
      <c r="AL89" s="254">
        <v>0.10026616611031119</v>
      </c>
      <c r="AM89" s="250" t="s">
        <v>610</v>
      </c>
      <c r="AN89" s="254">
        <v>5.2731336835433955E-2</v>
      </c>
      <c r="AO89" s="250" t="s">
        <v>610</v>
      </c>
      <c r="AP89" s="254">
        <v>0</v>
      </c>
      <c r="AQ89" s="250" t="s">
        <v>610</v>
      </c>
      <c r="AR89" s="254">
        <v>0</v>
      </c>
      <c r="AS89" s="250" t="s">
        <v>610</v>
      </c>
      <c r="AT89" s="254">
        <v>3.8816538883883499E-2</v>
      </c>
      <c r="AU89" s="250" t="s">
        <v>610</v>
      </c>
      <c r="AV89" s="254">
        <v>0.44022892739428154</v>
      </c>
      <c r="AW89" s="250" t="s">
        <v>610</v>
      </c>
      <c r="AX89" s="254">
        <v>0.45387557320093602</v>
      </c>
      <c r="AY89" s="250" t="s">
        <v>610</v>
      </c>
      <c r="AZ89" s="254">
        <v>0.92280710329885418</v>
      </c>
      <c r="BA89" s="250" t="s">
        <v>610</v>
      </c>
      <c r="BB89" s="254">
        <v>6.8900448967821465E-2</v>
      </c>
      <c r="BC89" s="250" t="s">
        <v>610</v>
      </c>
      <c r="BD89" s="254">
        <v>0.47525185747463694</v>
      </c>
      <c r="BE89" s="250" t="s">
        <v>610</v>
      </c>
      <c r="BF89" s="254">
        <v>0.39592109851787866</v>
      </c>
      <c r="BG89" s="250" t="s">
        <v>610</v>
      </c>
      <c r="BH89" s="254">
        <v>0.37060983734234615</v>
      </c>
      <c r="BI89" s="250" t="s">
        <v>610</v>
      </c>
      <c r="BJ89" s="254">
        <v>1</v>
      </c>
      <c r="BK89" s="250" t="s">
        <v>610</v>
      </c>
      <c r="BL89" s="254">
        <v>0.91547884111176214</v>
      </c>
      <c r="BM89" s="250" t="s">
        <v>610</v>
      </c>
      <c r="BN89" s="254">
        <v>0.44490015845641911</v>
      </c>
      <c r="BO89" s="250" t="s">
        <v>610</v>
      </c>
      <c r="BP89" s="254">
        <v>0.9309640517789588</v>
      </c>
      <c r="BQ89" s="250" t="s">
        <v>610</v>
      </c>
      <c r="BR89" s="254">
        <v>0.93224706171149219</v>
      </c>
      <c r="BS89" s="250" t="s">
        <v>610</v>
      </c>
      <c r="BT89" s="254">
        <v>0.99033065871276804</v>
      </c>
      <c r="BU89" s="250" t="s">
        <v>610</v>
      </c>
      <c r="BV89" s="254">
        <v>2.2592951966908078E-2</v>
      </c>
      <c r="BW89" s="250" t="s">
        <v>610</v>
      </c>
      <c r="BX89" s="254">
        <v>0.59954094680772629</v>
      </c>
      <c r="BY89" s="250" t="s">
        <v>610</v>
      </c>
      <c r="BZ89" s="254">
        <v>0.36047587361270272</v>
      </c>
      <c r="CA89" s="250" t="s">
        <v>610</v>
      </c>
      <c r="CB89" s="254">
        <v>2.2592951966908078E-2</v>
      </c>
      <c r="CC89" s="250" t="s">
        <v>610</v>
      </c>
      <c r="CD89" s="254">
        <v>0.59954094680772629</v>
      </c>
      <c r="CE89" s="250" t="s">
        <v>610</v>
      </c>
      <c r="CF89" s="254">
        <v>0.36047587361270272</v>
      </c>
      <c r="CG89" s="250" t="s">
        <v>610</v>
      </c>
      <c r="CH89" s="254">
        <v>2.2592951966908078E-2</v>
      </c>
      <c r="CI89" s="250" t="s">
        <v>610</v>
      </c>
      <c r="CJ89" s="254">
        <v>0.59954094680772629</v>
      </c>
      <c r="CK89" s="250" t="s">
        <v>610</v>
      </c>
      <c r="CL89" s="254">
        <v>0.36047587361270272</v>
      </c>
      <c r="CM89" s="250" t="s">
        <v>610</v>
      </c>
      <c r="CN89" s="254">
        <v>0</v>
      </c>
      <c r="CO89" s="250" t="s">
        <v>610</v>
      </c>
      <c r="CP89" s="254">
        <v>0</v>
      </c>
      <c r="CQ89" s="250" t="s">
        <v>610</v>
      </c>
      <c r="CR89" s="254">
        <v>0</v>
      </c>
      <c r="CS89" s="250" t="s">
        <v>610</v>
      </c>
      <c r="CT89" s="254">
        <v>0</v>
      </c>
      <c r="CU89" s="250" t="s">
        <v>610</v>
      </c>
      <c r="CV89" s="254">
        <v>0</v>
      </c>
      <c r="CW89" s="250" t="s">
        <v>610</v>
      </c>
      <c r="CX89" s="254">
        <v>0</v>
      </c>
      <c r="CY89" s="250" t="s">
        <v>610</v>
      </c>
      <c r="CZ89" s="254">
        <v>0</v>
      </c>
      <c r="DA89" s="250" t="s">
        <v>610</v>
      </c>
      <c r="DB89" s="254">
        <v>0</v>
      </c>
      <c r="DC89" s="250" t="s">
        <v>610</v>
      </c>
      <c r="DD89" s="254">
        <v>0</v>
      </c>
      <c r="DE89" s="250" t="s">
        <v>610</v>
      </c>
      <c r="DF89" s="254">
        <v>0</v>
      </c>
      <c r="DG89" s="250" t="s">
        <v>610</v>
      </c>
      <c r="DH89" s="254">
        <v>0.57280486151767007</v>
      </c>
      <c r="DI89" s="250" t="s">
        <v>610</v>
      </c>
      <c r="DJ89" s="254">
        <v>0.51985585043514837</v>
      </c>
      <c r="DK89" s="250" t="s">
        <v>610</v>
      </c>
      <c r="DL89" s="254">
        <v>0.57280486151767007</v>
      </c>
      <c r="DM89" s="250" t="s">
        <v>610</v>
      </c>
      <c r="DN89" s="254">
        <v>0.72752960369878905</v>
      </c>
      <c r="DO89" s="250" t="s">
        <v>610</v>
      </c>
      <c r="DP89" s="254">
        <v>1</v>
      </c>
      <c r="DQ89" s="250" t="s">
        <v>610</v>
      </c>
      <c r="DR89" s="254">
        <v>1</v>
      </c>
      <c r="DS89" s="109"/>
      <c r="DT89" s="109"/>
      <c r="DU89" s="109"/>
      <c r="DV89" s="109"/>
      <c r="DW89" s="109"/>
      <c r="DX89" s="109"/>
      <c r="DY89" s="109"/>
      <c r="DZ89" s="109"/>
      <c r="EA89" s="109"/>
      <c r="EB89" s="109"/>
      <c r="EC89" s="109"/>
      <c r="ED89" s="109"/>
      <c r="EE89" s="109"/>
      <c r="EF89" s="109"/>
      <c r="EG89" s="109"/>
      <c r="EH89" s="109"/>
      <c r="EI89" s="109"/>
      <c r="EJ89" s="109"/>
      <c r="EK89" s="109"/>
      <c r="EL89" s="109"/>
      <c r="EM89" s="109"/>
      <c r="EN89" s="109"/>
      <c r="EO89" s="109"/>
      <c r="EP89" s="109"/>
      <c r="EQ89" s="109"/>
      <c r="ER89" s="109"/>
      <c r="ES89" s="109"/>
      <c r="ET89" s="109"/>
      <c r="EU89" s="109"/>
      <c r="EV89" s="109"/>
      <c r="EW89" s="109"/>
      <c r="EX89" s="109"/>
      <c r="EY89" s="109"/>
      <c r="EZ89" s="109"/>
      <c r="FA89" s="109"/>
      <c r="FB89" s="109"/>
      <c r="FC89" s="109"/>
      <c r="FD89" s="109"/>
      <c r="FE89" s="109"/>
      <c r="FF89" s="109"/>
      <c r="FG89" s="109"/>
      <c r="FH89" s="109"/>
      <c r="FI89" s="109"/>
      <c r="FJ89" s="109"/>
      <c r="FK89" s="109"/>
      <c r="FL89" s="109"/>
      <c r="FM89" s="109"/>
      <c r="FN89" s="109"/>
      <c r="FO89" s="109"/>
      <c r="FP89" s="109"/>
      <c r="FQ89" s="109"/>
      <c r="FR89" s="109"/>
      <c r="FS89" s="109"/>
      <c r="FT89" s="109"/>
      <c r="FU89" s="109"/>
      <c r="FV89" s="109"/>
      <c r="FW89" s="109"/>
      <c r="FX89" s="109"/>
      <c r="FY89" s="109"/>
      <c r="FZ89" s="109"/>
      <c r="GA89" s="109"/>
      <c r="GB89" s="109"/>
      <c r="GC89" s="109"/>
      <c r="GD89" s="109"/>
      <c r="GE89" s="109"/>
      <c r="GF89" s="109"/>
      <c r="GG89" s="109"/>
      <c r="GH89" s="109"/>
      <c r="GI89" s="109"/>
      <c r="GJ89" s="109"/>
      <c r="GK89" s="109"/>
      <c r="GL89" s="109"/>
      <c r="GM89" s="109"/>
      <c r="GN89" s="109"/>
      <c r="GO89" s="109"/>
      <c r="GP89" s="109"/>
      <c r="GQ89" s="109"/>
      <c r="GR89" s="109"/>
      <c r="GS89" s="109"/>
      <c r="GT89" s="109"/>
      <c r="GU89" s="109"/>
      <c r="GV89" s="109"/>
      <c r="GW89" s="109"/>
      <c r="GX89" s="109"/>
      <c r="GY89" s="109"/>
      <c r="GZ89" s="109"/>
      <c r="HA89" s="109"/>
      <c r="HB89" s="109"/>
      <c r="HC89" s="109"/>
      <c r="HD89" s="109"/>
      <c r="HE89" s="109"/>
      <c r="HF89" s="109"/>
      <c r="HG89" s="109"/>
      <c r="HH89" s="109"/>
      <c r="HI89" s="109"/>
      <c r="HJ89" s="109"/>
      <c r="HK89" s="109"/>
      <c r="HL89" s="109"/>
      <c r="HM89" s="109"/>
      <c r="HN89" s="109"/>
      <c r="HO89" s="109"/>
      <c r="HP89" s="109"/>
      <c r="HQ89" s="109"/>
      <c r="HR89" s="109"/>
      <c r="HS89" s="109"/>
      <c r="HT89" s="109"/>
      <c r="HU89" s="109"/>
      <c r="HV89" s="109"/>
      <c r="HW89" s="109"/>
      <c r="HX89" s="109"/>
      <c r="HY89" s="109"/>
      <c r="HZ89" s="109"/>
      <c r="IA89" s="109"/>
      <c r="IB89" s="109"/>
      <c r="IC89" s="109"/>
      <c r="ID89" s="109"/>
      <c r="IE89" s="109"/>
      <c r="IF89" s="109"/>
      <c r="IG89" s="109"/>
      <c r="IH89" s="109"/>
      <c r="II89" s="109"/>
      <c r="IJ89" s="109"/>
      <c r="IK89" s="109"/>
      <c r="IL89" s="109"/>
      <c r="IM89" s="109"/>
      <c r="IN89" s="109"/>
      <c r="IO89" s="109"/>
      <c r="IP89" s="109"/>
      <c r="IQ89" s="109"/>
      <c r="IR89" s="109"/>
      <c r="IS89" s="109"/>
      <c r="IT89" s="109"/>
      <c r="IU89" s="109"/>
      <c r="IV89" s="109"/>
      <c r="IW89" s="109"/>
      <c r="IX89" s="109"/>
      <c r="IY89" s="109"/>
      <c r="IZ89" s="109"/>
      <c r="JA89" s="109"/>
      <c r="JB89" s="109"/>
      <c r="JC89" s="109"/>
      <c r="JD89" s="109"/>
      <c r="JE89" s="109"/>
      <c r="JF89" s="109"/>
      <c r="JG89" s="109"/>
      <c r="JH89" s="109"/>
      <c r="JI89" s="109"/>
      <c r="JJ89" s="109"/>
      <c r="JK89" s="109"/>
      <c r="JL89" s="109"/>
      <c r="JM89" s="109"/>
      <c r="JN89" s="109"/>
      <c r="JO89" s="109"/>
      <c r="JP89" s="109"/>
      <c r="JQ89" s="109"/>
      <c r="JR89" s="109"/>
      <c r="JS89" s="109"/>
      <c r="JT89" s="109"/>
      <c r="JU89" s="109"/>
      <c r="JV89" s="109"/>
      <c r="JW89" s="109"/>
      <c r="JX89" s="109"/>
      <c r="JY89" s="109"/>
      <c r="JZ89" s="109"/>
      <c r="KA89" s="109"/>
      <c r="KB89" s="109"/>
      <c r="KC89" s="109"/>
      <c r="KD89" s="109"/>
      <c r="KE89" s="109"/>
      <c r="KF89" s="109"/>
      <c r="KG89" s="109"/>
      <c r="KH89" s="109"/>
      <c r="KI89" s="109"/>
      <c r="KJ89" s="109"/>
      <c r="KK89" s="109"/>
      <c r="KL89" s="109"/>
      <c r="KM89" s="109"/>
      <c r="KN89" s="109"/>
      <c r="KO89" s="109"/>
      <c r="KP89" s="109"/>
      <c r="KQ89" s="109"/>
      <c r="KR89" s="109"/>
      <c r="KS89" s="109"/>
      <c r="KT89" s="109"/>
      <c r="KU89" s="109"/>
      <c r="KV89" s="109"/>
      <c r="KW89" s="109"/>
      <c r="KX89" s="109"/>
      <c r="KY89" s="109"/>
      <c r="KZ89" s="109"/>
      <c r="LA89" s="109"/>
      <c r="LB89" s="109"/>
      <c r="LC89" s="109"/>
      <c r="LD89" s="109"/>
      <c r="LE89" s="109"/>
      <c r="LF89" s="109"/>
      <c r="LG89" s="109"/>
      <c r="LH89" s="109"/>
      <c r="LI89" s="109"/>
      <c r="LJ89" s="109"/>
      <c r="LK89" s="109"/>
      <c r="LL89" s="109"/>
      <c r="LM89" s="109"/>
      <c r="LN89" s="109"/>
      <c r="LO89" s="109"/>
      <c r="LP89" s="109"/>
      <c r="LQ89" s="109"/>
      <c r="LR89" s="109"/>
      <c r="LS89" s="109"/>
      <c r="LT89" s="109"/>
      <c r="LU89" s="109"/>
      <c r="LV89" s="109"/>
      <c r="LW89" s="109"/>
      <c r="LX89" s="109"/>
      <c r="LY89" s="109"/>
      <c r="LZ89" s="109"/>
      <c r="MA89" s="109"/>
      <c r="MB89" s="109"/>
      <c r="MC89" s="109"/>
      <c r="MD89" s="109"/>
      <c r="ME89" s="109"/>
      <c r="MF89" s="109"/>
      <c r="MG89" s="109"/>
      <c r="MH89" s="150"/>
      <c r="MI89" s="109"/>
      <c r="MJ89" s="109"/>
      <c r="MK89" s="109"/>
      <c r="ML89" s="109"/>
      <c r="MM89" s="109"/>
      <c r="MN89" s="109"/>
      <c r="MO89" s="109"/>
      <c r="MP89" s="109"/>
      <c r="MQ89" s="109"/>
      <c r="MR89" s="109"/>
      <c r="MS89" s="109"/>
      <c r="MT89" s="109"/>
      <c r="MU89" s="109"/>
      <c r="MV89" s="109"/>
      <c r="MW89" s="109"/>
      <c r="MX89" s="109"/>
      <c r="MY89" s="109"/>
      <c r="MZ89" s="109"/>
      <c r="NA89" s="109"/>
      <c r="NB89" s="109"/>
    </row>
    <row r="90" spans="1:366" s="261" customFormat="1" x14ac:dyDescent="0.25">
      <c r="A90" s="113">
        <v>0</v>
      </c>
      <c r="B90" s="161" t="s">
        <v>1097</v>
      </c>
      <c r="C90" s="250" t="s">
        <v>610</v>
      </c>
      <c r="D90" s="254">
        <v>0</v>
      </c>
      <c r="E90" s="250" t="s">
        <v>610</v>
      </c>
      <c r="F90" s="254">
        <v>0</v>
      </c>
      <c r="G90" s="250" t="s">
        <v>610</v>
      </c>
      <c r="H90" s="254">
        <v>0</v>
      </c>
      <c r="I90" s="250" t="s">
        <v>610</v>
      </c>
      <c r="J90" s="254">
        <v>0</v>
      </c>
      <c r="K90" s="250" t="s">
        <v>610</v>
      </c>
      <c r="L90" s="254">
        <v>0</v>
      </c>
      <c r="M90" s="250" t="s">
        <v>610</v>
      </c>
      <c r="N90" s="254">
        <v>0</v>
      </c>
      <c r="O90" s="250" t="s">
        <v>610</v>
      </c>
      <c r="P90" s="254">
        <v>0.19384218322743704</v>
      </c>
      <c r="Q90" s="250" t="s">
        <v>610</v>
      </c>
      <c r="R90" s="254">
        <v>0</v>
      </c>
      <c r="S90" s="250" t="s">
        <v>610</v>
      </c>
      <c r="T90" s="254">
        <v>0</v>
      </c>
      <c r="U90" s="250" t="s">
        <v>610</v>
      </c>
      <c r="V90" s="254">
        <v>0</v>
      </c>
      <c r="W90" s="250" t="s">
        <v>610</v>
      </c>
      <c r="X90" s="254">
        <v>0</v>
      </c>
      <c r="Y90" s="250" t="s">
        <v>610</v>
      </c>
      <c r="Z90" s="254">
        <v>0</v>
      </c>
      <c r="AA90" s="250" t="s">
        <v>610</v>
      </c>
      <c r="AB90" s="254">
        <v>0</v>
      </c>
      <c r="AC90" s="250" t="s">
        <v>610</v>
      </c>
      <c r="AD90" s="254">
        <v>0.19384218322743704</v>
      </c>
      <c r="AE90" s="250" t="s">
        <v>610</v>
      </c>
      <c r="AF90" s="254">
        <v>0.14513730994512475</v>
      </c>
      <c r="AG90" s="250" t="s">
        <v>610</v>
      </c>
      <c r="AH90" s="254">
        <v>6.8567303998395779E-2</v>
      </c>
      <c r="AI90" s="250" t="s">
        <v>610</v>
      </c>
      <c r="AJ90" s="254">
        <v>0</v>
      </c>
      <c r="AK90" s="250" t="s">
        <v>610</v>
      </c>
      <c r="AL90" s="254">
        <v>0</v>
      </c>
      <c r="AM90" s="250" t="s">
        <v>610</v>
      </c>
      <c r="AN90" s="254">
        <v>0</v>
      </c>
      <c r="AO90" s="250" t="s">
        <v>610</v>
      </c>
      <c r="AP90" s="254">
        <v>0</v>
      </c>
      <c r="AQ90" s="250" t="s">
        <v>610</v>
      </c>
      <c r="AR90" s="254">
        <v>0</v>
      </c>
      <c r="AS90" s="250" t="s">
        <v>610</v>
      </c>
      <c r="AT90" s="254">
        <v>0</v>
      </c>
      <c r="AU90" s="250" t="s">
        <v>610</v>
      </c>
      <c r="AV90" s="254">
        <v>0</v>
      </c>
      <c r="AW90" s="250" t="s">
        <v>610</v>
      </c>
      <c r="AX90" s="254">
        <v>0</v>
      </c>
      <c r="AY90" s="250" t="s">
        <v>610</v>
      </c>
      <c r="AZ90" s="254">
        <v>0</v>
      </c>
      <c r="BA90" s="250" t="s">
        <v>610</v>
      </c>
      <c r="BB90" s="254">
        <v>0</v>
      </c>
      <c r="BC90" s="250" t="s">
        <v>610</v>
      </c>
      <c r="BD90" s="254">
        <v>0</v>
      </c>
      <c r="BE90" s="250" t="s">
        <v>610</v>
      </c>
      <c r="BF90" s="254">
        <v>0</v>
      </c>
      <c r="BG90" s="250" t="s">
        <v>610</v>
      </c>
      <c r="BH90" s="254">
        <v>0</v>
      </c>
      <c r="BI90" s="250" t="s">
        <v>610</v>
      </c>
      <c r="BJ90" s="254">
        <v>0</v>
      </c>
      <c r="BK90" s="250" t="s">
        <v>610</v>
      </c>
      <c r="BL90" s="254">
        <v>0</v>
      </c>
      <c r="BM90" s="250" t="s">
        <v>610</v>
      </c>
      <c r="BN90" s="254">
        <v>0</v>
      </c>
      <c r="BO90" s="250" t="s">
        <v>610</v>
      </c>
      <c r="BP90" s="254">
        <v>0</v>
      </c>
      <c r="BQ90" s="250" t="s">
        <v>610</v>
      </c>
      <c r="BR90" s="254">
        <v>6.0358291357676598E-2</v>
      </c>
      <c r="BS90" s="250" t="s">
        <v>610</v>
      </c>
      <c r="BT90" s="254">
        <v>0</v>
      </c>
      <c r="BU90" s="250" t="s">
        <v>610</v>
      </c>
      <c r="BV90" s="254">
        <v>0</v>
      </c>
      <c r="BW90" s="250" t="s">
        <v>610</v>
      </c>
      <c r="BX90" s="254">
        <v>0</v>
      </c>
      <c r="BY90" s="250" t="s">
        <v>610</v>
      </c>
      <c r="BZ90" s="254">
        <v>0</v>
      </c>
      <c r="CA90" s="250" t="s">
        <v>610</v>
      </c>
      <c r="CB90" s="254">
        <v>0</v>
      </c>
      <c r="CC90" s="250" t="s">
        <v>610</v>
      </c>
      <c r="CD90" s="254">
        <v>0</v>
      </c>
      <c r="CE90" s="250" t="s">
        <v>610</v>
      </c>
      <c r="CF90" s="254">
        <v>0</v>
      </c>
      <c r="CG90" s="250" t="s">
        <v>610</v>
      </c>
      <c r="CH90" s="254">
        <v>0</v>
      </c>
      <c r="CI90" s="250" t="s">
        <v>610</v>
      </c>
      <c r="CJ90" s="254">
        <v>0</v>
      </c>
      <c r="CK90" s="250" t="s">
        <v>610</v>
      </c>
      <c r="CL90" s="254">
        <v>0</v>
      </c>
      <c r="CM90" s="250" t="s">
        <v>610</v>
      </c>
      <c r="CN90" s="254">
        <v>0</v>
      </c>
      <c r="CO90" s="250" t="s">
        <v>610</v>
      </c>
      <c r="CP90" s="254">
        <v>0</v>
      </c>
      <c r="CQ90" s="250" t="s">
        <v>610</v>
      </c>
      <c r="CR90" s="254">
        <v>0</v>
      </c>
      <c r="CS90" s="250" t="s">
        <v>610</v>
      </c>
      <c r="CT90" s="254">
        <v>0</v>
      </c>
      <c r="CU90" s="250" t="s">
        <v>610</v>
      </c>
      <c r="CV90" s="254">
        <v>0</v>
      </c>
      <c r="CW90" s="250" t="s">
        <v>610</v>
      </c>
      <c r="CX90" s="254">
        <v>0</v>
      </c>
      <c r="CY90" s="250" t="s">
        <v>610</v>
      </c>
      <c r="CZ90" s="254">
        <v>0</v>
      </c>
      <c r="DA90" s="250" t="s">
        <v>610</v>
      </c>
      <c r="DB90" s="254">
        <v>0</v>
      </c>
      <c r="DC90" s="250" t="s">
        <v>610</v>
      </c>
      <c r="DD90" s="254">
        <v>0</v>
      </c>
      <c r="DE90" s="250" t="s">
        <v>610</v>
      </c>
      <c r="DF90" s="254">
        <v>0</v>
      </c>
      <c r="DG90" s="250" t="s">
        <v>610</v>
      </c>
      <c r="DH90" s="254">
        <v>0.1273593309398795</v>
      </c>
      <c r="DI90" s="250" t="s">
        <v>610</v>
      </c>
      <c r="DJ90" s="254">
        <v>0</v>
      </c>
      <c r="DK90" s="250" t="s">
        <v>610</v>
      </c>
      <c r="DL90" s="254">
        <v>0.1273593309398795</v>
      </c>
      <c r="DM90" s="250" t="s">
        <v>610</v>
      </c>
      <c r="DN90" s="254">
        <v>0</v>
      </c>
      <c r="DO90" s="250" t="s">
        <v>610</v>
      </c>
      <c r="DP90" s="254">
        <v>0</v>
      </c>
      <c r="DQ90" s="250" t="s">
        <v>610</v>
      </c>
      <c r="DR90" s="254">
        <v>0</v>
      </c>
      <c r="DS90" s="109"/>
      <c r="DT90" s="109"/>
      <c r="DU90" s="109"/>
      <c r="DV90" s="109"/>
      <c r="DW90" s="109"/>
      <c r="DX90" s="109"/>
      <c r="DY90" s="109"/>
      <c r="DZ90" s="109"/>
      <c r="EA90" s="109"/>
      <c r="EB90" s="109"/>
      <c r="EC90" s="109"/>
      <c r="ED90" s="109"/>
      <c r="EE90" s="109"/>
      <c r="EF90" s="109"/>
      <c r="EG90" s="109"/>
      <c r="EH90" s="109"/>
      <c r="EI90" s="109"/>
      <c r="EJ90" s="109"/>
      <c r="EK90" s="109"/>
      <c r="EL90" s="109"/>
      <c r="EM90" s="109"/>
      <c r="EN90" s="109"/>
      <c r="EO90" s="109"/>
      <c r="EP90" s="109"/>
      <c r="EQ90" s="109"/>
      <c r="ER90" s="109"/>
      <c r="ES90" s="109"/>
      <c r="ET90" s="109"/>
      <c r="EU90" s="109"/>
      <c r="EV90" s="109"/>
      <c r="EW90" s="109"/>
      <c r="EX90" s="109"/>
      <c r="EY90" s="109"/>
      <c r="EZ90" s="109"/>
      <c r="FA90" s="109"/>
      <c r="FB90" s="109"/>
      <c r="FC90" s="109"/>
      <c r="FD90" s="109"/>
      <c r="FE90" s="109"/>
      <c r="FF90" s="109"/>
      <c r="FG90" s="109"/>
      <c r="FH90" s="109"/>
      <c r="FI90" s="109"/>
      <c r="FJ90" s="109"/>
      <c r="FK90" s="109"/>
      <c r="FL90" s="109"/>
      <c r="FM90" s="109"/>
      <c r="FN90" s="109"/>
      <c r="FO90" s="109"/>
      <c r="FP90" s="109"/>
      <c r="FQ90" s="109"/>
      <c r="FR90" s="109"/>
      <c r="FS90" s="109"/>
      <c r="FT90" s="109"/>
      <c r="FU90" s="109"/>
      <c r="FV90" s="109"/>
      <c r="FW90" s="109"/>
      <c r="FX90" s="109"/>
      <c r="FY90" s="109"/>
      <c r="FZ90" s="109"/>
      <c r="GA90" s="109"/>
      <c r="GB90" s="109"/>
      <c r="GC90" s="109"/>
      <c r="GD90" s="109"/>
      <c r="GE90" s="109"/>
      <c r="GF90" s="109"/>
      <c r="GG90" s="109"/>
      <c r="GH90" s="109"/>
      <c r="GI90" s="109"/>
      <c r="GJ90" s="109"/>
      <c r="GK90" s="109"/>
      <c r="GL90" s="109"/>
      <c r="GM90" s="109"/>
      <c r="GN90" s="109"/>
      <c r="GO90" s="109"/>
      <c r="GP90" s="109"/>
      <c r="GQ90" s="109"/>
      <c r="GR90" s="109"/>
      <c r="GS90" s="109"/>
      <c r="GT90" s="109"/>
      <c r="GU90" s="109"/>
      <c r="GV90" s="109"/>
      <c r="GW90" s="109"/>
      <c r="GX90" s="109"/>
      <c r="GY90" s="109"/>
      <c r="GZ90" s="109"/>
      <c r="HA90" s="109"/>
      <c r="HB90" s="109"/>
      <c r="HC90" s="109"/>
      <c r="HD90" s="109"/>
      <c r="HE90" s="109"/>
      <c r="HF90" s="109"/>
      <c r="HG90" s="109"/>
      <c r="HH90" s="109"/>
      <c r="HI90" s="109"/>
      <c r="HJ90" s="109"/>
      <c r="HK90" s="109"/>
      <c r="HL90" s="109"/>
      <c r="HM90" s="109"/>
      <c r="HN90" s="109"/>
      <c r="HO90" s="109"/>
      <c r="HP90" s="109"/>
      <c r="HQ90" s="109"/>
      <c r="HR90" s="109"/>
      <c r="HS90" s="109"/>
      <c r="HT90" s="109"/>
      <c r="HU90" s="109"/>
      <c r="HV90" s="109"/>
      <c r="HW90" s="109"/>
      <c r="HX90" s="109"/>
      <c r="HY90" s="109"/>
      <c r="HZ90" s="109"/>
      <c r="IA90" s="109"/>
      <c r="IB90" s="109"/>
      <c r="IC90" s="109"/>
      <c r="ID90" s="109"/>
      <c r="IE90" s="109"/>
      <c r="IF90" s="109"/>
      <c r="IG90" s="109"/>
      <c r="IH90" s="109"/>
      <c r="II90" s="109"/>
      <c r="IJ90" s="109"/>
      <c r="IK90" s="109"/>
      <c r="IL90" s="109"/>
      <c r="IM90" s="109"/>
      <c r="IN90" s="109"/>
      <c r="IO90" s="109"/>
      <c r="IP90" s="109"/>
      <c r="IQ90" s="109"/>
      <c r="IR90" s="109"/>
      <c r="IS90" s="109"/>
      <c r="IT90" s="109"/>
      <c r="IU90" s="109"/>
      <c r="IV90" s="109"/>
      <c r="IW90" s="109"/>
      <c r="IX90" s="109"/>
      <c r="IY90" s="109"/>
      <c r="IZ90" s="109"/>
      <c r="JA90" s="109"/>
      <c r="JB90" s="109"/>
      <c r="JC90" s="109"/>
      <c r="JD90" s="109"/>
      <c r="JE90" s="109"/>
      <c r="JF90" s="109"/>
      <c r="JG90" s="109"/>
      <c r="JH90" s="109"/>
      <c r="JI90" s="109"/>
      <c r="JJ90" s="109"/>
      <c r="JK90" s="109"/>
      <c r="JL90" s="109"/>
      <c r="JM90" s="109"/>
      <c r="JN90" s="109"/>
      <c r="JO90" s="109"/>
      <c r="JP90" s="109"/>
      <c r="JQ90" s="109"/>
      <c r="JR90" s="109"/>
      <c r="JS90" s="109"/>
      <c r="JT90" s="109"/>
      <c r="JU90" s="109"/>
      <c r="JV90" s="109"/>
      <c r="JW90" s="109"/>
      <c r="JX90" s="109"/>
      <c r="JY90" s="109"/>
      <c r="JZ90" s="109"/>
      <c r="KA90" s="109"/>
      <c r="KB90" s="109"/>
      <c r="KC90" s="109"/>
      <c r="KD90" s="109"/>
      <c r="KE90" s="109"/>
      <c r="KF90" s="109"/>
      <c r="KG90" s="109"/>
      <c r="KH90" s="109"/>
      <c r="KI90" s="109"/>
      <c r="KJ90" s="109"/>
      <c r="KK90" s="109"/>
      <c r="KL90" s="109"/>
      <c r="KM90" s="109"/>
      <c r="KN90" s="109"/>
      <c r="KO90" s="109"/>
      <c r="KP90" s="109"/>
      <c r="KQ90" s="109"/>
      <c r="KR90" s="109"/>
      <c r="KS90" s="109"/>
      <c r="KT90" s="109"/>
      <c r="KU90" s="109"/>
      <c r="KV90" s="109"/>
      <c r="KW90" s="109"/>
      <c r="KX90" s="109"/>
      <c r="KY90" s="109"/>
      <c r="KZ90" s="109"/>
      <c r="LA90" s="109"/>
      <c r="LB90" s="109"/>
      <c r="LC90" s="109"/>
      <c r="LD90" s="109"/>
      <c r="LE90" s="109"/>
      <c r="LF90" s="109"/>
      <c r="LG90" s="109"/>
      <c r="LH90" s="109"/>
      <c r="LI90" s="109"/>
      <c r="LJ90" s="109"/>
      <c r="LK90" s="109"/>
      <c r="LL90" s="109"/>
      <c r="LM90" s="109"/>
      <c r="LN90" s="109"/>
      <c r="LO90" s="109"/>
      <c r="LP90" s="109"/>
      <c r="LQ90" s="109"/>
      <c r="LR90" s="109"/>
      <c r="LS90" s="109"/>
      <c r="LT90" s="109"/>
      <c r="LU90" s="109"/>
      <c r="LV90" s="109"/>
      <c r="LW90" s="109"/>
      <c r="LX90" s="109"/>
      <c r="LY90" s="109"/>
      <c r="LZ90" s="109"/>
      <c r="MA90" s="109"/>
      <c r="MB90" s="109"/>
      <c r="MC90" s="109"/>
      <c r="MD90" s="109"/>
      <c r="ME90" s="109"/>
      <c r="MF90" s="109"/>
      <c r="MG90" s="109"/>
      <c r="MH90" s="150"/>
      <c r="MI90" s="109"/>
      <c r="MJ90" s="109"/>
      <c r="MK90" s="109"/>
      <c r="ML90" s="109"/>
      <c r="MM90" s="109"/>
      <c r="MN90" s="109"/>
      <c r="MO90" s="109"/>
      <c r="MP90" s="109"/>
      <c r="MQ90" s="109"/>
      <c r="MR90" s="109"/>
      <c r="MS90" s="109"/>
      <c r="MT90" s="109"/>
      <c r="MU90" s="109"/>
      <c r="MV90" s="109"/>
      <c r="MW90" s="109"/>
      <c r="MX90" s="109"/>
      <c r="MY90" s="109"/>
      <c r="MZ90" s="109"/>
      <c r="NA90" s="109"/>
      <c r="NB90" s="109"/>
    </row>
    <row r="91" spans="1:366" s="261" customFormat="1" x14ac:dyDescent="0.25">
      <c r="A91" s="113">
        <v>0</v>
      </c>
      <c r="B91" s="161" t="s">
        <v>632</v>
      </c>
      <c r="C91" s="250" t="s">
        <v>609</v>
      </c>
      <c r="D91" s="254">
        <v>0</v>
      </c>
      <c r="E91" s="250" t="s">
        <v>609</v>
      </c>
      <c r="F91" s="254">
        <v>0</v>
      </c>
      <c r="G91" s="250" t="s">
        <v>609</v>
      </c>
      <c r="H91" s="254">
        <v>0</v>
      </c>
      <c r="I91" s="250" t="s">
        <v>609</v>
      </c>
      <c r="J91" s="254">
        <v>0</v>
      </c>
      <c r="K91" s="250" t="s">
        <v>609</v>
      </c>
      <c r="L91" s="254">
        <v>0</v>
      </c>
      <c r="M91" s="250" t="s">
        <v>609</v>
      </c>
      <c r="N91" s="254">
        <v>0</v>
      </c>
      <c r="O91" s="250" t="s">
        <v>609</v>
      </c>
      <c r="P91" s="254">
        <v>0</v>
      </c>
      <c r="Q91" s="250" t="s">
        <v>609</v>
      </c>
      <c r="R91" s="254">
        <v>0.11871782143998084</v>
      </c>
      <c r="S91" s="250" t="s">
        <v>609</v>
      </c>
      <c r="T91" s="254">
        <v>0.90810742903382535</v>
      </c>
      <c r="U91" s="250" t="s">
        <v>609</v>
      </c>
      <c r="V91" s="254">
        <v>0</v>
      </c>
      <c r="W91" s="250" t="s">
        <v>609</v>
      </c>
      <c r="X91" s="254">
        <v>0</v>
      </c>
      <c r="Y91" s="250" t="s">
        <v>609</v>
      </c>
      <c r="Z91" s="254">
        <v>0</v>
      </c>
      <c r="AA91" s="250" t="s">
        <v>609</v>
      </c>
      <c r="AB91" s="254">
        <v>0</v>
      </c>
      <c r="AC91" s="250" t="s">
        <v>609</v>
      </c>
      <c r="AD91" s="254">
        <v>0</v>
      </c>
      <c r="AE91" s="250" t="s">
        <v>609</v>
      </c>
      <c r="AF91" s="254">
        <v>0.11871782143998084</v>
      </c>
      <c r="AG91" s="250" t="s">
        <v>609</v>
      </c>
      <c r="AH91" s="254">
        <v>0.11871782143998083</v>
      </c>
      <c r="AI91" s="250" t="s">
        <v>609</v>
      </c>
      <c r="AJ91" s="254">
        <v>0.11871782143998084</v>
      </c>
      <c r="AK91" s="250" t="s">
        <v>609</v>
      </c>
      <c r="AL91" s="254">
        <v>0.38477303563792115</v>
      </c>
      <c r="AM91" s="250" t="s">
        <v>609</v>
      </c>
      <c r="AN91" s="254">
        <v>0.69860203181573344</v>
      </c>
      <c r="AO91" s="250" t="s">
        <v>609</v>
      </c>
      <c r="AP91" s="254">
        <v>0.90810742903382535</v>
      </c>
      <c r="AQ91" s="250" t="s">
        <v>609</v>
      </c>
      <c r="AR91" s="254">
        <v>0.90810742903382535</v>
      </c>
      <c r="AS91" s="250" t="s">
        <v>609</v>
      </c>
      <c r="AT91" s="254">
        <v>0</v>
      </c>
      <c r="AU91" s="250" t="s">
        <v>609</v>
      </c>
      <c r="AV91" s="254">
        <v>0</v>
      </c>
      <c r="AW91" s="250" t="s">
        <v>609</v>
      </c>
      <c r="AX91" s="254">
        <v>0</v>
      </c>
      <c r="AY91" s="250" t="s">
        <v>609</v>
      </c>
      <c r="AZ91" s="254">
        <v>0</v>
      </c>
      <c r="BA91" s="250" t="s">
        <v>609</v>
      </c>
      <c r="BB91" s="254">
        <v>0</v>
      </c>
      <c r="BC91" s="250" t="s">
        <v>609</v>
      </c>
      <c r="BD91" s="254">
        <v>0</v>
      </c>
      <c r="BE91" s="250" t="s">
        <v>609</v>
      </c>
      <c r="BF91" s="254">
        <v>0</v>
      </c>
      <c r="BG91" s="250" t="s">
        <v>609</v>
      </c>
      <c r="BH91" s="254">
        <v>0</v>
      </c>
      <c r="BI91" s="250" t="s">
        <v>609</v>
      </c>
      <c r="BJ91" s="254">
        <v>0</v>
      </c>
      <c r="BK91" s="250" t="s">
        <v>609</v>
      </c>
      <c r="BL91" s="254">
        <v>0</v>
      </c>
      <c r="BM91" s="250" t="s">
        <v>609</v>
      </c>
      <c r="BN91" s="254">
        <v>0</v>
      </c>
      <c r="BO91" s="250" t="s">
        <v>609</v>
      </c>
      <c r="BP91" s="254">
        <v>0</v>
      </c>
      <c r="BQ91" s="250" t="s">
        <v>609</v>
      </c>
      <c r="BR91" s="254">
        <v>0</v>
      </c>
      <c r="BS91" s="250" t="s">
        <v>609</v>
      </c>
      <c r="BT91" s="254">
        <v>0</v>
      </c>
      <c r="BU91" s="250" t="s">
        <v>609</v>
      </c>
      <c r="BV91" s="254">
        <v>0</v>
      </c>
      <c r="BW91" s="250" t="s">
        <v>609</v>
      </c>
      <c r="BX91" s="254">
        <v>0</v>
      </c>
      <c r="BY91" s="250" t="s">
        <v>609</v>
      </c>
      <c r="BZ91" s="254">
        <v>0</v>
      </c>
      <c r="CA91" s="250" t="s">
        <v>609</v>
      </c>
      <c r="CB91" s="254">
        <v>0</v>
      </c>
      <c r="CC91" s="250" t="s">
        <v>609</v>
      </c>
      <c r="CD91" s="254">
        <v>0</v>
      </c>
      <c r="CE91" s="250" t="s">
        <v>609</v>
      </c>
      <c r="CF91" s="254">
        <v>0</v>
      </c>
      <c r="CG91" s="250" t="s">
        <v>609</v>
      </c>
      <c r="CH91" s="254">
        <v>0</v>
      </c>
      <c r="CI91" s="250" t="s">
        <v>609</v>
      </c>
      <c r="CJ91" s="254">
        <v>0</v>
      </c>
      <c r="CK91" s="250" t="s">
        <v>609</v>
      </c>
      <c r="CL91" s="254">
        <v>0</v>
      </c>
      <c r="CM91" s="250" t="s">
        <v>609</v>
      </c>
      <c r="CN91" s="254">
        <v>0</v>
      </c>
      <c r="CO91" s="250" t="s">
        <v>609</v>
      </c>
      <c r="CP91" s="254">
        <v>0</v>
      </c>
      <c r="CQ91" s="250" t="s">
        <v>609</v>
      </c>
      <c r="CR91" s="254">
        <v>0</v>
      </c>
      <c r="CS91" s="250" t="s">
        <v>609</v>
      </c>
      <c r="CT91" s="254">
        <v>0</v>
      </c>
      <c r="CU91" s="250" t="s">
        <v>609</v>
      </c>
      <c r="CV91" s="254">
        <v>0</v>
      </c>
      <c r="CW91" s="250" t="s">
        <v>609</v>
      </c>
      <c r="CX91" s="254">
        <v>0</v>
      </c>
      <c r="CY91" s="250" t="s">
        <v>609</v>
      </c>
      <c r="CZ91" s="254">
        <v>0</v>
      </c>
      <c r="DA91" s="250" t="s">
        <v>609</v>
      </c>
      <c r="DB91" s="254">
        <v>0</v>
      </c>
      <c r="DC91" s="250" t="s">
        <v>609</v>
      </c>
      <c r="DD91" s="254">
        <v>0</v>
      </c>
      <c r="DE91" s="250" t="s">
        <v>609</v>
      </c>
      <c r="DF91" s="254">
        <v>0</v>
      </c>
      <c r="DG91" s="250" t="s">
        <v>609</v>
      </c>
      <c r="DH91" s="254">
        <v>0.11871782143998083</v>
      </c>
      <c r="DI91" s="250" t="s">
        <v>609</v>
      </c>
      <c r="DJ91" s="254">
        <v>0.10711491168035042</v>
      </c>
      <c r="DK91" s="250" t="s">
        <v>609</v>
      </c>
      <c r="DL91" s="254">
        <v>0.11871782143998083</v>
      </c>
      <c r="DM91" s="250" t="s">
        <v>609</v>
      </c>
      <c r="DN91" s="254">
        <v>0</v>
      </c>
      <c r="DO91" s="250" t="s">
        <v>609</v>
      </c>
      <c r="DP91" s="254">
        <v>0</v>
      </c>
      <c r="DQ91" s="250" t="s">
        <v>609</v>
      </c>
      <c r="DR91" s="254">
        <v>0</v>
      </c>
      <c r="DS91" s="109"/>
      <c r="DT91" s="109"/>
      <c r="DU91" s="109"/>
      <c r="DV91" s="109"/>
      <c r="DW91" s="109"/>
      <c r="DX91" s="109"/>
      <c r="DY91" s="109"/>
      <c r="DZ91" s="109"/>
      <c r="EA91" s="109"/>
      <c r="EB91" s="109"/>
      <c r="EC91" s="109"/>
      <c r="ED91" s="109"/>
      <c r="EE91" s="109"/>
      <c r="EF91" s="109"/>
      <c r="EG91" s="109"/>
      <c r="EH91" s="109"/>
      <c r="EI91" s="109"/>
      <c r="EJ91" s="109"/>
      <c r="EK91" s="109"/>
      <c r="EL91" s="109"/>
      <c r="EM91" s="109"/>
      <c r="EN91" s="109"/>
      <c r="EO91" s="109"/>
      <c r="EP91" s="109"/>
      <c r="EQ91" s="109"/>
      <c r="ER91" s="109"/>
      <c r="ES91" s="109"/>
      <c r="ET91" s="109"/>
      <c r="EU91" s="109"/>
      <c r="EV91" s="109"/>
      <c r="EW91" s="109"/>
      <c r="EX91" s="109"/>
      <c r="EY91" s="109"/>
      <c r="EZ91" s="109"/>
      <c r="FA91" s="109"/>
      <c r="FB91" s="109"/>
      <c r="FC91" s="109"/>
      <c r="FD91" s="109"/>
      <c r="FE91" s="109"/>
      <c r="FF91" s="109"/>
      <c r="FG91" s="109"/>
      <c r="FH91" s="109"/>
      <c r="FI91" s="109"/>
      <c r="FJ91" s="109"/>
      <c r="FK91" s="109"/>
      <c r="FL91" s="109"/>
      <c r="FM91" s="109"/>
      <c r="FN91" s="109"/>
      <c r="FO91" s="109"/>
      <c r="FP91" s="109"/>
      <c r="FQ91" s="109"/>
      <c r="FR91" s="109"/>
      <c r="FS91" s="109"/>
      <c r="FT91" s="109"/>
      <c r="FU91" s="109"/>
      <c r="FV91" s="109"/>
      <c r="FW91" s="109"/>
      <c r="FX91" s="109"/>
      <c r="FY91" s="109"/>
      <c r="FZ91" s="109"/>
      <c r="GA91" s="109"/>
      <c r="GB91" s="109"/>
      <c r="GC91" s="109"/>
      <c r="GD91" s="109"/>
      <c r="GE91" s="109"/>
      <c r="GF91" s="109"/>
      <c r="GG91" s="109"/>
      <c r="GH91" s="109"/>
      <c r="GI91" s="109"/>
      <c r="GJ91" s="109"/>
      <c r="GK91" s="109"/>
      <c r="GL91" s="109"/>
      <c r="GM91" s="109"/>
      <c r="GN91" s="109"/>
      <c r="GO91" s="109"/>
      <c r="GP91" s="109"/>
      <c r="GQ91" s="109"/>
      <c r="GR91" s="109"/>
      <c r="GS91" s="109"/>
      <c r="GT91" s="109"/>
      <c r="GU91" s="109"/>
      <c r="GV91" s="109"/>
      <c r="GW91" s="109"/>
      <c r="GX91" s="109"/>
      <c r="GY91" s="109"/>
      <c r="GZ91" s="109"/>
      <c r="HA91" s="109"/>
      <c r="HB91" s="109"/>
      <c r="HC91" s="109"/>
      <c r="HD91" s="109"/>
      <c r="HE91" s="109"/>
      <c r="HF91" s="109"/>
      <c r="HG91" s="109"/>
      <c r="HH91" s="109"/>
      <c r="HI91" s="109"/>
      <c r="HJ91" s="109"/>
      <c r="HK91" s="109"/>
      <c r="HL91" s="109"/>
      <c r="HM91" s="109"/>
      <c r="HN91" s="109"/>
      <c r="HO91" s="109"/>
      <c r="HP91" s="109"/>
      <c r="HQ91" s="109"/>
      <c r="HR91" s="109"/>
      <c r="HS91" s="109"/>
      <c r="HT91" s="109"/>
      <c r="HU91" s="109"/>
      <c r="HV91" s="109"/>
      <c r="HW91" s="109"/>
      <c r="HX91" s="109"/>
      <c r="HY91" s="109"/>
      <c r="HZ91" s="109"/>
      <c r="IA91" s="109"/>
      <c r="IB91" s="109"/>
      <c r="IC91" s="109"/>
      <c r="ID91" s="109"/>
      <c r="IE91" s="109"/>
      <c r="IF91" s="109"/>
      <c r="IG91" s="109"/>
      <c r="IH91" s="109"/>
      <c r="II91" s="109"/>
      <c r="IJ91" s="109"/>
      <c r="IK91" s="109"/>
      <c r="IL91" s="109"/>
      <c r="IM91" s="109"/>
      <c r="IN91" s="109"/>
      <c r="IO91" s="109"/>
      <c r="IP91" s="109"/>
      <c r="IQ91" s="109"/>
      <c r="IR91" s="109"/>
      <c r="IS91" s="109"/>
      <c r="IT91" s="109"/>
      <c r="IU91" s="109"/>
      <c r="IV91" s="109"/>
      <c r="IW91" s="109"/>
      <c r="IX91" s="109"/>
      <c r="IY91" s="109"/>
      <c r="IZ91" s="109"/>
      <c r="JA91" s="109"/>
      <c r="JB91" s="109"/>
      <c r="JC91" s="109"/>
      <c r="JD91" s="109"/>
      <c r="JE91" s="109"/>
      <c r="JF91" s="109"/>
      <c r="JG91" s="109"/>
      <c r="JH91" s="109"/>
      <c r="JI91" s="109"/>
      <c r="JJ91" s="109"/>
      <c r="JK91" s="109"/>
      <c r="JL91" s="109"/>
      <c r="JM91" s="109"/>
      <c r="JN91" s="109"/>
      <c r="JO91" s="109"/>
      <c r="JP91" s="109"/>
      <c r="JQ91" s="109"/>
      <c r="JR91" s="109"/>
      <c r="JS91" s="109"/>
      <c r="JT91" s="109"/>
      <c r="JU91" s="109"/>
      <c r="JV91" s="109"/>
      <c r="JW91" s="109"/>
      <c r="JX91" s="109"/>
      <c r="JY91" s="109"/>
      <c r="JZ91" s="109"/>
      <c r="KA91" s="109"/>
      <c r="KB91" s="109"/>
      <c r="KC91" s="109"/>
      <c r="KD91" s="109"/>
      <c r="KE91" s="109"/>
      <c r="KF91" s="109"/>
      <c r="KG91" s="109"/>
      <c r="KH91" s="109"/>
      <c r="KI91" s="109"/>
      <c r="KJ91" s="109"/>
      <c r="KK91" s="109"/>
      <c r="KL91" s="109"/>
      <c r="KM91" s="109"/>
      <c r="KN91" s="109"/>
      <c r="KO91" s="109"/>
      <c r="KP91" s="109"/>
      <c r="KQ91" s="109"/>
      <c r="KR91" s="109"/>
      <c r="KS91" s="109"/>
      <c r="KT91" s="109"/>
      <c r="KU91" s="109"/>
      <c r="KV91" s="109"/>
      <c r="KW91" s="109"/>
      <c r="KX91" s="109"/>
      <c r="KY91" s="109"/>
      <c r="KZ91" s="109"/>
      <c r="LA91" s="109"/>
      <c r="LB91" s="109"/>
      <c r="LC91" s="109"/>
      <c r="LD91" s="109"/>
      <c r="LE91" s="109"/>
      <c r="LF91" s="109"/>
      <c r="LG91" s="109"/>
      <c r="LH91" s="109"/>
      <c r="LI91" s="109"/>
      <c r="LJ91" s="109"/>
      <c r="LK91" s="109"/>
      <c r="LL91" s="109"/>
      <c r="LM91" s="109"/>
      <c r="LN91" s="109"/>
      <c r="LO91" s="109"/>
      <c r="LP91" s="109"/>
      <c r="LQ91" s="109"/>
      <c r="LR91" s="109"/>
      <c r="LS91" s="109"/>
      <c r="LT91" s="109"/>
      <c r="LU91" s="109"/>
      <c r="LV91" s="109"/>
      <c r="LW91" s="109"/>
      <c r="LX91" s="109"/>
      <c r="LY91" s="109"/>
      <c r="LZ91" s="109"/>
      <c r="MA91" s="109"/>
      <c r="MB91" s="109"/>
      <c r="MC91" s="109"/>
      <c r="MD91" s="109"/>
      <c r="ME91" s="109"/>
      <c r="MF91" s="109"/>
      <c r="MG91" s="109"/>
      <c r="MH91" s="150"/>
      <c r="MI91" s="109"/>
      <c r="MJ91" s="109"/>
      <c r="MK91" s="109"/>
      <c r="ML91" s="109"/>
      <c r="MM91" s="109"/>
      <c r="MN91" s="109"/>
      <c r="MO91" s="109"/>
      <c r="MP91" s="109"/>
      <c r="MQ91" s="109"/>
      <c r="MR91" s="109"/>
      <c r="MS91" s="109"/>
      <c r="MT91" s="109"/>
      <c r="MU91" s="109"/>
      <c r="MV91" s="109"/>
      <c r="MW91" s="109"/>
      <c r="MX91" s="109"/>
      <c r="MY91" s="109"/>
      <c r="MZ91" s="109"/>
      <c r="NA91" s="109"/>
      <c r="NB91" s="109"/>
    </row>
    <row r="92" spans="1:366" s="261" customFormat="1" x14ac:dyDescent="0.25">
      <c r="A92" s="113">
        <v>0</v>
      </c>
      <c r="B92" s="161" t="s">
        <v>633</v>
      </c>
      <c r="C92" s="250" t="s">
        <v>610</v>
      </c>
      <c r="D92" s="254">
        <v>0</v>
      </c>
      <c r="E92" s="250" t="s">
        <v>610</v>
      </c>
      <c r="F92" s="254">
        <v>0</v>
      </c>
      <c r="G92" s="250" t="s">
        <v>610</v>
      </c>
      <c r="H92" s="254">
        <v>0</v>
      </c>
      <c r="I92" s="250" t="s">
        <v>610</v>
      </c>
      <c r="J92" s="254">
        <v>0</v>
      </c>
      <c r="K92" s="250" t="s">
        <v>610</v>
      </c>
      <c r="L92" s="254">
        <v>0</v>
      </c>
      <c r="M92" s="250" t="s">
        <v>610</v>
      </c>
      <c r="N92" s="254">
        <v>0</v>
      </c>
      <c r="O92" s="250" t="s">
        <v>610</v>
      </c>
      <c r="P92" s="254">
        <v>0</v>
      </c>
      <c r="Q92" s="250" t="s">
        <v>610</v>
      </c>
      <c r="R92" s="254">
        <v>0.87422283406856327</v>
      </c>
      <c r="S92" s="250" t="s">
        <v>610</v>
      </c>
      <c r="T92" s="254">
        <v>1</v>
      </c>
      <c r="U92" s="250" t="s">
        <v>610</v>
      </c>
      <c r="V92" s="254">
        <v>0</v>
      </c>
      <c r="W92" s="250" t="s">
        <v>610</v>
      </c>
      <c r="X92" s="254">
        <v>0</v>
      </c>
      <c r="Y92" s="250" t="s">
        <v>610</v>
      </c>
      <c r="Z92" s="254">
        <v>0</v>
      </c>
      <c r="AA92" s="250" t="s">
        <v>610</v>
      </c>
      <c r="AB92" s="254">
        <v>0</v>
      </c>
      <c r="AC92" s="250" t="s">
        <v>610</v>
      </c>
      <c r="AD92" s="254">
        <v>0</v>
      </c>
      <c r="AE92" s="250" t="s">
        <v>610</v>
      </c>
      <c r="AF92" s="254">
        <v>0.21965761860954186</v>
      </c>
      <c r="AG92" s="250" t="s">
        <v>610</v>
      </c>
      <c r="AH92" s="254">
        <v>0.56498620751041928</v>
      </c>
      <c r="AI92" s="250" t="s">
        <v>610</v>
      </c>
      <c r="AJ92" s="254">
        <v>0.87422283406856327</v>
      </c>
      <c r="AK92" s="250" t="s">
        <v>610</v>
      </c>
      <c r="AL92" s="254">
        <v>0.89973383388968886</v>
      </c>
      <c r="AM92" s="250" t="s">
        <v>610</v>
      </c>
      <c r="AN92" s="254">
        <v>0.94726866316456604</v>
      </c>
      <c r="AO92" s="250" t="s">
        <v>610</v>
      </c>
      <c r="AP92" s="254">
        <v>1</v>
      </c>
      <c r="AQ92" s="250" t="s">
        <v>610</v>
      </c>
      <c r="AR92" s="254">
        <v>1</v>
      </c>
      <c r="AS92" s="250" t="s">
        <v>610</v>
      </c>
      <c r="AT92" s="254">
        <v>0</v>
      </c>
      <c r="AU92" s="250" t="s">
        <v>610</v>
      </c>
      <c r="AV92" s="254">
        <v>0</v>
      </c>
      <c r="AW92" s="250" t="s">
        <v>610</v>
      </c>
      <c r="AX92" s="254">
        <v>0</v>
      </c>
      <c r="AY92" s="250" t="s">
        <v>610</v>
      </c>
      <c r="AZ92" s="254">
        <v>0</v>
      </c>
      <c r="BA92" s="250" t="s">
        <v>610</v>
      </c>
      <c r="BB92" s="254">
        <v>0</v>
      </c>
      <c r="BC92" s="250" t="s">
        <v>610</v>
      </c>
      <c r="BD92" s="254">
        <v>0</v>
      </c>
      <c r="BE92" s="250" t="s">
        <v>610</v>
      </c>
      <c r="BF92" s="254">
        <v>0</v>
      </c>
      <c r="BG92" s="250" t="s">
        <v>610</v>
      </c>
      <c r="BH92" s="254">
        <v>0</v>
      </c>
      <c r="BI92" s="250" t="s">
        <v>610</v>
      </c>
      <c r="BJ92" s="254">
        <v>0</v>
      </c>
      <c r="BK92" s="250" t="s">
        <v>610</v>
      </c>
      <c r="BL92" s="254">
        <v>0</v>
      </c>
      <c r="BM92" s="250" t="s">
        <v>610</v>
      </c>
      <c r="BN92" s="254">
        <v>0</v>
      </c>
      <c r="BO92" s="250" t="s">
        <v>610</v>
      </c>
      <c r="BP92" s="254">
        <v>0</v>
      </c>
      <c r="BQ92" s="250" t="s">
        <v>610</v>
      </c>
      <c r="BR92" s="254">
        <v>0</v>
      </c>
      <c r="BS92" s="250" t="s">
        <v>610</v>
      </c>
      <c r="BT92" s="254">
        <v>0</v>
      </c>
      <c r="BU92" s="250" t="s">
        <v>610</v>
      </c>
      <c r="BV92" s="254">
        <v>0</v>
      </c>
      <c r="BW92" s="250" t="s">
        <v>610</v>
      </c>
      <c r="BX92" s="254">
        <v>0</v>
      </c>
      <c r="BY92" s="250" t="s">
        <v>610</v>
      </c>
      <c r="BZ92" s="254">
        <v>0</v>
      </c>
      <c r="CA92" s="250" t="s">
        <v>610</v>
      </c>
      <c r="CB92" s="254">
        <v>0</v>
      </c>
      <c r="CC92" s="250" t="s">
        <v>610</v>
      </c>
      <c r="CD92" s="254">
        <v>0</v>
      </c>
      <c r="CE92" s="250" t="s">
        <v>610</v>
      </c>
      <c r="CF92" s="254">
        <v>0</v>
      </c>
      <c r="CG92" s="250" t="s">
        <v>610</v>
      </c>
      <c r="CH92" s="254">
        <v>0</v>
      </c>
      <c r="CI92" s="250" t="s">
        <v>610</v>
      </c>
      <c r="CJ92" s="254">
        <v>0</v>
      </c>
      <c r="CK92" s="250" t="s">
        <v>610</v>
      </c>
      <c r="CL92" s="254">
        <v>0</v>
      </c>
      <c r="CM92" s="250" t="s">
        <v>610</v>
      </c>
      <c r="CN92" s="254">
        <v>0</v>
      </c>
      <c r="CO92" s="250" t="s">
        <v>610</v>
      </c>
      <c r="CP92" s="254">
        <v>0</v>
      </c>
      <c r="CQ92" s="250" t="s">
        <v>610</v>
      </c>
      <c r="CR92" s="254">
        <v>0</v>
      </c>
      <c r="CS92" s="250" t="s">
        <v>610</v>
      </c>
      <c r="CT92" s="254">
        <v>0</v>
      </c>
      <c r="CU92" s="250" t="s">
        <v>610</v>
      </c>
      <c r="CV92" s="254">
        <v>0</v>
      </c>
      <c r="CW92" s="250" t="s">
        <v>610</v>
      </c>
      <c r="CX92" s="254">
        <v>0</v>
      </c>
      <c r="CY92" s="250" t="s">
        <v>610</v>
      </c>
      <c r="CZ92" s="254">
        <v>0</v>
      </c>
      <c r="DA92" s="250" t="s">
        <v>610</v>
      </c>
      <c r="DB92" s="254">
        <v>0</v>
      </c>
      <c r="DC92" s="250" t="s">
        <v>610</v>
      </c>
      <c r="DD92" s="254">
        <v>0</v>
      </c>
      <c r="DE92" s="250" t="s">
        <v>610</v>
      </c>
      <c r="DF92" s="254">
        <v>0</v>
      </c>
      <c r="DG92" s="250" t="s">
        <v>610</v>
      </c>
      <c r="DH92" s="254">
        <v>0.29983580754245048</v>
      </c>
      <c r="DI92" s="250" t="s">
        <v>610</v>
      </c>
      <c r="DJ92" s="254">
        <v>0.48014414956485163</v>
      </c>
      <c r="DK92" s="250" t="s">
        <v>610</v>
      </c>
      <c r="DL92" s="254">
        <v>0.29983580754245048</v>
      </c>
      <c r="DM92" s="250" t="s">
        <v>610</v>
      </c>
      <c r="DN92" s="254">
        <v>0</v>
      </c>
      <c r="DO92" s="250" t="s">
        <v>610</v>
      </c>
      <c r="DP92" s="254">
        <v>0</v>
      </c>
      <c r="DQ92" s="250" t="s">
        <v>610</v>
      </c>
      <c r="DR92" s="254">
        <v>0</v>
      </c>
      <c r="DS92" s="109"/>
      <c r="DT92" s="109"/>
      <c r="DU92" s="109"/>
      <c r="DV92" s="109"/>
      <c r="DW92" s="109"/>
      <c r="DX92" s="109"/>
      <c r="DY92" s="109"/>
      <c r="DZ92" s="109"/>
      <c r="EA92" s="109"/>
      <c r="EB92" s="109"/>
      <c r="EC92" s="109"/>
      <c r="ED92" s="109"/>
      <c r="EE92" s="109"/>
      <c r="EF92" s="109"/>
      <c r="EG92" s="109"/>
      <c r="EH92" s="109"/>
      <c r="EI92" s="109"/>
      <c r="EJ92" s="109"/>
      <c r="EK92" s="109"/>
      <c r="EL92" s="109"/>
      <c r="EM92" s="109"/>
      <c r="EN92" s="109"/>
      <c r="EO92" s="109"/>
      <c r="EP92" s="109"/>
      <c r="EQ92" s="109"/>
      <c r="ER92" s="109"/>
      <c r="ES92" s="109"/>
      <c r="ET92" s="109"/>
      <c r="EU92" s="109"/>
      <c r="EV92" s="109"/>
      <c r="EW92" s="109"/>
      <c r="EX92" s="109"/>
      <c r="EY92" s="109"/>
      <c r="EZ92" s="109"/>
      <c r="FA92" s="109"/>
      <c r="FB92" s="109"/>
      <c r="FC92" s="109"/>
      <c r="FD92" s="109"/>
      <c r="FE92" s="109"/>
      <c r="FF92" s="109"/>
      <c r="FG92" s="109"/>
      <c r="FH92" s="109"/>
      <c r="FI92" s="109"/>
      <c r="FJ92" s="109"/>
      <c r="FK92" s="109"/>
      <c r="FL92" s="109"/>
      <c r="FM92" s="109"/>
      <c r="FN92" s="109"/>
      <c r="FO92" s="109"/>
      <c r="FP92" s="109"/>
      <c r="FQ92" s="109"/>
      <c r="FR92" s="109"/>
      <c r="FS92" s="109"/>
      <c r="FT92" s="109"/>
      <c r="FU92" s="109"/>
      <c r="FV92" s="109"/>
      <c r="FW92" s="109"/>
      <c r="FX92" s="109"/>
      <c r="FY92" s="109"/>
      <c r="FZ92" s="109"/>
      <c r="GA92" s="109"/>
      <c r="GB92" s="109"/>
      <c r="GC92" s="109"/>
      <c r="GD92" s="109"/>
      <c r="GE92" s="109"/>
      <c r="GF92" s="109"/>
      <c r="GG92" s="109"/>
      <c r="GH92" s="109"/>
      <c r="GI92" s="109"/>
      <c r="GJ92" s="109"/>
      <c r="GK92" s="109"/>
      <c r="GL92" s="109"/>
      <c r="GM92" s="109"/>
      <c r="GN92" s="109"/>
      <c r="GO92" s="109"/>
      <c r="GP92" s="109"/>
      <c r="GQ92" s="109"/>
      <c r="GR92" s="109"/>
      <c r="GS92" s="109"/>
      <c r="GT92" s="109"/>
      <c r="GU92" s="109"/>
      <c r="GV92" s="109"/>
      <c r="GW92" s="109"/>
      <c r="GX92" s="109"/>
      <c r="GY92" s="109"/>
      <c r="GZ92" s="109"/>
      <c r="HA92" s="109"/>
      <c r="HB92" s="109"/>
      <c r="HC92" s="109"/>
      <c r="HD92" s="109"/>
      <c r="HE92" s="109"/>
      <c r="HF92" s="109"/>
      <c r="HG92" s="109"/>
      <c r="HH92" s="109"/>
      <c r="HI92" s="109"/>
      <c r="HJ92" s="109"/>
      <c r="HK92" s="109"/>
      <c r="HL92" s="109"/>
      <c r="HM92" s="109"/>
      <c r="HN92" s="109"/>
      <c r="HO92" s="109"/>
      <c r="HP92" s="109"/>
      <c r="HQ92" s="109"/>
      <c r="HR92" s="109"/>
      <c r="HS92" s="109"/>
      <c r="HT92" s="109"/>
      <c r="HU92" s="109"/>
      <c r="HV92" s="109"/>
      <c r="HW92" s="109"/>
      <c r="HX92" s="109"/>
      <c r="HY92" s="109"/>
      <c r="HZ92" s="109"/>
      <c r="IA92" s="109"/>
      <c r="IB92" s="109"/>
      <c r="IC92" s="109"/>
      <c r="ID92" s="109"/>
      <c r="IE92" s="109"/>
      <c r="IF92" s="109"/>
      <c r="IG92" s="109"/>
      <c r="IH92" s="109"/>
      <c r="II92" s="109"/>
      <c r="IJ92" s="109"/>
      <c r="IK92" s="109"/>
      <c r="IL92" s="109"/>
      <c r="IM92" s="109"/>
      <c r="IN92" s="109"/>
      <c r="IO92" s="109"/>
      <c r="IP92" s="109"/>
      <c r="IQ92" s="109"/>
      <c r="IR92" s="109"/>
      <c r="IS92" s="109"/>
      <c r="IT92" s="109"/>
      <c r="IU92" s="109"/>
      <c r="IV92" s="109"/>
      <c r="IW92" s="109"/>
      <c r="IX92" s="109"/>
      <c r="IY92" s="109"/>
      <c r="IZ92" s="109"/>
      <c r="JA92" s="109"/>
      <c r="JB92" s="109"/>
      <c r="JC92" s="109"/>
      <c r="JD92" s="109"/>
      <c r="JE92" s="109"/>
      <c r="JF92" s="109"/>
      <c r="JG92" s="109"/>
      <c r="JH92" s="109"/>
      <c r="JI92" s="109"/>
      <c r="JJ92" s="109"/>
      <c r="JK92" s="109"/>
      <c r="JL92" s="109"/>
      <c r="JM92" s="109"/>
      <c r="JN92" s="109"/>
      <c r="JO92" s="109"/>
      <c r="JP92" s="109"/>
      <c r="JQ92" s="109"/>
      <c r="JR92" s="109"/>
      <c r="JS92" s="109"/>
      <c r="JT92" s="109"/>
      <c r="JU92" s="109"/>
      <c r="JV92" s="109"/>
      <c r="JW92" s="109"/>
      <c r="JX92" s="109"/>
      <c r="JY92" s="109"/>
      <c r="JZ92" s="109"/>
      <c r="KA92" s="109"/>
      <c r="KB92" s="109"/>
      <c r="KC92" s="109"/>
      <c r="KD92" s="109"/>
      <c r="KE92" s="109"/>
      <c r="KF92" s="109"/>
      <c r="KG92" s="109"/>
      <c r="KH92" s="109"/>
      <c r="KI92" s="109"/>
      <c r="KJ92" s="109"/>
      <c r="KK92" s="109"/>
      <c r="KL92" s="109"/>
      <c r="KM92" s="109"/>
      <c r="KN92" s="109"/>
      <c r="KO92" s="109"/>
      <c r="KP92" s="109"/>
      <c r="KQ92" s="109"/>
      <c r="KR92" s="109"/>
      <c r="KS92" s="109"/>
      <c r="KT92" s="109"/>
      <c r="KU92" s="109"/>
      <c r="KV92" s="109"/>
      <c r="KW92" s="109"/>
      <c r="KX92" s="109"/>
      <c r="KY92" s="109"/>
      <c r="KZ92" s="109"/>
      <c r="LA92" s="109"/>
      <c r="LB92" s="109"/>
      <c r="LC92" s="109"/>
      <c r="LD92" s="109"/>
      <c r="LE92" s="109"/>
      <c r="LF92" s="109"/>
      <c r="LG92" s="109"/>
      <c r="LH92" s="109"/>
      <c r="LI92" s="109"/>
      <c r="LJ92" s="109"/>
      <c r="LK92" s="109"/>
      <c r="LL92" s="109"/>
      <c r="LM92" s="109"/>
      <c r="LN92" s="109"/>
      <c r="LO92" s="109"/>
      <c r="LP92" s="109"/>
      <c r="LQ92" s="109"/>
      <c r="LR92" s="109"/>
      <c r="LS92" s="109"/>
      <c r="LT92" s="109"/>
      <c r="LU92" s="109"/>
      <c r="LV92" s="109"/>
      <c r="LW92" s="109"/>
      <c r="LX92" s="109"/>
      <c r="LY92" s="109"/>
      <c r="LZ92" s="109"/>
      <c r="MA92" s="109"/>
      <c r="MB92" s="109"/>
      <c r="MC92" s="109"/>
      <c r="MD92" s="109"/>
      <c r="ME92" s="109"/>
      <c r="MF92" s="109"/>
      <c r="MG92" s="109"/>
      <c r="MH92" s="150"/>
      <c r="MI92" s="109"/>
      <c r="MJ92" s="109"/>
      <c r="MK92" s="109"/>
      <c r="ML92" s="109"/>
      <c r="MM92" s="109"/>
      <c r="MN92" s="109"/>
      <c r="MO92" s="109"/>
      <c r="MP92" s="109"/>
      <c r="MQ92" s="109"/>
      <c r="MR92" s="109"/>
      <c r="MS92" s="109"/>
      <c r="MT92" s="109"/>
      <c r="MU92" s="109"/>
      <c r="MV92" s="109"/>
      <c r="MW92" s="109"/>
      <c r="MX92" s="109"/>
      <c r="MY92" s="109"/>
      <c r="MZ92" s="109"/>
      <c r="NA92" s="109"/>
      <c r="NB92" s="109"/>
    </row>
    <row r="93" spans="1:366" s="261" customFormat="1" x14ac:dyDescent="0.25">
      <c r="A93" s="113">
        <v>0</v>
      </c>
      <c r="B93" s="161" t="s">
        <v>634</v>
      </c>
      <c r="C93" s="250" t="s">
        <v>611</v>
      </c>
      <c r="D93" s="254">
        <v>0</v>
      </c>
      <c r="E93" s="250" t="s">
        <v>611</v>
      </c>
      <c r="F93" s="254">
        <v>1</v>
      </c>
      <c r="G93" s="250" t="s">
        <v>611</v>
      </c>
      <c r="H93" s="254">
        <v>0</v>
      </c>
      <c r="I93" s="250" t="s">
        <v>611</v>
      </c>
      <c r="J93" s="254">
        <v>0</v>
      </c>
      <c r="K93" s="250" t="s">
        <v>611</v>
      </c>
      <c r="L93" s="254">
        <v>0</v>
      </c>
      <c r="M93" s="250" t="s">
        <v>611</v>
      </c>
      <c r="N93" s="254">
        <v>0</v>
      </c>
      <c r="O93" s="250" t="s">
        <v>611</v>
      </c>
      <c r="P93" s="254">
        <v>0</v>
      </c>
      <c r="Q93" s="250" t="s">
        <v>611</v>
      </c>
      <c r="R93" s="254">
        <v>0</v>
      </c>
      <c r="S93" s="250" t="s">
        <v>611</v>
      </c>
      <c r="T93" s="254">
        <v>0</v>
      </c>
      <c r="U93" s="250" t="s">
        <v>611</v>
      </c>
      <c r="V93" s="254">
        <v>0.30130363455265441</v>
      </c>
      <c r="W93" s="250" t="s">
        <v>611</v>
      </c>
      <c r="X93" s="254">
        <v>0</v>
      </c>
      <c r="Y93" s="250" t="s">
        <v>611</v>
      </c>
      <c r="Z93" s="254">
        <v>0</v>
      </c>
      <c r="AA93" s="250" t="s">
        <v>611</v>
      </c>
      <c r="AB93" s="254">
        <v>0</v>
      </c>
      <c r="AC93" s="250" t="s">
        <v>611</v>
      </c>
      <c r="AD93" s="254">
        <v>0</v>
      </c>
      <c r="AE93" s="250" t="s">
        <v>611</v>
      </c>
      <c r="AF93" s="254">
        <v>0</v>
      </c>
      <c r="AG93" s="250" t="s">
        <v>611</v>
      </c>
      <c r="AH93" s="254">
        <v>0</v>
      </c>
      <c r="AI93" s="250" t="s">
        <v>611</v>
      </c>
      <c r="AJ93" s="254">
        <v>0</v>
      </c>
      <c r="AK93" s="250" t="s">
        <v>611</v>
      </c>
      <c r="AL93" s="254">
        <v>0</v>
      </c>
      <c r="AM93" s="250" t="s">
        <v>611</v>
      </c>
      <c r="AN93" s="254">
        <v>0</v>
      </c>
      <c r="AO93" s="250" t="s">
        <v>611</v>
      </c>
      <c r="AP93" s="254">
        <v>0</v>
      </c>
      <c r="AQ93" s="250" t="s">
        <v>611</v>
      </c>
      <c r="AR93" s="254">
        <v>0</v>
      </c>
      <c r="AS93" s="250" t="s">
        <v>611</v>
      </c>
      <c r="AT93" s="254">
        <v>1</v>
      </c>
      <c r="AU93" s="250" t="s">
        <v>611</v>
      </c>
      <c r="AV93" s="254">
        <v>0</v>
      </c>
      <c r="AW93" s="250" t="s">
        <v>611</v>
      </c>
      <c r="AX93" s="254">
        <v>0</v>
      </c>
      <c r="AY93" s="250" t="s">
        <v>611</v>
      </c>
      <c r="AZ93" s="254">
        <v>0</v>
      </c>
      <c r="BA93" s="250" t="s">
        <v>611</v>
      </c>
      <c r="BB93" s="254">
        <v>0.9118918271264338</v>
      </c>
      <c r="BC93" s="250" t="s">
        <v>611</v>
      </c>
      <c r="BD93" s="254">
        <v>0.30130363455265441</v>
      </c>
      <c r="BE93" s="250" t="s">
        <v>611</v>
      </c>
      <c r="BF93" s="254">
        <v>0</v>
      </c>
      <c r="BG93" s="250" t="s">
        <v>611</v>
      </c>
      <c r="BH93" s="254">
        <v>0</v>
      </c>
      <c r="BI93" s="250" t="s">
        <v>611</v>
      </c>
      <c r="BJ93" s="254">
        <v>0</v>
      </c>
      <c r="BK93" s="250" t="s">
        <v>611</v>
      </c>
      <c r="BL93" s="254">
        <v>0</v>
      </c>
      <c r="BM93" s="250" t="s">
        <v>611</v>
      </c>
      <c r="BN93" s="254">
        <v>0</v>
      </c>
      <c r="BO93" s="250" t="s">
        <v>611</v>
      </c>
      <c r="BP93" s="254">
        <v>0</v>
      </c>
      <c r="BQ93" s="250" t="s">
        <v>611</v>
      </c>
      <c r="BR93" s="254">
        <v>0</v>
      </c>
      <c r="BS93" s="250" t="s">
        <v>611</v>
      </c>
      <c r="BT93" s="254">
        <v>0</v>
      </c>
      <c r="BU93" s="250" t="s">
        <v>611</v>
      </c>
      <c r="BV93" s="254">
        <v>1</v>
      </c>
      <c r="BW93" s="250" t="s">
        <v>611</v>
      </c>
      <c r="BX93" s="254">
        <v>0.13920280793988427</v>
      </c>
      <c r="BY93" s="250" t="s">
        <v>611</v>
      </c>
      <c r="BZ93" s="254">
        <v>0</v>
      </c>
      <c r="CA93" s="250" t="s">
        <v>611</v>
      </c>
      <c r="CB93" s="254">
        <v>1</v>
      </c>
      <c r="CC93" s="250" t="s">
        <v>611</v>
      </c>
      <c r="CD93" s="254">
        <v>0.13920280793988427</v>
      </c>
      <c r="CE93" s="250" t="s">
        <v>611</v>
      </c>
      <c r="CF93" s="254">
        <v>0</v>
      </c>
      <c r="CG93" s="250" t="s">
        <v>611</v>
      </c>
      <c r="CH93" s="254">
        <v>1</v>
      </c>
      <c r="CI93" s="250" t="s">
        <v>611</v>
      </c>
      <c r="CJ93" s="254">
        <v>0.13920280793988427</v>
      </c>
      <c r="CK93" s="250" t="s">
        <v>611</v>
      </c>
      <c r="CL93" s="254">
        <v>0</v>
      </c>
      <c r="CM93" s="250" t="s">
        <v>611</v>
      </c>
      <c r="CN93" s="254">
        <v>0</v>
      </c>
      <c r="CO93" s="250" t="s">
        <v>611</v>
      </c>
      <c r="CP93" s="254">
        <v>0</v>
      </c>
      <c r="CQ93" s="250" t="s">
        <v>611</v>
      </c>
      <c r="CR93" s="254">
        <v>0</v>
      </c>
      <c r="CS93" s="250" t="s">
        <v>611</v>
      </c>
      <c r="CT93" s="254">
        <v>0</v>
      </c>
      <c r="CU93" s="250" t="s">
        <v>611</v>
      </c>
      <c r="CV93" s="254">
        <v>0</v>
      </c>
      <c r="CW93" s="250" t="s">
        <v>611</v>
      </c>
      <c r="CX93" s="254">
        <v>0</v>
      </c>
      <c r="CY93" s="250" t="s">
        <v>611</v>
      </c>
      <c r="CZ93" s="254">
        <v>0</v>
      </c>
      <c r="DA93" s="250" t="s">
        <v>611</v>
      </c>
      <c r="DB93" s="254">
        <v>0</v>
      </c>
      <c r="DC93" s="250" t="s">
        <v>611</v>
      </c>
      <c r="DD93" s="254">
        <v>0</v>
      </c>
      <c r="DE93" s="250" t="s">
        <v>611</v>
      </c>
      <c r="DF93" s="254">
        <v>0</v>
      </c>
      <c r="DG93" s="250" t="s">
        <v>611</v>
      </c>
      <c r="DH93" s="254">
        <v>0</v>
      </c>
      <c r="DI93" s="250" t="s">
        <v>611</v>
      </c>
      <c r="DJ93" s="254">
        <v>0</v>
      </c>
      <c r="DK93" s="250" t="s">
        <v>611</v>
      </c>
      <c r="DL93" s="254">
        <v>0</v>
      </c>
      <c r="DM93" s="250" t="s">
        <v>611</v>
      </c>
      <c r="DN93" s="254">
        <v>0</v>
      </c>
      <c r="DO93" s="250" t="s">
        <v>611</v>
      </c>
      <c r="DP93" s="254">
        <v>0</v>
      </c>
      <c r="DQ93" s="250" t="s">
        <v>611</v>
      </c>
      <c r="DR93" s="254">
        <v>0</v>
      </c>
      <c r="DS93" s="109"/>
      <c r="DT93" s="109"/>
      <c r="DU93" s="109"/>
      <c r="DV93" s="109"/>
      <c r="DW93" s="109"/>
      <c r="DX93" s="109"/>
      <c r="DY93" s="109"/>
      <c r="DZ93" s="109"/>
      <c r="EA93" s="109"/>
      <c r="EB93" s="109"/>
      <c r="EC93" s="109"/>
      <c r="ED93" s="109"/>
      <c r="EE93" s="109"/>
      <c r="EF93" s="109"/>
      <c r="EG93" s="109"/>
      <c r="EH93" s="109"/>
      <c r="EI93" s="109"/>
      <c r="EJ93" s="109"/>
      <c r="EK93" s="109"/>
      <c r="EL93" s="109"/>
      <c r="EM93" s="109"/>
      <c r="EN93" s="109"/>
      <c r="EO93" s="109"/>
      <c r="EP93" s="109"/>
      <c r="EQ93" s="109"/>
      <c r="ER93" s="109"/>
      <c r="ES93" s="109"/>
      <c r="ET93" s="109"/>
      <c r="EU93" s="109"/>
      <c r="EV93" s="109"/>
      <c r="EW93" s="109"/>
      <c r="EX93" s="109"/>
      <c r="EY93" s="109"/>
      <c r="EZ93" s="109"/>
      <c r="FA93" s="109"/>
      <c r="FB93" s="109"/>
      <c r="FC93" s="109"/>
      <c r="FD93" s="109"/>
      <c r="FE93" s="109"/>
      <c r="FF93" s="109"/>
      <c r="FG93" s="109"/>
      <c r="FH93" s="109"/>
      <c r="FI93" s="109"/>
      <c r="FJ93" s="109"/>
      <c r="FK93" s="109"/>
      <c r="FL93" s="109"/>
      <c r="FM93" s="109"/>
      <c r="FN93" s="109"/>
      <c r="FO93" s="109"/>
      <c r="FP93" s="109"/>
      <c r="FQ93" s="109"/>
      <c r="FR93" s="109"/>
      <c r="FS93" s="109"/>
      <c r="FT93" s="109"/>
      <c r="FU93" s="109"/>
      <c r="FV93" s="109"/>
      <c r="FW93" s="109"/>
      <c r="FX93" s="109"/>
      <c r="FY93" s="109"/>
      <c r="FZ93" s="109"/>
      <c r="GA93" s="109"/>
      <c r="GB93" s="109"/>
      <c r="GC93" s="109"/>
      <c r="GD93" s="109"/>
      <c r="GE93" s="109"/>
      <c r="GF93" s="109"/>
      <c r="GG93" s="109"/>
      <c r="GH93" s="109"/>
      <c r="GI93" s="109"/>
      <c r="GJ93" s="109"/>
      <c r="GK93" s="109"/>
      <c r="GL93" s="109"/>
      <c r="GM93" s="109"/>
      <c r="GN93" s="109"/>
      <c r="GO93" s="109"/>
      <c r="GP93" s="109"/>
      <c r="GQ93" s="109"/>
      <c r="GR93" s="109"/>
      <c r="GS93" s="109"/>
      <c r="GT93" s="109"/>
      <c r="GU93" s="109"/>
      <c r="GV93" s="109"/>
      <c r="GW93" s="109"/>
      <c r="GX93" s="109"/>
      <c r="GY93" s="109"/>
      <c r="GZ93" s="109"/>
      <c r="HA93" s="109"/>
      <c r="HB93" s="109"/>
      <c r="HC93" s="109"/>
      <c r="HD93" s="109"/>
      <c r="HE93" s="109"/>
      <c r="HF93" s="109"/>
      <c r="HG93" s="109"/>
      <c r="HH93" s="109"/>
      <c r="HI93" s="109"/>
      <c r="HJ93" s="109"/>
      <c r="HK93" s="109"/>
      <c r="HL93" s="109"/>
      <c r="HM93" s="109"/>
      <c r="HN93" s="109"/>
      <c r="HO93" s="109"/>
      <c r="HP93" s="109"/>
      <c r="HQ93" s="109"/>
      <c r="HR93" s="109"/>
      <c r="HS93" s="109"/>
      <c r="HT93" s="109"/>
      <c r="HU93" s="109"/>
      <c r="HV93" s="109"/>
      <c r="HW93" s="109"/>
      <c r="HX93" s="109"/>
      <c r="HY93" s="109"/>
      <c r="HZ93" s="109"/>
      <c r="IA93" s="109"/>
      <c r="IB93" s="109"/>
      <c r="IC93" s="109"/>
      <c r="ID93" s="109"/>
      <c r="IE93" s="109"/>
      <c r="IF93" s="109"/>
      <c r="IG93" s="109"/>
      <c r="IH93" s="109"/>
      <c r="II93" s="109"/>
      <c r="IJ93" s="109"/>
      <c r="IK93" s="109"/>
      <c r="IL93" s="109"/>
      <c r="IM93" s="109"/>
      <c r="IN93" s="109"/>
      <c r="IO93" s="109"/>
      <c r="IP93" s="109"/>
      <c r="IQ93" s="109"/>
      <c r="IR93" s="109"/>
      <c r="IS93" s="109"/>
      <c r="IT93" s="109"/>
      <c r="IU93" s="109"/>
      <c r="IV93" s="109"/>
      <c r="IW93" s="109"/>
      <c r="IX93" s="109"/>
      <c r="IY93" s="109"/>
      <c r="IZ93" s="109"/>
      <c r="JA93" s="109"/>
      <c r="JB93" s="109"/>
      <c r="JC93" s="109"/>
      <c r="JD93" s="109"/>
      <c r="JE93" s="109"/>
      <c r="JF93" s="109"/>
      <c r="JG93" s="109"/>
      <c r="JH93" s="109"/>
      <c r="JI93" s="109"/>
      <c r="JJ93" s="109"/>
      <c r="JK93" s="109"/>
      <c r="JL93" s="109"/>
      <c r="JM93" s="109"/>
      <c r="JN93" s="109"/>
      <c r="JO93" s="109"/>
      <c r="JP93" s="109"/>
      <c r="JQ93" s="109"/>
      <c r="JR93" s="109"/>
      <c r="JS93" s="109"/>
      <c r="JT93" s="109"/>
      <c r="JU93" s="109"/>
      <c r="JV93" s="109"/>
      <c r="JW93" s="109"/>
      <c r="JX93" s="109"/>
      <c r="JY93" s="109"/>
      <c r="JZ93" s="109"/>
      <c r="KA93" s="109"/>
      <c r="KB93" s="109"/>
      <c r="KC93" s="109"/>
      <c r="KD93" s="109"/>
      <c r="KE93" s="109"/>
      <c r="KF93" s="109"/>
      <c r="KG93" s="109"/>
      <c r="KH93" s="109"/>
      <c r="KI93" s="109"/>
      <c r="KJ93" s="109"/>
      <c r="KK93" s="109"/>
      <c r="KL93" s="109"/>
      <c r="KM93" s="109"/>
      <c r="KN93" s="109"/>
      <c r="KO93" s="109"/>
      <c r="KP93" s="109"/>
      <c r="KQ93" s="109"/>
      <c r="KR93" s="109"/>
      <c r="KS93" s="109"/>
      <c r="KT93" s="109"/>
      <c r="KU93" s="109"/>
      <c r="KV93" s="109"/>
      <c r="KW93" s="109"/>
      <c r="KX93" s="109"/>
      <c r="KY93" s="109"/>
      <c r="KZ93" s="109"/>
      <c r="LA93" s="109"/>
      <c r="LB93" s="109"/>
      <c r="LC93" s="109"/>
      <c r="LD93" s="109"/>
      <c r="LE93" s="109"/>
      <c r="LF93" s="109"/>
      <c r="LG93" s="109"/>
      <c r="LH93" s="109"/>
      <c r="LI93" s="109"/>
      <c r="LJ93" s="109"/>
      <c r="LK93" s="109"/>
      <c r="LL93" s="109"/>
      <c r="LM93" s="109"/>
      <c r="LN93" s="109"/>
      <c r="LO93" s="109"/>
      <c r="LP93" s="109"/>
      <c r="LQ93" s="109"/>
      <c r="LR93" s="109"/>
      <c r="LS93" s="109"/>
      <c r="LT93" s="109"/>
      <c r="LU93" s="109"/>
      <c r="LV93" s="109"/>
      <c r="LW93" s="109"/>
      <c r="LX93" s="109"/>
      <c r="LY93" s="109"/>
      <c r="LZ93" s="109"/>
      <c r="MA93" s="109"/>
      <c r="MB93" s="109"/>
      <c r="MC93" s="109"/>
      <c r="MD93" s="109"/>
      <c r="ME93" s="109"/>
      <c r="MF93" s="109"/>
      <c r="MG93" s="109"/>
      <c r="MH93" s="150"/>
      <c r="MI93" s="109"/>
      <c r="MJ93" s="109"/>
      <c r="MK93" s="109"/>
      <c r="ML93" s="109"/>
      <c r="MM93" s="109"/>
      <c r="MN93" s="109"/>
      <c r="MO93" s="109"/>
      <c r="MP93" s="109"/>
      <c r="MQ93" s="109"/>
      <c r="MR93" s="109"/>
      <c r="MS93" s="109"/>
      <c r="MT93" s="109"/>
      <c r="MU93" s="109"/>
      <c r="MV93" s="109"/>
      <c r="MW93" s="109"/>
      <c r="MX93" s="109"/>
      <c r="MY93" s="109"/>
      <c r="MZ93" s="109"/>
      <c r="NA93" s="109"/>
      <c r="NB93" s="109"/>
    </row>
    <row r="94" spans="1:366" s="261" customFormat="1" x14ac:dyDescent="0.25">
      <c r="A94" s="113">
        <v>0</v>
      </c>
      <c r="B94" s="161" t="s">
        <v>635</v>
      </c>
      <c r="C94" s="250" t="s">
        <v>611</v>
      </c>
      <c r="D94" s="254">
        <v>0</v>
      </c>
      <c r="E94" s="250" t="s">
        <v>611</v>
      </c>
      <c r="F94" s="254">
        <v>0</v>
      </c>
      <c r="G94" s="250" t="s">
        <v>611</v>
      </c>
      <c r="H94" s="254">
        <v>0.7939796586736968</v>
      </c>
      <c r="I94" s="250" t="s">
        <v>611</v>
      </c>
      <c r="J94" s="254">
        <v>0</v>
      </c>
      <c r="K94" s="250" t="s">
        <v>611</v>
      </c>
      <c r="L94" s="254">
        <v>0</v>
      </c>
      <c r="M94" s="250" t="s">
        <v>611</v>
      </c>
      <c r="N94" s="254">
        <v>0</v>
      </c>
      <c r="O94" s="250" t="s">
        <v>611</v>
      </c>
      <c r="P94" s="254">
        <v>0</v>
      </c>
      <c r="Q94" s="250" t="s">
        <v>611</v>
      </c>
      <c r="R94" s="254">
        <v>0</v>
      </c>
      <c r="S94" s="250" t="s">
        <v>611</v>
      </c>
      <c r="T94" s="254">
        <v>0</v>
      </c>
      <c r="U94" s="250" t="s">
        <v>611</v>
      </c>
      <c r="V94" s="254">
        <v>0.55475070175443597</v>
      </c>
      <c r="W94" s="250" t="s">
        <v>611</v>
      </c>
      <c r="X94" s="254">
        <v>0.55957481841786294</v>
      </c>
      <c r="Y94" s="250" t="s">
        <v>611</v>
      </c>
      <c r="Z94" s="254">
        <v>0</v>
      </c>
      <c r="AA94" s="250" t="s">
        <v>611</v>
      </c>
      <c r="AB94" s="254">
        <v>0</v>
      </c>
      <c r="AC94" s="250" t="s">
        <v>611</v>
      </c>
      <c r="AD94" s="254">
        <v>0</v>
      </c>
      <c r="AE94" s="250" t="s">
        <v>611</v>
      </c>
      <c r="AF94" s="254">
        <v>0</v>
      </c>
      <c r="AG94" s="250" t="s">
        <v>611</v>
      </c>
      <c r="AH94" s="254">
        <v>0</v>
      </c>
      <c r="AI94" s="250" t="s">
        <v>611</v>
      </c>
      <c r="AJ94" s="254">
        <v>0</v>
      </c>
      <c r="AK94" s="250" t="s">
        <v>611</v>
      </c>
      <c r="AL94" s="254">
        <v>0</v>
      </c>
      <c r="AM94" s="250" t="s">
        <v>611</v>
      </c>
      <c r="AN94" s="254">
        <v>0</v>
      </c>
      <c r="AO94" s="250" t="s">
        <v>611</v>
      </c>
      <c r="AP94" s="254">
        <v>0</v>
      </c>
      <c r="AQ94" s="250" t="s">
        <v>611</v>
      </c>
      <c r="AR94" s="254">
        <v>0</v>
      </c>
      <c r="AS94" s="250" t="s">
        <v>611</v>
      </c>
      <c r="AT94" s="254">
        <v>0</v>
      </c>
      <c r="AU94" s="250" t="s">
        <v>611</v>
      </c>
      <c r="AV94" s="254">
        <v>0.60416649980667803</v>
      </c>
      <c r="AW94" s="250" t="s">
        <v>611</v>
      </c>
      <c r="AX94" s="254">
        <v>0</v>
      </c>
      <c r="AY94" s="250" t="s">
        <v>611</v>
      </c>
      <c r="AZ94" s="254">
        <v>0</v>
      </c>
      <c r="BA94" s="250" t="s">
        <v>611</v>
      </c>
      <c r="BB94" s="254">
        <v>6.9956097024517203E-2</v>
      </c>
      <c r="BC94" s="250" t="s">
        <v>611</v>
      </c>
      <c r="BD94" s="254">
        <v>0.55475070175443597</v>
      </c>
      <c r="BE94" s="250" t="s">
        <v>611</v>
      </c>
      <c r="BF94" s="254">
        <v>0</v>
      </c>
      <c r="BG94" s="250" t="s">
        <v>611</v>
      </c>
      <c r="BH94" s="254">
        <v>0.2752056238525234</v>
      </c>
      <c r="BI94" s="250" t="s">
        <v>611</v>
      </c>
      <c r="BJ94" s="254">
        <v>0</v>
      </c>
      <c r="BK94" s="250" t="s">
        <v>611</v>
      </c>
      <c r="BL94" s="254">
        <v>0</v>
      </c>
      <c r="BM94" s="250" t="s">
        <v>611</v>
      </c>
      <c r="BN94" s="254">
        <v>0.1470760236156568</v>
      </c>
      <c r="BO94" s="250" t="s">
        <v>611</v>
      </c>
      <c r="BP94" s="254">
        <v>0.79397965867369658</v>
      </c>
      <c r="BQ94" s="250" t="s">
        <v>611</v>
      </c>
      <c r="BR94" s="254">
        <v>0.21993359940062063</v>
      </c>
      <c r="BS94" s="250" t="s">
        <v>611</v>
      </c>
      <c r="BT94" s="254">
        <v>0.79397965867369658</v>
      </c>
      <c r="BU94" s="250" t="s">
        <v>611</v>
      </c>
      <c r="BV94" s="254">
        <v>0</v>
      </c>
      <c r="BW94" s="250" t="s">
        <v>611</v>
      </c>
      <c r="BX94" s="254">
        <v>0.68345546073916708</v>
      </c>
      <c r="BY94" s="250" t="s">
        <v>611</v>
      </c>
      <c r="BZ94" s="254">
        <v>0.22598685199960006</v>
      </c>
      <c r="CA94" s="250" t="s">
        <v>611</v>
      </c>
      <c r="CB94" s="254">
        <v>0</v>
      </c>
      <c r="CC94" s="250" t="s">
        <v>611</v>
      </c>
      <c r="CD94" s="254">
        <v>0.68345546073916708</v>
      </c>
      <c r="CE94" s="250" t="s">
        <v>611</v>
      </c>
      <c r="CF94" s="254">
        <v>0.22598685199960006</v>
      </c>
      <c r="CG94" s="250" t="s">
        <v>611</v>
      </c>
      <c r="CH94" s="254">
        <v>0</v>
      </c>
      <c r="CI94" s="250" t="s">
        <v>611</v>
      </c>
      <c r="CJ94" s="254">
        <v>0.68345546073916708</v>
      </c>
      <c r="CK94" s="250" t="s">
        <v>611</v>
      </c>
      <c r="CL94" s="254">
        <v>0.22598685199960006</v>
      </c>
      <c r="CM94" s="250" t="s">
        <v>611</v>
      </c>
      <c r="CN94" s="254">
        <v>0</v>
      </c>
      <c r="CO94" s="250" t="s">
        <v>611</v>
      </c>
      <c r="CP94" s="254">
        <v>0</v>
      </c>
      <c r="CQ94" s="250" t="s">
        <v>611</v>
      </c>
      <c r="CR94" s="254">
        <v>0</v>
      </c>
      <c r="CS94" s="250" t="s">
        <v>611</v>
      </c>
      <c r="CT94" s="254">
        <v>0</v>
      </c>
      <c r="CU94" s="250" t="s">
        <v>611</v>
      </c>
      <c r="CV94" s="254">
        <v>0</v>
      </c>
      <c r="CW94" s="250" t="s">
        <v>611</v>
      </c>
      <c r="CX94" s="254">
        <v>0</v>
      </c>
      <c r="CY94" s="250" t="s">
        <v>611</v>
      </c>
      <c r="CZ94" s="254">
        <v>0</v>
      </c>
      <c r="DA94" s="250" t="s">
        <v>611</v>
      </c>
      <c r="DB94" s="254">
        <v>0</v>
      </c>
      <c r="DC94" s="250" t="s">
        <v>611</v>
      </c>
      <c r="DD94" s="254">
        <v>0</v>
      </c>
      <c r="DE94" s="250" t="s">
        <v>611</v>
      </c>
      <c r="DF94" s="254">
        <v>0</v>
      </c>
      <c r="DG94" s="250" t="s">
        <v>611</v>
      </c>
      <c r="DH94" s="254">
        <v>0</v>
      </c>
      <c r="DI94" s="250" t="s">
        <v>611</v>
      </c>
      <c r="DJ94" s="254">
        <v>0</v>
      </c>
      <c r="DK94" s="250" t="s">
        <v>611</v>
      </c>
      <c r="DL94" s="254">
        <v>0</v>
      </c>
      <c r="DM94" s="250" t="s">
        <v>611</v>
      </c>
      <c r="DN94" s="254">
        <v>0.66804954409313233</v>
      </c>
      <c r="DO94" s="250" t="s">
        <v>611</v>
      </c>
      <c r="DP94" s="254">
        <v>0</v>
      </c>
      <c r="DQ94" s="250" t="s">
        <v>611</v>
      </c>
      <c r="DR94" s="254">
        <v>0</v>
      </c>
      <c r="DS94" s="109"/>
      <c r="DT94" s="109"/>
      <c r="DU94" s="109"/>
      <c r="DV94" s="109"/>
      <c r="DW94" s="109"/>
      <c r="DX94" s="109"/>
      <c r="DY94" s="109"/>
      <c r="DZ94" s="109"/>
      <c r="EA94" s="109"/>
      <c r="EB94" s="109"/>
      <c r="EC94" s="109"/>
      <c r="ED94" s="109"/>
      <c r="EE94" s="109"/>
      <c r="EF94" s="109"/>
      <c r="EG94" s="109"/>
      <c r="EH94" s="109"/>
      <c r="EI94" s="109"/>
      <c r="EJ94" s="109"/>
      <c r="EK94" s="109"/>
      <c r="EL94" s="109"/>
      <c r="EM94" s="109"/>
      <c r="EN94" s="109"/>
      <c r="EO94" s="109"/>
      <c r="EP94" s="109"/>
      <c r="EQ94" s="109"/>
      <c r="ER94" s="109"/>
      <c r="ES94" s="109"/>
      <c r="ET94" s="109"/>
      <c r="EU94" s="109"/>
      <c r="EV94" s="109"/>
      <c r="EW94" s="109"/>
      <c r="EX94" s="109"/>
      <c r="EY94" s="109"/>
      <c r="EZ94" s="109"/>
      <c r="FA94" s="109"/>
      <c r="FB94" s="109"/>
      <c r="FC94" s="109"/>
      <c r="FD94" s="109"/>
      <c r="FE94" s="109"/>
      <c r="FF94" s="109"/>
      <c r="FG94" s="109"/>
      <c r="FH94" s="109"/>
      <c r="FI94" s="109"/>
      <c r="FJ94" s="109"/>
      <c r="FK94" s="109"/>
      <c r="FL94" s="109"/>
      <c r="FM94" s="109"/>
      <c r="FN94" s="109"/>
      <c r="FO94" s="109"/>
      <c r="FP94" s="109"/>
      <c r="FQ94" s="109"/>
      <c r="FR94" s="109"/>
      <c r="FS94" s="109"/>
      <c r="FT94" s="109"/>
      <c r="FU94" s="109"/>
      <c r="FV94" s="109"/>
      <c r="FW94" s="109"/>
      <c r="FX94" s="109"/>
      <c r="FY94" s="109"/>
      <c r="FZ94" s="109"/>
      <c r="GA94" s="109"/>
      <c r="GB94" s="109"/>
      <c r="GC94" s="109"/>
      <c r="GD94" s="109"/>
      <c r="GE94" s="109"/>
      <c r="GF94" s="109"/>
      <c r="GG94" s="109"/>
      <c r="GH94" s="109"/>
      <c r="GI94" s="109"/>
      <c r="GJ94" s="109"/>
      <c r="GK94" s="109"/>
      <c r="GL94" s="109"/>
      <c r="GM94" s="109"/>
      <c r="GN94" s="109"/>
      <c r="GO94" s="109"/>
      <c r="GP94" s="109"/>
      <c r="GQ94" s="109"/>
      <c r="GR94" s="109"/>
      <c r="GS94" s="109"/>
      <c r="GT94" s="109"/>
      <c r="GU94" s="109"/>
      <c r="GV94" s="109"/>
      <c r="GW94" s="109"/>
      <c r="GX94" s="109"/>
      <c r="GY94" s="109"/>
      <c r="GZ94" s="109"/>
      <c r="HA94" s="109"/>
      <c r="HB94" s="109"/>
      <c r="HC94" s="109"/>
      <c r="HD94" s="109"/>
      <c r="HE94" s="109"/>
      <c r="HF94" s="109"/>
      <c r="HG94" s="109"/>
      <c r="HH94" s="109"/>
      <c r="HI94" s="109"/>
      <c r="HJ94" s="109"/>
      <c r="HK94" s="109"/>
      <c r="HL94" s="109"/>
      <c r="HM94" s="109"/>
      <c r="HN94" s="109"/>
      <c r="HO94" s="109"/>
      <c r="HP94" s="109"/>
      <c r="HQ94" s="109"/>
      <c r="HR94" s="109"/>
      <c r="HS94" s="109"/>
      <c r="HT94" s="109"/>
      <c r="HU94" s="109"/>
      <c r="HV94" s="109"/>
      <c r="HW94" s="109"/>
      <c r="HX94" s="109"/>
      <c r="HY94" s="109"/>
      <c r="HZ94" s="109"/>
      <c r="IA94" s="109"/>
      <c r="IB94" s="109"/>
      <c r="IC94" s="109"/>
      <c r="ID94" s="109"/>
      <c r="IE94" s="109"/>
      <c r="IF94" s="109"/>
      <c r="IG94" s="109"/>
      <c r="IH94" s="109"/>
      <c r="II94" s="109"/>
      <c r="IJ94" s="109"/>
      <c r="IK94" s="109"/>
      <c r="IL94" s="109"/>
      <c r="IM94" s="109"/>
      <c r="IN94" s="109"/>
      <c r="IO94" s="109"/>
      <c r="IP94" s="109"/>
      <c r="IQ94" s="109"/>
      <c r="IR94" s="109"/>
      <c r="IS94" s="109"/>
      <c r="IT94" s="109"/>
      <c r="IU94" s="109"/>
      <c r="IV94" s="109"/>
      <c r="IW94" s="109"/>
      <c r="IX94" s="109"/>
      <c r="IY94" s="109"/>
      <c r="IZ94" s="109"/>
      <c r="JA94" s="109"/>
      <c r="JB94" s="109"/>
      <c r="JC94" s="109"/>
      <c r="JD94" s="109"/>
      <c r="JE94" s="109"/>
      <c r="JF94" s="109"/>
      <c r="JG94" s="109"/>
      <c r="JH94" s="109"/>
      <c r="JI94" s="109"/>
      <c r="JJ94" s="109"/>
      <c r="JK94" s="109"/>
      <c r="JL94" s="109"/>
      <c r="JM94" s="109"/>
      <c r="JN94" s="109"/>
      <c r="JO94" s="109"/>
      <c r="JP94" s="109"/>
      <c r="JQ94" s="109"/>
      <c r="JR94" s="109"/>
      <c r="JS94" s="109"/>
      <c r="JT94" s="109"/>
      <c r="JU94" s="109"/>
      <c r="JV94" s="109"/>
      <c r="JW94" s="109"/>
      <c r="JX94" s="109"/>
      <c r="JY94" s="109"/>
      <c r="JZ94" s="109"/>
      <c r="KA94" s="109"/>
      <c r="KB94" s="109"/>
      <c r="KC94" s="109"/>
      <c r="KD94" s="109"/>
      <c r="KE94" s="109"/>
      <c r="KF94" s="109"/>
      <c r="KG94" s="109"/>
      <c r="KH94" s="109"/>
      <c r="KI94" s="109"/>
      <c r="KJ94" s="109"/>
      <c r="KK94" s="109"/>
      <c r="KL94" s="109"/>
      <c r="KM94" s="109"/>
      <c r="KN94" s="109"/>
      <c r="KO94" s="109"/>
      <c r="KP94" s="109"/>
      <c r="KQ94" s="109"/>
      <c r="KR94" s="109"/>
      <c r="KS94" s="109"/>
      <c r="KT94" s="109"/>
      <c r="KU94" s="109"/>
      <c r="KV94" s="109"/>
      <c r="KW94" s="109"/>
      <c r="KX94" s="109"/>
      <c r="KY94" s="109"/>
      <c r="KZ94" s="109"/>
      <c r="LA94" s="109"/>
      <c r="LB94" s="109"/>
      <c r="LC94" s="109"/>
      <c r="LD94" s="109"/>
      <c r="LE94" s="109"/>
      <c r="LF94" s="109"/>
      <c r="LG94" s="109"/>
      <c r="LH94" s="109"/>
      <c r="LI94" s="109"/>
      <c r="LJ94" s="109"/>
      <c r="LK94" s="109"/>
      <c r="LL94" s="109"/>
      <c r="LM94" s="109"/>
      <c r="LN94" s="109"/>
      <c r="LO94" s="109"/>
      <c r="LP94" s="109"/>
      <c r="LQ94" s="109"/>
      <c r="LR94" s="109"/>
      <c r="LS94" s="109"/>
      <c r="LT94" s="109"/>
      <c r="LU94" s="109"/>
      <c r="LV94" s="109"/>
      <c r="LW94" s="109"/>
      <c r="LX94" s="109"/>
      <c r="LY94" s="109"/>
      <c r="LZ94" s="109"/>
      <c r="MA94" s="109"/>
      <c r="MB94" s="109"/>
      <c r="MC94" s="109"/>
      <c r="MD94" s="109"/>
      <c r="ME94" s="109"/>
      <c r="MF94" s="109"/>
      <c r="MG94" s="109"/>
      <c r="MH94" s="150"/>
      <c r="MI94" s="109"/>
      <c r="MJ94" s="109"/>
      <c r="MK94" s="109"/>
      <c r="ML94" s="109"/>
      <c r="MM94" s="109"/>
      <c r="MN94" s="109"/>
      <c r="MO94" s="109"/>
      <c r="MP94" s="109"/>
      <c r="MQ94" s="109"/>
      <c r="MR94" s="109"/>
      <c r="MS94" s="109"/>
      <c r="MT94" s="109"/>
      <c r="MU94" s="109"/>
      <c r="MV94" s="109"/>
      <c r="MW94" s="109"/>
      <c r="MX94" s="109"/>
      <c r="MY94" s="109"/>
      <c r="MZ94" s="109"/>
      <c r="NA94" s="109"/>
      <c r="NB94" s="109"/>
    </row>
    <row r="95" spans="1:366" s="261" customFormat="1" x14ac:dyDescent="0.25">
      <c r="A95" s="113">
        <v>0</v>
      </c>
      <c r="B95" s="161" t="s">
        <v>888</v>
      </c>
      <c r="C95" s="250" t="s">
        <v>611</v>
      </c>
      <c r="D95" s="254">
        <v>0</v>
      </c>
      <c r="E95" s="250" t="s">
        <v>611</v>
      </c>
      <c r="F95" s="254">
        <v>0</v>
      </c>
      <c r="G95" s="250" t="s">
        <v>611</v>
      </c>
      <c r="H95" s="254">
        <v>5.558861184166853E-2</v>
      </c>
      <c r="I95" s="250" t="s">
        <v>611</v>
      </c>
      <c r="J95" s="254">
        <v>0</v>
      </c>
      <c r="K95" s="250" t="s">
        <v>611</v>
      </c>
      <c r="L95" s="254">
        <v>0</v>
      </c>
      <c r="M95" s="250" t="s">
        <v>611</v>
      </c>
      <c r="N95" s="254">
        <v>0</v>
      </c>
      <c r="O95" s="250" t="s">
        <v>611</v>
      </c>
      <c r="P95" s="254">
        <v>0</v>
      </c>
      <c r="Q95" s="250" t="s">
        <v>611</v>
      </c>
      <c r="R95" s="254">
        <v>0</v>
      </c>
      <c r="S95" s="250" t="s">
        <v>611</v>
      </c>
      <c r="T95" s="254">
        <v>0</v>
      </c>
      <c r="U95" s="250" t="s">
        <v>611</v>
      </c>
      <c r="V95" s="254">
        <v>3.8839561054037075E-2</v>
      </c>
      <c r="W95" s="250" t="s">
        <v>611</v>
      </c>
      <c r="X95" s="254">
        <v>3.9177310196288569E-2</v>
      </c>
      <c r="Y95" s="250" t="s">
        <v>611</v>
      </c>
      <c r="Z95" s="254">
        <v>0</v>
      </c>
      <c r="AA95" s="250" t="s">
        <v>611</v>
      </c>
      <c r="AB95" s="254">
        <v>0</v>
      </c>
      <c r="AC95" s="250" t="s">
        <v>611</v>
      </c>
      <c r="AD95" s="254">
        <v>0</v>
      </c>
      <c r="AE95" s="250" t="s">
        <v>611</v>
      </c>
      <c r="AF95" s="254">
        <v>0</v>
      </c>
      <c r="AG95" s="250" t="s">
        <v>611</v>
      </c>
      <c r="AH95" s="254">
        <v>0</v>
      </c>
      <c r="AI95" s="250" t="s">
        <v>611</v>
      </c>
      <c r="AJ95" s="254">
        <v>0</v>
      </c>
      <c r="AK95" s="250" t="s">
        <v>611</v>
      </c>
      <c r="AL95" s="254">
        <v>0</v>
      </c>
      <c r="AM95" s="250" t="s">
        <v>611</v>
      </c>
      <c r="AN95" s="254">
        <v>0</v>
      </c>
      <c r="AO95" s="250" t="s">
        <v>611</v>
      </c>
      <c r="AP95" s="254">
        <v>0</v>
      </c>
      <c r="AQ95" s="250" t="s">
        <v>611</v>
      </c>
      <c r="AR95" s="254">
        <v>0</v>
      </c>
      <c r="AS95" s="250" t="s">
        <v>611</v>
      </c>
      <c r="AT95" s="254">
        <v>0</v>
      </c>
      <c r="AU95" s="250" t="s">
        <v>611</v>
      </c>
      <c r="AV95" s="254">
        <v>4.2299291522902002E-2</v>
      </c>
      <c r="AW95" s="250" t="s">
        <v>611</v>
      </c>
      <c r="AX95" s="254">
        <v>0</v>
      </c>
      <c r="AY95" s="250" t="s">
        <v>611</v>
      </c>
      <c r="AZ95" s="254">
        <v>0</v>
      </c>
      <c r="BA95" s="250" t="s">
        <v>611</v>
      </c>
      <c r="BB95" s="254">
        <v>4.8978110219473027E-3</v>
      </c>
      <c r="BC95" s="250" t="s">
        <v>611</v>
      </c>
      <c r="BD95" s="254">
        <v>3.8839561054037075E-2</v>
      </c>
      <c r="BE95" s="250" t="s">
        <v>611</v>
      </c>
      <c r="BF95" s="254">
        <v>0</v>
      </c>
      <c r="BG95" s="250" t="s">
        <v>611</v>
      </c>
      <c r="BH95" s="254">
        <v>1.9267872210400449E-2</v>
      </c>
      <c r="BI95" s="250" t="s">
        <v>611</v>
      </c>
      <c r="BJ95" s="254">
        <v>0</v>
      </c>
      <c r="BK95" s="250" t="s">
        <v>611</v>
      </c>
      <c r="BL95" s="254">
        <v>0</v>
      </c>
      <c r="BM95" s="250" t="s">
        <v>611</v>
      </c>
      <c r="BN95" s="254">
        <v>1.0297180662844694E-2</v>
      </c>
      <c r="BO95" s="250" t="s">
        <v>611</v>
      </c>
      <c r="BP95" s="254">
        <v>5.5588611841668516E-2</v>
      </c>
      <c r="BQ95" s="250" t="s">
        <v>611</v>
      </c>
      <c r="BR95" s="254">
        <v>1.5398131872099489E-2</v>
      </c>
      <c r="BS95" s="250" t="s">
        <v>611</v>
      </c>
      <c r="BT95" s="254">
        <v>5.5588611841668516E-2</v>
      </c>
      <c r="BU95" s="250" t="s">
        <v>611</v>
      </c>
      <c r="BV95" s="254">
        <v>0</v>
      </c>
      <c r="BW95" s="250" t="s">
        <v>611</v>
      </c>
      <c r="BX95" s="254">
        <v>4.7850520983827957E-2</v>
      </c>
      <c r="BY95" s="250" t="s">
        <v>611</v>
      </c>
      <c r="BZ95" s="254">
        <v>1.582193606585721E-2</v>
      </c>
      <c r="CA95" s="250" t="s">
        <v>611</v>
      </c>
      <c r="CB95" s="254">
        <v>0</v>
      </c>
      <c r="CC95" s="250" t="s">
        <v>611</v>
      </c>
      <c r="CD95" s="254">
        <v>4.7850520983827957E-2</v>
      </c>
      <c r="CE95" s="250" t="s">
        <v>611</v>
      </c>
      <c r="CF95" s="254">
        <v>1.582193606585721E-2</v>
      </c>
      <c r="CG95" s="250" t="s">
        <v>611</v>
      </c>
      <c r="CH95" s="254">
        <v>0</v>
      </c>
      <c r="CI95" s="250" t="s">
        <v>611</v>
      </c>
      <c r="CJ95" s="254">
        <v>4.7850520983827957E-2</v>
      </c>
      <c r="CK95" s="250" t="s">
        <v>611</v>
      </c>
      <c r="CL95" s="254">
        <v>1.582193606585721E-2</v>
      </c>
      <c r="CM95" s="250" t="s">
        <v>611</v>
      </c>
      <c r="CN95" s="254">
        <v>0</v>
      </c>
      <c r="CO95" s="250" t="s">
        <v>611</v>
      </c>
      <c r="CP95" s="254">
        <v>0</v>
      </c>
      <c r="CQ95" s="250" t="s">
        <v>611</v>
      </c>
      <c r="CR95" s="254">
        <v>0</v>
      </c>
      <c r="CS95" s="250" t="s">
        <v>611</v>
      </c>
      <c r="CT95" s="254">
        <v>0</v>
      </c>
      <c r="CU95" s="250" t="s">
        <v>611</v>
      </c>
      <c r="CV95" s="254">
        <v>0</v>
      </c>
      <c r="CW95" s="250" t="s">
        <v>611</v>
      </c>
      <c r="CX95" s="254">
        <v>0</v>
      </c>
      <c r="CY95" s="250" t="s">
        <v>611</v>
      </c>
      <c r="CZ95" s="254">
        <v>0</v>
      </c>
      <c r="DA95" s="250" t="s">
        <v>611</v>
      </c>
      <c r="DB95" s="254">
        <v>0</v>
      </c>
      <c r="DC95" s="250" t="s">
        <v>611</v>
      </c>
      <c r="DD95" s="254">
        <v>0</v>
      </c>
      <c r="DE95" s="250" t="s">
        <v>611</v>
      </c>
      <c r="DF95" s="254">
        <v>0</v>
      </c>
      <c r="DG95" s="250" t="s">
        <v>611</v>
      </c>
      <c r="DH95" s="254">
        <v>0</v>
      </c>
      <c r="DI95" s="250" t="s">
        <v>611</v>
      </c>
      <c r="DJ95" s="254">
        <v>0</v>
      </c>
      <c r="DK95" s="250" t="s">
        <v>611</v>
      </c>
      <c r="DL95" s="254">
        <v>0</v>
      </c>
      <c r="DM95" s="250" t="s">
        <v>611</v>
      </c>
      <c r="DN95" s="254">
        <v>4.6771912091086186E-2</v>
      </c>
      <c r="DO95" s="250" t="s">
        <v>611</v>
      </c>
      <c r="DP95" s="254">
        <v>0</v>
      </c>
      <c r="DQ95" s="250" t="s">
        <v>611</v>
      </c>
      <c r="DR95" s="254">
        <v>0</v>
      </c>
      <c r="DS95" s="109"/>
      <c r="DT95" s="109"/>
      <c r="DU95" s="109"/>
      <c r="DV95" s="109"/>
      <c r="DW95" s="109"/>
      <c r="DX95" s="109"/>
      <c r="DY95" s="109"/>
      <c r="DZ95" s="109"/>
      <c r="EA95" s="109"/>
      <c r="EB95" s="109"/>
      <c r="EC95" s="109"/>
      <c r="ED95" s="109"/>
      <c r="EE95" s="109"/>
      <c r="EF95" s="109"/>
      <c r="EG95" s="109"/>
      <c r="EH95" s="109"/>
      <c r="EI95" s="109"/>
      <c r="EJ95" s="109"/>
      <c r="EK95" s="109"/>
      <c r="EL95" s="109"/>
      <c r="EM95" s="109"/>
      <c r="EN95" s="109"/>
      <c r="EO95" s="109"/>
      <c r="EP95" s="109"/>
      <c r="EQ95" s="109"/>
      <c r="ER95" s="109"/>
      <c r="ES95" s="109"/>
      <c r="ET95" s="109"/>
      <c r="EU95" s="109"/>
      <c r="EV95" s="109"/>
      <c r="EW95" s="109"/>
      <c r="EX95" s="109"/>
      <c r="EY95" s="109"/>
      <c r="EZ95" s="109"/>
      <c r="FA95" s="109"/>
      <c r="FB95" s="109"/>
      <c r="FC95" s="109"/>
      <c r="FD95" s="109"/>
      <c r="FE95" s="109"/>
      <c r="FF95" s="109"/>
      <c r="FG95" s="109"/>
      <c r="FH95" s="109"/>
      <c r="FI95" s="109"/>
      <c r="FJ95" s="109"/>
      <c r="FK95" s="109"/>
      <c r="FL95" s="109"/>
      <c r="FM95" s="109"/>
      <c r="FN95" s="109"/>
      <c r="FO95" s="109"/>
      <c r="FP95" s="109"/>
      <c r="FQ95" s="109"/>
      <c r="FR95" s="109"/>
      <c r="FS95" s="109"/>
      <c r="FT95" s="109"/>
      <c r="FU95" s="109"/>
      <c r="FV95" s="109"/>
      <c r="FW95" s="109"/>
      <c r="FX95" s="109"/>
      <c r="FY95" s="109"/>
      <c r="FZ95" s="109"/>
      <c r="GA95" s="109"/>
      <c r="GB95" s="109"/>
      <c r="GC95" s="109"/>
      <c r="GD95" s="109"/>
      <c r="GE95" s="109"/>
      <c r="GF95" s="109"/>
      <c r="GG95" s="109"/>
      <c r="GH95" s="109"/>
      <c r="GI95" s="109"/>
      <c r="GJ95" s="109"/>
      <c r="GK95" s="109"/>
      <c r="GL95" s="109"/>
      <c r="GM95" s="109"/>
      <c r="GN95" s="109"/>
      <c r="GO95" s="109"/>
      <c r="GP95" s="109"/>
      <c r="GQ95" s="109"/>
      <c r="GR95" s="109"/>
      <c r="GS95" s="109"/>
      <c r="GT95" s="109"/>
      <c r="GU95" s="109"/>
      <c r="GV95" s="109"/>
      <c r="GW95" s="109"/>
      <c r="GX95" s="109"/>
      <c r="GY95" s="109"/>
      <c r="GZ95" s="109"/>
      <c r="HA95" s="109"/>
      <c r="HB95" s="109"/>
      <c r="HC95" s="109"/>
      <c r="HD95" s="109"/>
      <c r="HE95" s="109"/>
      <c r="HF95" s="109"/>
      <c r="HG95" s="109"/>
      <c r="HH95" s="109"/>
      <c r="HI95" s="109"/>
      <c r="HJ95" s="109"/>
      <c r="HK95" s="109"/>
      <c r="HL95" s="109"/>
      <c r="HM95" s="109"/>
      <c r="HN95" s="109"/>
      <c r="HO95" s="109"/>
      <c r="HP95" s="109"/>
      <c r="HQ95" s="109"/>
      <c r="HR95" s="109"/>
      <c r="HS95" s="109"/>
      <c r="HT95" s="109"/>
      <c r="HU95" s="109"/>
      <c r="HV95" s="109"/>
      <c r="HW95" s="109"/>
      <c r="HX95" s="109"/>
      <c r="HY95" s="109"/>
      <c r="HZ95" s="109"/>
      <c r="IA95" s="109"/>
      <c r="IB95" s="109"/>
      <c r="IC95" s="109"/>
      <c r="ID95" s="109"/>
      <c r="IE95" s="109"/>
      <c r="IF95" s="109"/>
      <c r="IG95" s="109"/>
      <c r="IH95" s="109"/>
      <c r="II95" s="109"/>
      <c r="IJ95" s="109"/>
      <c r="IK95" s="109"/>
      <c r="IL95" s="109"/>
      <c r="IM95" s="109"/>
      <c r="IN95" s="109"/>
      <c r="IO95" s="109"/>
      <c r="IP95" s="109"/>
      <c r="IQ95" s="109"/>
      <c r="IR95" s="109"/>
      <c r="IS95" s="109"/>
      <c r="IT95" s="109"/>
      <c r="IU95" s="109"/>
      <c r="IV95" s="109"/>
      <c r="IW95" s="109"/>
      <c r="IX95" s="109"/>
      <c r="IY95" s="109"/>
      <c r="IZ95" s="109"/>
      <c r="JA95" s="109"/>
      <c r="JB95" s="109"/>
      <c r="JC95" s="109"/>
      <c r="JD95" s="109"/>
      <c r="JE95" s="109"/>
      <c r="JF95" s="109"/>
      <c r="JG95" s="109"/>
      <c r="JH95" s="109"/>
      <c r="JI95" s="109"/>
      <c r="JJ95" s="109"/>
      <c r="JK95" s="109"/>
      <c r="JL95" s="109"/>
      <c r="JM95" s="109"/>
      <c r="JN95" s="109"/>
      <c r="JO95" s="109"/>
      <c r="JP95" s="109"/>
      <c r="JQ95" s="109"/>
      <c r="JR95" s="109"/>
      <c r="JS95" s="109"/>
      <c r="JT95" s="109"/>
      <c r="JU95" s="109"/>
      <c r="JV95" s="109"/>
      <c r="JW95" s="109"/>
      <c r="JX95" s="109"/>
      <c r="JY95" s="109"/>
      <c r="JZ95" s="109"/>
      <c r="KA95" s="109"/>
      <c r="KB95" s="109"/>
      <c r="KC95" s="109"/>
      <c r="KD95" s="109"/>
      <c r="KE95" s="109"/>
      <c r="KF95" s="109"/>
      <c r="KG95" s="109"/>
      <c r="KH95" s="109"/>
      <c r="KI95" s="109"/>
      <c r="KJ95" s="109"/>
      <c r="KK95" s="109"/>
      <c r="KL95" s="109"/>
      <c r="KM95" s="109"/>
      <c r="KN95" s="109"/>
      <c r="KO95" s="109"/>
      <c r="KP95" s="109"/>
      <c r="KQ95" s="109"/>
      <c r="KR95" s="109"/>
      <c r="KS95" s="109"/>
      <c r="KT95" s="109"/>
      <c r="KU95" s="109"/>
      <c r="KV95" s="109"/>
      <c r="KW95" s="109"/>
      <c r="KX95" s="109"/>
      <c r="KY95" s="109"/>
      <c r="KZ95" s="109"/>
      <c r="LA95" s="109"/>
      <c r="LB95" s="109"/>
      <c r="LC95" s="109"/>
      <c r="LD95" s="109"/>
      <c r="LE95" s="109"/>
      <c r="LF95" s="109"/>
      <c r="LG95" s="109"/>
      <c r="LH95" s="109"/>
      <c r="LI95" s="109"/>
      <c r="LJ95" s="109"/>
      <c r="LK95" s="109"/>
      <c r="LL95" s="109"/>
      <c r="LM95" s="109"/>
      <c r="LN95" s="109"/>
      <c r="LO95" s="109"/>
      <c r="LP95" s="109"/>
      <c r="LQ95" s="109"/>
      <c r="LR95" s="109"/>
      <c r="LS95" s="109"/>
      <c r="LT95" s="109"/>
      <c r="LU95" s="109"/>
      <c r="LV95" s="109"/>
      <c r="LW95" s="109"/>
      <c r="LX95" s="109"/>
      <c r="LY95" s="109"/>
      <c r="LZ95" s="109"/>
      <c r="MA95" s="109"/>
      <c r="MB95" s="109"/>
      <c r="MC95" s="109"/>
      <c r="MD95" s="109"/>
      <c r="ME95" s="109"/>
      <c r="MF95" s="109"/>
      <c r="MG95" s="109"/>
      <c r="MH95" s="150"/>
      <c r="MI95" s="109"/>
      <c r="MJ95" s="109"/>
      <c r="MK95" s="109"/>
      <c r="ML95" s="109"/>
      <c r="MM95" s="109"/>
      <c r="MN95" s="109"/>
      <c r="MO95" s="109"/>
      <c r="MP95" s="109"/>
      <c r="MQ95" s="109"/>
      <c r="MR95" s="109"/>
      <c r="MS95" s="109"/>
      <c r="MT95" s="109"/>
      <c r="MU95" s="109"/>
      <c r="MV95" s="109"/>
      <c r="MW95" s="109"/>
      <c r="MX95" s="109"/>
      <c r="MY95" s="109"/>
      <c r="MZ95" s="109"/>
      <c r="NA95" s="109"/>
      <c r="NB95" s="109"/>
    </row>
    <row r="96" spans="1:366" s="261" customFormat="1" x14ac:dyDescent="0.25">
      <c r="A96" s="113">
        <v>0</v>
      </c>
      <c r="B96" s="161" t="s">
        <v>636</v>
      </c>
      <c r="C96" s="250" t="s">
        <v>611</v>
      </c>
      <c r="D96" s="254">
        <v>0</v>
      </c>
      <c r="E96" s="250" t="s">
        <v>611</v>
      </c>
      <c r="F96" s="254">
        <v>0</v>
      </c>
      <c r="G96" s="250" t="s">
        <v>611</v>
      </c>
      <c r="H96" s="254">
        <v>0.15043172948463485</v>
      </c>
      <c r="I96" s="250" t="s">
        <v>611</v>
      </c>
      <c r="J96" s="254">
        <v>1</v>
      </c>
      <c r="K96" s="250" t="s">
        <v>611</v>
      </c>
      <c r="L96" s="254">
        <v>0</v>
      </c>
      <c r="M96" s="250" t="s">
        <v>611</v>
      </c>
      <c r="N96" s="254">
        <v>0</v>
      </c>
      <c r="O96" s="250" t="s">
        <v>611</v>
      </c>
      <c r="P96" s="254">
        <v>1</v>
      </c>
      <c r="Q96" s="250" t="s">
        <v>611</v>
      </c>
      <c r="R96" s="254">
        <v>0</v>
      </c>
      <c r="S96" s="250" t="s">
        <v>611</v>
      </c>
      <c r="T96" s="254">
        <v>0</v>
      </c>
      <c r="U96" s="250" t="s">
        <v>611</v>
      </c>
      <c r="V96" s="254">
        <v>0.10510610263887267</v>
      </c>
      <c r="W96" s="250" t="s">
        <v>611</v>
      </c>
      <c r="X96" s="254">
        <v>0.40124787138584861</v>
      </c>
      <c r="Y96" s="250" t="s">
        <v>611</v>
      </c>
      <c r="Z96" s="254">
        <v>1</v>
      </c>
      <c r="AA96" s="250" t="s">
        <v>611</v>
      </c>
      <c r="AB96" s="254">
        <v>0</v>
      </c>
      <c r="AC96" s="250" t="s">
        <v>611</v>
      </c>
      <c r="AD96" s="254">
        <v>1</v>
      </c>
      <c r="AE96" s="250" t="s">
        <v>611</v>
      </c>
      <c r="AF96" s="254">
        <v>1</v>
      </c>
      <c r="AG96" s="250" t="s">
        <v>611</v>
      </c>
      <c r="AH96" s="254">
        <v>1</v>
      </c>
      <c r="AI96" s="250" t="s">
        <v>611</v>
      </c>
      <c r="AJ96" s="254">
        <v>0</v>
      </c>
      <c r="AK96" s="250" t="s">
        <v>611</v>
      </c>
      <c r="AL96" s="254">
        <v>0</v>
      </c>
      <c r="AM96" s="250" t="s">
        <v>611</v>
      </c>
      <c r="AN96" s="254">
        <v>0</v>
      </c>
      <c r="AO96" s="250" t="s">
        <v>611</v>
      </c>
      <c r="AP96" s="254">
        <v>0</v>
      </c>
      <c r="AQ96" s="250" t="s">
        <v>611</v>
      </c>
      <c r="AR96" s="254">
        <v>0</v>
      </c>
      <c r="AS96" s="250" t="s">
        <v>611</v>
      </c>
      <c r="AT96" s="254">
        <v>0</v>
      </c>
      <c r="AU96" s="250" t="s">
        <v>611</v>
      </c>
      <c r="AV96" s="254">
        <v>0.35353420867041996</v>
      </c>
      <c r="AW96" s="250" t="s">
        <v>611</v>
      </c>
      <c r="AX96" s="254">
        <v>1</v>
      </c>
      <c r="AY96" s="250" t="s">
        <v>611</v>
      </c>
      <c r="AZ96" s="254">
        <v>0</v>
      </c>
      <c r="BA96" s="250" t="s">
        <v>611</v>
      </c>
      <c r="BB96" s="254">
        <v>1.325426482710176E-2</v>
      </c>
      <c r="BC96" s="250" t="s">
        <v>611</v>
      </c>
      <c r="BD96" s="254">
        <v>0.10510610263887267</v>
      </c>
      <c r="BE96" s="250" t="s">
        <v>611</v>
      </c>
      <c r="BF96" s="254">
        <v>1</v>
      </c>
      <c r="BG96" s="250" t="s">
        <v>611</v>
      </c>
      <c r="BH96" s="254">
        <v>0.70552650393707605</v>
      </c>
      <c r="BI96" s="250" t="s">
        <v>611</v>
      </c>
      <c r="BJ96" s="254">
        <v>0</v>
      </c>
      <c r="BK96" s="250" t="s">
        <v>611</v>
      </c>
      <c r="BL96" s="254">
        <v>1</v>
      </c>
      <c r="BM96" s="250" t="s">
        <v>611</v>
      </c>
      <c r="BN96" s="254">
        <v>0.84262679572149857</v>
      </c>
      <c r="BO96" s="250" t="s">
        <v>611</v>
      </c>
      <c r="BP96" s="254">
        <v>0.15043172948463482</v>
      </c>
      <c r="BQ96" s="250" t="s">
        <v>611</v>
      </c>
      <c r="BR96" s="254">
        <v>0.76466826872727989</v>
      </c>
      <c r="BS96" s="250" t="s">
        <v>611</v>
      </c>
      <c r="BT96" s="254">
        <v>0.15043172948463482</v>
      </c>
      <c r="BU96" s="250" t="s">
        <v>611</v>
      </c>
      <c r="BV96" s="254">
        <v>0</v>
      </c>
      <c r="BW96" s="250" t="s">
        <v>611</v>
      </c>
      <c r="BX96" s="254">
        <v>0.12949121033712055</v>
      </c>
      <c r="BY96" s="250" t="s">
        <v>611</v>
      </c>
      <c r="BZ96" s="254">
        <v>0.75819121193454275</v>
      </c>
      <c r="CA96" s="250" t="s">
        <v>611</v>
      </c>
      <c r="CB96" s="254">
        <v>0</v>
      </c>
      <c r="CC96" s="250" t="s">
        <v>611</v>
      </c>
      <c r="CD96" s="254">
        <v>0.12949121033712055</v>
      </c>
      <c r="CE96" s="250" t="s">
        <v>611</v>
      </c>
      <c r="CF96" s="254">
        <v>0.75819121193454275</v>
      </c>
      <c r="CG96" s="250" t="s">
        <v>611</v>
      </c>
      <c r="CH96" s="254">
        <v>0</v>
      </c>
      <c r="CI96" s="250" t="s">
        <v>611</v>
      </c>
      <c r="CJ96" s="254">
        <v>0.12949121033712055</v>
      </c>
      <c r="CK96" s="250" t="s">
        <v>611</v>
      </c>
      <c r="CL96" s="254">
        <v>0.75819121193454275</v>
      </c>
      <c r="CM96" s="250" t="s">
        <v>611</v>
      </c>
      <c r="CN96" s="254">
        <v>0</v>
      </c>
      <c r="CO96" s="250" t="s">
        <v>611</v>
      </c>
      <c r="CP96" s="254">
        <v>0</v>
      </c>
      <c r="CQ96" s="250" t="s">
        <v>611</v>
      </c>
      <c r="CR96" s="254">
        <v>0</v>
      </c>
      <c r="CS96" s="250" t="s">
        <v>611</v>
      </c>
      <c r="CT96" s="254">
        <v>0</v>
      </c>
      <c r="CU96" s="250" t="s">
        <v>611</v>
      </c>
      <c r="CV96" s="254">
        <v>0</v>
      </c>
      <c r="CW96" s="250" t="s">
        <v>611</v>
      </c>
      <c r="CX96" s="254">
        <v>0</v>
      </c>
      <c r="CY96" s="250" t="s">
        <v>611</v>
      </c>
      <c r="CZ96" s="254">
        <v>0</v>
      </c>
      <c r="DA96" s="250" t="s">
        <v>611</v>
      </c>
      <c r="DB96" s="254">
        <v>0</v>
      </c>
      <c r="DC96" s="250" t="s">
        <v>611</v>
      </c>
      <c r="DD96" s="254">
        <v>0</v>
      </c>
      <c r="DE96" s="250" t="s">
        <v>611</v>
      </c>
      <c r="DF96" s="254">
        <v>0</v>
      </c>
      <c r="DG96" s="250" t="s">
        <v>611</v>
      </c>
      <c r="DH96" s="254">
        <v>1</v>
      </c>
      <c r="DI96" s="250" t="s">
        <v>611</v>
      </c>
      <c r="DJ96" s="254">
        <v>0</v>
      </c>
      <c r="DK96" s="250" t="s">
        <v>611</v>
      </c>
      <c r="DL96" s="254">
        <v>1</v>
      </c>
      <c r="DM96" s="250" t="s">
        <v>611</v>
      </c>
      <c r="DN96" s="254">
        <v>0.2851785438157815</v>
      </c>
      <c r="DO96" s="250" t="s">
        <v>611</v>
      </c>
      <c r="DP96" s="254">
        <v>0</v>
      </c>
      <c r="DQ96" s="250" t="s">
        <v>611</v>
      </c>
      <c r="DR96" s="254">
        <v>0</v>
      </c>
      <c r="DS96" s="109"/>
      <c r="DT96" s="109"/>
      <c r="DU96" s="109"/>
      <c r="DV96" s="109"/>
      <c r="DW96" s="109"/>
      <c r="DX96" s="109"/>
      <c r="DY96" s="109"/>
      <c r="DZ96" s="109"/>
      <c r="EA96" s="109"/>
      <c r="EB96" s="109"/>
      <c r="EC96" s="109"/>
      <c r="ED96" s="109"/>
      <c r="EE96" s="109"/>
      <c r="EF96" s="109"/>
      <c r="EG96" s="109"/>
      <c r="EH96" s="109"/>
      <c r="EI96" s="109"/>
      <c r="EJ96" s="109"/>
      <c r="EK96" s="109"/>
      <c r="EL96" s="109"/>
      <c r="EM96" s="109"/>
      <c r="EN96" s="109"/>
      <c r="EO96" s="109"/>
      <c r="EP96" s="109"/>
      <c r="EQ96" s="109"/>
      <c r="ER96" s="109"/>
      <c r="ES96" s="109"/>
      <c r="ET96" s="109"/>
      <c r="EU96" s="109"/>
      <c r="EV96" s="109"/>
      <c r="EW96" s="109"/>
      <c r="EX96" s="109"/>
      <c r="EY96" s="109"/>
      <c r="EZ96" s="109"/>
      <c r="FA96" s="109"/>
      <c r="FB96" s="109"/>
      <c r="FC96" s="109"/>
      <c r="FD96" s="109"/>
      <c r="FE96" s="109"/>
      <c r="FF96" s="109"/>
      <c r="FG96" s="109"/>
      <c r="FH96" s="109"/>
      <c r="FI96" s="109"/>
      <c r="FJ96" s="109"/>
      <c r="FK96" s="109"/>
      <c r="FL96" s="109"/>
      <c r="FM96" s="109"/>
      <c r="FN96" s="109"/>
      <c r="FO96" s="109"/>
      <c r="FP96" s="109"/>
      <c r="FQ96" s="109"/>
      <c r="FR96" s="109"/>
      <c r="FS96" s="109"/>
      <c r="FT96" s="109"/>
      <c r="FU96" s="109"/>
      <c r="FV96" s="109"/>
      <c r="FW96" s="109"/>
      <c r="FX96" s="109"/>
      <c r="FY96" s="109"/>
      <c r="FZ96" s="109"/>
      <c r="GA96" s="109"/>
      <c r="GB96" s="109"/>
      <c r="GC96" s="109"/>
      <c r="GD96" s="109"/>
      <c r="GE96" s="109"/>
      <c r="GF96" s="109"/>
      <c r="GG96" s="109"/>
      <c r="GH96" s="109"/>
      <c r="GI96" s="109"/>
      <c r="GJ96" s="109"/>
      <c r="GK96" s="109"/>
      <c r="GL96" s="109"/>
      <c r="GM96" s="109"/>
      <c r="GN96" s="109"/>
      <c r="GO96" s="109"/>
      <c r="GP96" s="109"/>
      <c r="GQ96" s="109"/>
      <c r="GR96" s="109"/>
      <c r="GS96" s="109"/>
      <c r="GT96" s="109"/>
      <c r="GU96" s="109"/>
      <c r="GV96" s="109"/>
      <c r="GW96" s="109"/>
      <c r="GX96" s="109"/>
      <c r="GY96" s="109"/>
      <c r="GZ96" s="109"/>
      <c r="HA96" s="109"/>
      <c r="HB96" s="109"/>
      <c r="HC96" s="109"/>
      <c r="HD96" s="109"/>
      <c r="HE96" s="109"/>
      <c r="HF96" s="109"/>
      <c r="HG96" s="109"/>
      <c r="HH96" s="109"/>
      <c r="HI96" s="109"/>
      <c r="HJ96" s="109"/>
      <c r="HK96" s="109"/>
      <c r="HL96" s="109"/>
      <c r="HM96" s="109"/>
      <c r="HN96" s="109"/>
      <c r="HO96" s="109"/>
      <c r="HP96" s="109"/>
      <c r="HQ96" s="109"/>
      <c r="HR96" s="109"/>
      <c r="HS96" s="109"/>
      <c r="HT96" s="109"/>
      <c r="HU96" s="109"/>
      <c r="HV96" s="109"/>
      <c r="HW96" s="109"/>
      <c r="HX96" s="109"/>
      <c r="HY96" s="109"/>
      <c r="HZ96" s="109"/>
      <c r="IA96" s="109"/>
      <c r="IB96" s="109"/>
      <c r="IC96" s="109"/>
      <c r="ID96" s="109"/>
      <c r="IE96" s="109"/>
      <c r="IF96" s="109"/>
      <c r="IG96" s="109"/>
      <c r="IH96" s="109"/>
      <c r="II96" s="109"/>
      <c r="IJ96" s="109"/>
      <c r="IK96" s="109"/>
      <c r="IL96" s="109"/>
      <c r="IM96" s="109"/>
      <c r="IN96" s="109"/>
      <c r="IO96" s="109"/>
      <c r="IP96" s="109"/>
      <c r="IQ96" s="109"/>
      <c r="IR96" s="109"/>
      <c r="IS96" s="109"/>
      <c r="IT96" s="109"/>
      <c r="IU96" s="109"/>
      <c r="IV96" s="109"/>
      <c r="IW96" s="109"/>
      <c r="IX96" s="109"/>
      <c r="IY96" s="109"/>
      <c r="IZ96" s="109"/>
      <c r="JA96" s="109"/>
      <c r="JB96" s="109"/>
      <c r="JC96" s="109"/>
      <c r="JD96" s="109"/>
      <c r="JE96" s="109"/>
      <c r="JF96" s="109"/>
      <c r="JG96" s="109"/>
      <c r="JH96" s="109"/>
      <c r="JI96" s="109"/>
      <c r="JJ96" s="109"/>
      <c r="JK96" s="109"/>
      <c r="JL96" s="109"/>
      <c r="JM96" s="109"/>
      <c r="JN96" s="109"/>
      <c r="JO96" s="109"/>
      <c r="JP96" s="109"/>
      <c r="JQ96" s="109"/>
      <c r="JR96" s="109"/>
      <c r="JS96" s="109"/>
      <c r="JT96" s="109"/>
      <c r="JU96" s="109"/>
      <c r="JV96" s="109"/>
      <c r="JW96" s="109"/>
      <c r="JX96" s="109"/>
      <c r="JY96" s="109"/>
      <c r="JZ96" s="109"/>
      <c r="KA96" s="109"/>
      <c r="KB96" s="109"/>
      <c r="KC96" s="109"/>
      <c r="KD96" s="109"/>
      <c r="KE96" s="109"/>
      <c r="KF96" s="109"/>
      <c r="KG96" s="109"/>
      <c r="KH96" s="109"/>
      <c r="KI96" s="109"/>
      <c r="KJ96" s="109"/>
      <c r="KK96" s="109"/>
      <c r="KL96" s="109"/>
      <c r="KM96" s="109"/>
      <c r="KN96" s="109"/>
      <c r="KO96" s="109"/>
      <c r="KP96" s="109"/>
      <c r="KQ96" s="109"/>
      <c r="KR96" s="109"/>
      <c r="KS96" s="109"/>
      <c r="KT96" s="109"/>
      <c r="KU96" s="109"/>
      <c r="KV96" s="109"/>
      <c r="KW96" s="109"/>
      <c r="KX96" s="109"/>
      <c r="KY96" s="109"/>
      <c r="KZ96" s="109"/>
      <c r="LA96" s="109"/>
      <c r="LB96" s="109"/>
      <c r="LC96" s="109"/>
      <c r="LD96" s="109"/>
      <c r="LE96" s="109"/>
      <c r="LF96" s="109"/>
      <c r="LG96" s="109"/>
      <c r="LH96" s="109"/>
      <c r="LI96" s="109"/>
      <c r="LJ96" s="109"/>
      <c r="LK96" s="109"/>
      <c r="LL96" s="109"/>
      <c r="LM96" s="109"/>
      <c r="LN96" s="109"/>
      <c r="LO96" s="109"/>
      <c r="LP96" s="109"/>
      <c r="LQ96" s="109"/>
      <c r="LR96" s="109"/>
      <c r="LS96" s="109"/>
      <c r="LT96" s="109"/>
      <c r="LU96" s="109"/>
      <c r="LV96" s="109"/>
      <c r="LW96" s="109"/>
      <c r="LX96" s="109"/>
      <c r="LY96" s="109"/>
      <c r="LZ96" s="109"/>
      <c r="MA96" s="109"/>
      <c r="MB96" s="109"/>
      <c r="MC96" s="109"/>
      <c r="MD96" s="109"/>
      <c r="ME96" s="109"/>
      <c r="MF96" s="109"/>
      <c r="MG96" s="109"/>
      <c r="MH96" s="150"/>
      <c r="MI96" s="109"/>
      <c r="MJ96" s="109"/>
      <c r="MK96" s="109"/>
      <c r="ML96" s="109"/>
      <c r="MM96" s="109"/>
      <c r="MN96" s="109"/>
      <c r="MO96" s="109"/>
      <c r="MP96" s="109"/>
      <c r="MQ96" s="109"/>
      <c r="MR96" s="109"/>
      <c r="MS96" s="109"/>
      <c r="MT96" s="109"/>
      <c r="MU96" s="109"/>
      <c r="MV96" s="109"/>
      <c r="MW96" s="109"/>
      <c r="MX96" s="109"/>
      <c r="MY96" s="109"/>
      <c r="MZ96" s="109"/>
      <c r="NA96" s="109"/>
      <c r="NB96" s="109"/>
    </row>
    <row r="97" spans="1:366" s="261" customFormat="1" x14ac:dyDescent="0.25">
      <c r="A97" s="113">
        <v>0</v>
      </c>
      <c r="B97" s="161" t="s">
        <v>660</v>
      </c>
      <c r="C97" s="250" t="s">
        <v>617</v>
      </c>
      <c r="D97" s="254">
        <v>0</v>
      </c>
      <c r="E97" s="250" t="s">
        <v>617</v>
      </c>
      <c r="F97" s="254">
        <v>1</v>
      </c>
      <c r="G97" s="250" t="s">
        <v>617</v>
      </c>
      <c r="H97" s="254">
        <v>0.10944584319952963</v>
      </c>
      <c r="I97" s="250" t="s">
        <v>617</v>
      </c>
      <c r="J97" s="254">
        <v>0</v>
      </c>
      <c r="K97" s="250" t="s">
        <v>617</v>
      </c>
      <c r="L97" s="254">
        <v>0</v>
      </c>
      <c r="M97" s="250" t="s">
        <v>617</v>
      </c>
      <c r="N97" s="254">
        <v>0</v>
      </c>
      <c r="O97" s="250" t="s">
        <v>617</v>
      </c>
      <c r="P97" s="254">
        <v>0</v>
      </c>
      <c r="Q97" s="250" t="s">
        <v>617</v>
      </c>
      <c r="R97" s="254">
        <v>0</v>
      </c>
      <c r="S97" s="250" t="s">
        <v>617</v>
      </c>
      <c r="T97" s="254">
        <v>0</v>
      </c>
      <c r="U97" s="250" t="s">
        <v>617</v>
      </c>
      <c r="V97" s="254">
        <v>0.73286007508531426</v>
      </c>
      <c r="W97" s="250" t="s">
        <v>617</v>
      </c>
      <c r="X97" s="254">
        <v>6.0258482228639824E-2</v>
      </c>
      <c r="Y97" s="250" t="s">
        <v>617</v>
      </c>
      <c r="Z97" s="254">
        <v>0</v>
      </c>
      <c r="AA97" s="250" t="s">
        <v>617</v>
      </c>
      <c r="AB97" s="254">
        <v>0</v>
      </c>
      <c r="AC97" s="250" t="s">
        <v>617</v>
      </c>
      <c r="AD97" s="254">
        <v>0</v>
      </c>
      <c r="AE97" s="250" t="s">
        <v>617</v>
      </c>
      <c r="AF97" s="254">
        <v>0</v>
      </c>
      <c r="AG97" s="250" t="s">
        <v>617</v>
      </c>
      <c r="AH97" s="254">
        <v>0</v>
      </c>
      <c r="AI97" s="250" t="s">
        <v>617</v>
      </c>
      <c r="AJ97" s="254">
        <v>0</v>
      </c>
      <c r="AK97" s="250" t="s">
        <v>617</v>
      </c>
      <c r="AL97" s="254">
        <v>0</v>
      </c>
      <c r="AM97" s="250" t="s">
        <v>617</v>
      </c>
      <c r="AN97" s="254">
        <v>0</v>
      </c>
      <c r="AO97" s="250" t="s">
        <v>617</v>
      </c>
      <c r="AP97" s="254">
        <v>0</v>
      </c>
      <c r="AQ97" s="250" t="s">
        <v>617</v>
      </c>
      <c r="AR97" s="254">
        <v>0</v>
      </c>
      <c r="AS97" s="250" t="s">
        <v>617</v>
      </c>
      <c r="AT97" s="254">
        <v>1</v>
      </c>
      <c r="AU97" s="250" t="s">
        <v>617</v>
      </c>
      <c r="AV97" s="254">
        <v>6.7885826891805959E-2</v>
      </c>
      <c r="AW97" s="250" t="s">
        <v>617</v>
      </c>
      <c r="AX97" s="254">
        <v>0</v>
      </c>
      <c r="AY97" s="250" t="s">
        <v>617</v>
      </c>
      <c r="AZ97" s="254">
        <v>0</v>
      </c>
      <c r="BA97" s="250" t="s">
        <v>617</v>
      </c>
      <c r="BB97" s="254">
        <v>0.98437840320615233</v>
      </c>
      <c r="BC97" s="250" t="s">
        <v>617</v>
      </c>
      <c r="BD97" s="254">
        <v>0.73286007508531426</v>
      </c>
      <c r="BE97" s="250" t="s">
        <v>617</v>
      </c>
      <c r="BF97" s="254">
        <v>0</v>
      </c>
      <c r="BG97" s="250" t="s">
        <v>617</v>
      </c>
      <c r="BH97" s="254">
        <v>2.3419754159501077E-2</v>
      </c>
      <c r="BI97" s="250" t="s">
        <v>617</v>
      </c>
      <c r="BJ97" s="254">
        <v>0</v>
      </c>
      <c r="BK97" s="250" t="s">
        <v>617</v>
      </c>
      <c r="BL97" s="254">
        <v>0</v>
      </c>
      <c r="BM97" s="250" t="s">
        <v>617</v>
      </c>
      <c r="BN97" s="254">
        <v>1.1435314169730598E-2</v>
      </c>
      <c r="BO97" s="250" t="s">
        <v>617</v>
      </c>
      <c r="BP97" s="254">
        <v>0.10944584319952963</v>
      </c>
      <c r="BQ97" s="250" t="s">
        <v>617</v>
      </c>
      <c r="BR97" s="254">
        <v>0.10944584319952963</v>
      </c>
      <c r="BS97" s="250" t="s">
        <v>617</v>
      </c>
      <c r="BT97" s="254">
        <v>0.10944584319952963</v>
      </c>
      <c r="BU97" s="250" t="s">
        <v>617</v>
      </c>
      <c r="BV97" s="254">
        <v>1</v>
      </c>
      <c r="BW97" s="250" t="s">
        <v>617</v>
      </c>
      <c r="BX97" s="254">
        <v>0.52506898065744656</v>
      </c>
      <c r="BY97" s="250" t="s">
        <v>617</v>
      </c>
      <c r="BZ97" s="254">
        <v>1.8557575710437174E-2</v>
      </c>
      <c r="CA97" s="250" t="s">
        <v>617</v>
      </c>
      <c r="CB97" s="254">
        <v>1</v>
      </c>
      <c r="CC97" s="250" t="s">
        <v>617</v>
      </c>
      <c r="CD97" s="254">
        <v>0.52506898065744656</v>
      </c>
      <c r="CE97" s="250" t="s">
        <v>617</v>
      </c>
      <c r="CF97" s="254">
        <v>1.8557575710437174E-2</v>
      </c>
      <c r="CG97" s="250" t="s">
        <v>617</v>
      </c>
      <c r="CH97" s="254">
        <v>1</v>
      </c>
      <c r="CI97" s="250" t="s">
        <v>617</v>
      </c>
      <c r="CJ97" s="254">
        <v>0.52506898065744656</v>
      </c>
      <c r="CK97" s="250" t="s">
        <v>617</v>
      </c>
      <c r="CL97" s="254">
        <v>1.8557575710437174E-2</v>
      </c>
      <c r="CM97" s="250" t="s">
        <v>617</v>
      </c>
      <c r="CN97" s="254">
        <v>0</v>
      </c>
      <c r="CO97" s="250" t="s">
        <v>617</v>
      </c>
      <c r="CP97" s="254">
        <v>0</v>
      </c>
      <c r="CQ97" s="250" t="s">
        <v>617</v>
      </c>
      <c r="CR97" s="254">
        <v>0</v>
      </c>
      <c r="CS97" s="250" t="s">
        <v>617</v>
      </c>
      <c r="CT97" s="254">
        <v>0</v>
      </c>
      <c r="CU97" s="250" t="s">
        <v>617</v>
      </c>
      <c r="CV97" s="254">
        <v>0</v>
      </c>
      <c r="CW97" s="250" t="s">
        <v>617</v>
      </c>
      <c r="CX97" s="254">
        <v>0</v>
      </c>
      <c r="CY97" s="250" t="s">
        <v>617</v>
      </c>
      <c r="CZ97" s="254">
        <v>0</v>
      </c>
      <c r="DA97" s="250" t="s">
        <v>617</v>
      </c>
      <c r="DB97" s="254">
        <v>0</v>
      </c>
      <c r="DC97" s="250" t="s">
        <v>617</v>
      </c>
      <c r="DD97" s="254">
        <v>0</v>
      </c>
      <c r="DE97" s="250" t="s">
        <v>617</v>
      </c>
      <c r="DF97" s="254">
        <v>0</v>
      </c>
      <c r="DG97" s="250" t="s">
        <v>617</v>
      </c>
      <c r="DH97" s="254">
        <v>0</v>
      </c>
      <c r="DI97" s="250" t="s">
        <v>617</v>
      </c>
      <c r="DJ97" s="254">
        <v>0</v>
      </c>
      <c r="DK97" s="250" t="s">
        <v>617</v>
      </c>
      <c r="DL97" s="254">
        <v>0</v>
      </c>
      <c r="DM97" s="250" t="s">
        <v>617</v>
      </c>
      <c r="DN97" s="254">
        <v>8.0043897336033093E-2</v>
      </c>
      <c r="DO97" s="250" t="s">
        <v>617</v>
      </c>
      <c r="DP97" s="254">
        <v>0</v>
      </c>
      <c r="DQ97" s="250" t="s">
        <v>617</v>
      </c>
      <c r="DR97" s="254">
        <v>0</v>
      </c>
      <c r="DS97" s="109"/>
      <c r="DT97" s="109"/>
      <c r="DU97" s="109"/>
      <c r="DV97" s="109"/>
      <c r="DW97" s="109"/>
      <c r="DX97" s="109"/>
      <c r="DY97" s="109"/>
      <c r="DZ97" s="109"/>
      <c r="EA97" s="109"/>
      <c r="EB97" s="109"/>
      <c r="EC97" s="109"/>
      <c r="ED97" s="109"/>
      <c r="EE97" s="109"/>
      <c r="EF97" s="109"/>
      <c r="EG97" s="109"/>
      <c r="EH97" s="109"/>
      <c r="EI97" s="109"/>
      <c r="EJ97" s="109"/>
      <c r="EK97" s="109"/>
      <c r="EL97" s="109"/>
      <c r="EM97" s="109"/>
      <c r="EN97" s="109"/>
      <c r="EO97" s="109"/>
      <c r="EP97" s="109"/>
      <c r="EQ97" s="109"/>
      <c r="ER97" s="109"/>
      <c r="ES97" s="109"/>
      <c r="ET97" s="109"/>
      <c r="EU97" s="109"/>
      <c r="EV97" s="109"/>
      <c r="EW97" s="109"/>
      <c r="EX97" s="109"/>
      <c r="EY97" s="109"/>
      <c r="EZ97" s="109"/>
      <c r="FA97" s="109"/>
      <c r="FB97" s="109"/>
      <c r="FC97" s="109"/>
      <c r="FD97" s="109"/>
      <c r="FE97" s="109"/>
      <c r="FF97" s="109"/>
      <c r="FG97" s="109"/>
      <c r="FH97" s="109"/>
      <c r="FI97" s="109"/>
      <c r="FJ97" s="109"/>
      <c r="FK97" s="109"/>
      <c r="FL97" s="109"/>
      <c r="FM97" s="109"/>
      <c r="FN97" s="109"/>
      <c r="FO97" s="109"/>
      <c r="FP97" s="109"/>
      <c r="FQ97" s="109"/>
      <c r="FR97" s="109"/>
      <c r="FS97" s="109"/>
      <c r="FT97" s="109"/>
      <c r="FU97" s="109"/>
      <c r="FV97" s="109"/>
      <c r="FW97" s="109"/>
      <c r="FX97" s="109"/>
      <c r="FY97" s="109"/>
      <c r="FZ97" s="109"/>
      <c r="GA97" s="109"/>
      <c r="GB97" s="109"/>
      <c r="GC97" s="109"/>
      <c r="GD97" s="109"/>
      <c r="GE97" s="109"/>
      <c r="GF97" s="109"/>
      <c r="GG97" s="109"/>
      <c r="GH97" s="109"/>
      <c r="GI97" s="109"/>
      <c r="GJ97" s="109"/>
      <c r="GK97" s="109"/>
      <c r="GL97" s="109"/>
      <c r="GM97" s="109"/>
      <c r="GN97" s="109"/>
      <c r="GO97" s="109"/>
      <c r="GP97" s="109"/>
      <c r="GQ97" s="109"/>
      <c r="GR97" s="109"/>
      <c r="GS97" s="109"/>
      <c r="GT97" s="109"/>
      <c r="GU97" s="109"/>
      <c r="GV97" s="109"/>
      <c r="GW97" s="109"/>
      <c r="GX97" s="109"/>
      <c r="GY97" s="109"/>
      <c r="GZ97" s="109"/>
      <c r="HA97" s="109"/>
      <c r="HB97" s="109"/>
      <c r="HC97" s="109"/>
      <c r="HD97" s="109"/>
      <c r="HE97" s="109"/>
      <c r="HF97" s="109"/>
      <c r="HG97" s="109"/>
      <c r="HH97" s="109"/>
      <c r="HI97" s="109"/>
      <c r="HJ97" s="109"/>
      <c r="HK97" s="109"/>
      <c r="HL97" s="109"/>
      <c r="HM97" s="109"/>
      <c r="HN97" s="109"/>
      <c r="HO97" s="109"/>
      <c r="HP97" s="109"/>
      <c r="HQ97" s="109"/>
      <c r="HR97" s="109"/>
      <c r="HS97" s="109"/>
      <c r="HT97" s="109"/>
      <c r="HU97" s="109"/>
      <c r="HV97" s="109"/>
      <c r="HW97" s="109"/>
      <c r="HX97" s="109"/>
      <c r="HY97" s="109"/>
      <c r="HZ97" s="109"/>
      <c r="IA97" s="109"/>
      <c r="IB97" s="109"/>
      <c r="IC97" s="109"/>
      <c r="ID97" s="109"/>
      <c r="IE97" s="109"/>
      <c r="IF97" s="109"/>
      <c r="IG97" s="109"/>
      <c r="IH97" s="109"/>
      <c r="II97" s="109"/>
      <c r="IJ97" s="109"/>
      <c r="IK97" s="109"/>
      <c r="IL97" s="109"/>
      <c r="IM97" s="109"/>
      <c r="IN97" s="109"/>
      <c r="IO97" s="109"/>
      <c r="IP97" s="109"/>
      <c r="IQ97" s="109"/>
      <c r="IR97" s="109"/>
      <c r="IS97" s="109"/>
      <c r="IT97" s="109"/>
      <c r="IU97" s="109"/>
      <c r="IV97" s="109"/>
      <c r="IW97" s="109"/>
      <c r="IX97" s="109"/>
      <c r="IY97" s="109"/>
      <c r="IZ97" s="109"/>
      <c r="JA97" s="109"/>
      <c r="JB97" s="109"/>
      <c r="JC97" s="109"/>
      <c r="JD97" s="109"/>
      <c r="JE97" s="109"/>
      <c r="JF97" s="109"/>
      <c r="JG97" s="109"/>
      <c r="JH97" s="109"/>
      <c r="JI97" s="109"/>
      <c r="JJ97" s="109"/>
      <c r="JK97" s="109"/>
      <c r="JL97" s="109"/>
      <c r="JM97" s="109"/>
      <c r="JN97" s="109"/>
      <c r="JO97" s="109"/>
      <c r="JP97" s="109"/>
      <c r="JQ97" s="109"/>
      <c r="JR97" s="109"/>
      <c r="JS97" s="109"/>
      <c r="JT97" s="109"/>
      <c r="JU97" s="109"/>
      <c r="JV97" s="109"/>
      <c r="JW97" s="109"/>
      <c r="JX97" s="109"/>
      <c r="JY97" s="109"/>
      <c r="JZ97" s="109"/>
      <c r="KA97" s="109"/>
      <c r="KB97" s="109"/>
      <c r="KC97" s="109"/>
      <c r="KD97" s="109"/>
      <c r="KE97" s="109"/>
      <c r="KF97" s="109"/>
      <c r="KG97" s="109"/>
      <c r="KH97" s="109"/>
      <c r="KI97" s="109"/>
      <c r="KJ97" s="109"/>
      <c r="KK97" s="109"/>
      <c r="KL97" s="109"/>
      <c r="KM97" s="109"/>
      <c r="KN97" s="109"/>
      <c r="KO97" s="109"/>
      <c r="KP97" s="109"/>
      <c r="KQ97" s="109"/>
      <c r="KR97" s="109"/>
      <c r="KS97" s="109"/>
      <c r="KT97" s="109"/>
      <c r="KU97" s="109"/>
      <c r="KV97" s="109"/>
      <c r="KW97" s="109"/>
      <c r="KX97" s="109"/>
      <c r="KY97" s="109"/>
      <c r="KZ97" s="109"/>
      <c r="LA97" s="109"/>
      <c r="LB97" s="109"/>
      <c r="LC97" s="109"/>
      <c r="LD97" s="109"/>
      <c r="LE97" s="109"/>
      <c r="LF97" s="109"/>
      <c r="LG97" s="109"/>
      <c r="LH97" s="109"/>
      <c r="LI97" s="109"/>
      <c r="LJ97" s="109"/>
      <c r="LK97" s="109"/>
      <c r="LL97" s="109"/>
      <c r="LM97" s="109"/>
      <c r="LN97" s="109"/>
      <c r="LO97" s="109"/>
      <c r="LP97" s="109"/>
      <c r="LQ97" s="109"/>
      <c r="LR97" s="109"/>
      <c r="LS97" s="109"/>
      <c r="LT97" s="109"/>
      <c r="LU97" s="109"/>
      <c r="LV97" s="109"/>
      <c r="LW97" s="109"/>
      <c r="LX97" s="109"/>
      <c r="LY97" s="109"/>
      <c r="LZ97" s="109"/>
      <c r="MA97" s="109"/>
      <c r="MB97" s="109"/>
      <c r="MC97" s="109"/>
      <c r="MD97" s="109"/>
      <c r="ME97" s="109"/>
      <c r="MF97" s="109"/>
      <c r="MG97" s="109"/>
      <c r="MH97" s="150"/>
      <c r="MI97" s="109"/>
      <c r="MJ97" s="109"/>
      <c r="MK97" s="109"/>
      <c r="ML97" s="109"/>
      <c r="MM97" s="109"/>
      <c r="MN97" s="109"/>
      <c r="MO97" s="109"/>
      <c r="MP97" s="109"/>
      <c r="MQ97" s="109"/>
      <c r="MR97" s="109"/>
      <c r="MS97" s="109"/>
      <c r="MT97" s="109"/>
      <c r="MU97" s="109"/>
      <c r="MV97" s="109"/>
      <c r="MW97" s="109"/>
      <c r="MX97" s="109"/>
      <c r="MY97" s="109"/>
      <c r="MZ97" s="109"/>
      <c r="NA97" s="109"/>
      <c r="NB97" s="109"/>
    </row>
    <row r="98" spans="1:366" s="261" customFormat="1" x14ac:dyDescent="0.25">
      <c r="A98" s="113">
        <v>0</v>
      </c>
      <c r="B98" s="161" t="s">
        <v>1098</v>
      </c>
      <c r="C98" s="250" t="s">
        <v>617</v>
      </c>
      <c r="D98" s="254">
        <v>0</v>
      </c>
      <c r="E98" s="250" t="s">
        <v>617</v>
      </c>
      <c r="F98" s="254">
        <v>0</v>
      </c>
      <c r="G98" s="250" t="s">
        <v>617</v>
      </c>
      <c r="H98" s="254">
        <v>0.89055415680047034</v>
      </c>
      <c r="I98" s="250" t="s">
        <v>617</v>
      </c>
      <c r="J98" s="254">
        <v>1</v>
      </c>
      <c r="K98" s="250" t="s">
        <v>617</v>
      </c>
      <c r="L98" s="254">
        <v>0</v>
      </c>
      <c r="M98" s="250" t="s">
        <v>617</v>
      </c>
      <c r="N98" s="254">
        <v>0</v>
      </c>
      <c r="O98" s="250" t="s">
        <v>617</v>
      </c>
      <c r="P98" s="254">
        <v>0</v>
      </c>
      <c r="Q98" s="250" t="s">
        <v>617</v>
      </c>
      <c r="R98" s="254">
        <v>0</v>
      </c>
      <c r="S98" s="250" t="s">
        <v>617</v>
      </c>
      <c r="T98" s="254">
        <v>0</v>
      </c>
      <c r="U98" s="250" t="s">
        <v>617</v>
      </c>
      <c r="V98" s="254">
        <v>0.26713992491468563</v>
      </c>
      <c r="W98" s="250" t="s">
        <v>617</v>
      </c>
      <c r="X98" s="254">
        <v>0.93974151777136017</v>
      </c>
      <c r="Y98" s="250" t="s">
        <v>617</v>
      </c>
      <c r="Z98" s="254">
        <v>1</v>
      </c>
      <c r="AA98" s="250" t="s">
        <v>617</v>
      </c>
      <c r="AB98" s="254">
        <v>0</v>
      </c>
      <c r="AC98" s="250" t="s">
        <v>617</v>
      </c>
      <c r="AD98" s="254">
        <v>0</v>
      </c>
      <c r="AE98" s="250" t="s">
        <v>617</v>
      </c>
      <c r="AF98" s="254">
        <v>0</v>
      </c>
      <c r="AG98" s="250" t="s">
        <v>617</v>
      </c>
      <c r="AH98" s="254">
        <v>0</v>
      </c>
      <c r="AI98" s="250" t="s">
        <v>617</v>
      </c>
      <c r="AJ98" s="254">
        <v>0</v>
      </c>
      <c r="AK98" s="250" t="s">
        <v>617</v>
      </c>
      <c r="AL98" s="254">
        <v>0</v>
      </c>
      <c r="AM98" s="250" t="s">
        <v>617</v>
      </c>
      <c r="AN98" s="254">
        <v>0</v>
      </c>
      <c r="AO98" s="250" t="s">
        <v>617</v>
      </c>
      <c r="AP98" s="254">
        <v>0</v>
      </c>
      <c r="AQ98" s="250" t="s">
        <v>617</v>
      </c>
      <c r="AR98" s="254">
        <v>0</v>
      </c>
      <c r="AS98" s="250" t="s">
        <v>617</v>
      </c>
      <c r="AT98" s="254">
        <v>0</v>
      </c>
      <c r="AU98" s="250" t="s">
        <v>617</v>
      </c>
      <c r="AV98" s="254">
        <v>0.932114173108194</v>
      </c>
      <c r="AW98" s="250" t="s">
        <v>617</v>
      </c>
      <c r="AX98" s="254">
        <v>1</v>
      </c>
      <c r="AY98" s="250" t="s">
        <v>617</v>
      </c>
      <c r="AZ98" s="254">
        <v>0</v>
      </c>
      <c r="BA98" s="250" t="s">
        <v>617</v>
      </c>
      <c r="BB98" s="254">
        <v>1.5621596793847626E-2</v>
      </c>
      <c r="BC98" s="250" t="s">
        <v>617</v>
      </c>
      <c r="BD98" s="254">
        <v>0.26713992491468563</v>
      </c>
      <c r="BE98" s="250" t="s">
        <v>617</v>
      </c>
      <c r="BF98" s="254">
        <v>1</v>
      </c>
      <c r="BG98" s="250" t="s">
        <v>617</v>
      </c>
      <c r="BH98" s="254">
        <v>0.97658024584049896</v>
      </c>
      <c r="BI98" s="250" t="s">
        <v>617</v>
      </c>
      <c r="BJ98" s="254">
        <v>0</v>
      </c>
      <c r="BK98" s="250" t="s">
        <v>617</v>
      </c>
      <c r="BL98" s="254">
        <v>1</v>
      </c>
      <c r="BM98" s="250" t="s">
        <v>617</v>
      </c>
      <c r="BN98" s="254">
        <v>0.98856468583026935</v>
      </c>
      <c r="BO98" s="250" t="s">
        <v>617</v>
      </c>
      <c r="BP98" s="254">
        <v>0.89055415680047034</v>
      </c>
      <c r="BQ98" s="250" t="s">
        <v>617</v>
      </c>
      <c r="BR98" s="254">
        <v>0.89055415680047034</v>
      </c>
      <c r="BS98" s="250" t="s">
        <v>617</v>
      </c>
      <c r="BT98" s="254">
        <v>0.89055415680047034</v>
      </c>
      <c r="BU98" s="250" t="s">
        <v>617</v>
      </c>
      <c r="BV98" s="254">
        <v>0</v>
      </c>
      <c r="BW98" s="250" t="s">
        <v>617</v>
      </c>
      <c r="BX98" s="254">
        <v>0.47493101934255344</v>
      </c>
      <c r="BY98" s="250" t="s">
        <v>617</v>
      </c>
      <c r="BZ98" s="254">
        <v>0.98144242428956274</v>
      </c>
      <c r="CA98" s="250" t="s">
        <v>617</v>
      </c>
      <c r="CB98" s="254">
        <v>0</v>
      </c>
      <c r="CC98" s="250" t="s">
        <v>617</v>
      </c>
      <c r="CD98" s="254">
        <v>0.47493101934255344</v>
      </c>
      <c r="CE98" s="250" t="s">
        <v>617</v>
      </c>
      <c r="CF98" s="254">
        <v>0.98144242428956274</v>
      </c>
      <c r="CG98" s="250" t="s">
        <v>617</v>
      </c>
      <c r="CH98" s="254">
        <v>0</v>
      </c>
      <c r="CI98" s="250" t="s">
        <v>617</v>
      </c>
      <c r="CJ98" s="254">
        <v>0.47493101934255344</v>
      </c>
      <c r="CK98" s="250" t="s">
        <v>617</v>
      </c>
      <c r="CL98" s="254">
        <v>0.98144242428956274</v>
      </c>
      <c r="CM98" s="250" t="s">
        <v>617</v>
      </c>
      <c r="CN98" s="254">
        <v>0</v>
      </c>
      <c r="CO98" s="250" t="s">
        <v>617</v>
      </c>
      <c r="CP98" s="254">
        <v>0</v>
      </c>
      <c r="CQ98" s="250" t="s">
        <v>617</v>
      </c>
      <c r="CR98" s="254">
        <v>0</v>
      </c>
      <c r="CS98" s="250" t="s">
        <v>617</v>
      </c>
      <c r="CT98" s="254">
        <v>0</v>
      </c>
      <c r="CU98" s="250" t="s">
        <v>617</v>
      </c>
      <c r="CV98" s="254">
        <v>0</v>
      </c>
      <c r="CW98" s="250" t="s">
        <v>617</v>
      </c>
      <c r="CX98" s="254">
        <v>0</v>
      </c>
      <c r="CY98" s="250" t="s">
        <v>617</v>
      </c>
      <c r="CZ98" s="254">
        <v>0</v>
      </c>
      <c r="DA98" s="250" t="s">
        <v>617</v>
      </c>
      <c r="DB98" s="254">
        <v>0</v>
      </c>
      <c r="DC98" s="250" t="s">
        <v>617</v>
      </c>
      <c r="DD98" s="254">
        <v>0</v>
      </c>
      <c r="DE98" s="250" t="s">
        <v>617</v>
      </c>
      <c r="DF98" s="254">
        <v>0</v>
      </c>
      <c r="DG98" s="250" t="s">
        <v>617</v>
      </c>
      <c r="DH98" s="254">
        <v>0</v>
      </c>
      <c r="DI98" s="250" t="s">
        <v>617</v>
      </c>
      <c r="DJ98" s="254">
        <v>0</v>
      </c>
      <c r="DK98" s="250" t="s">
        <v>617</v>
      </c>
      <c r="DL98" s="254">
        <v>0</v>
      </c>
      <c r="DM98" s="250" t="s">
        <v>617</v>
      </c>
      <c r="DN98" s="254">
        <v>0.91995610266396688</v>
      </c>
      <c r="DO98" s="250" t="s">
        <v>617</v>
      </c>
      <c r="DP98" s="254">
        <v>0</v>
      </c>
      <c r="DQ98" s="250" t="s">
        <v>617</v>
      </c>
      <c r="DR98" s="254">
        <v>0</v>
      </c>
      <c r="DS98" s="109"/>
      <c r="DT98" s="109"/>
      <c r="DU98" s="109"/>
      <c r="DV98" s="109"/>
      <c r="DW98" s="109"/>
      <c r="DX98" s="109"/>
      <c r="DY98" s="109"/>
      <c r="DZ98" s="109"/>
      <c r="EA98" s="109"/>
      <c r="EB98" s="109"/>
      <c r="EC98" s="109"/>
      <c r="ED98" s="109"/>
      <c r="EE98" s="109"/>
      <c r="EF98" s="109"/>
      <c r="EG98" s="109"/>
      <c r="EH98" s="109"/>
      <c r="EI98" s="109"/>
      <c r="EJ98" s="109"/>
      <c r="EK98" s="109"/>
      <c r="EL98" s="109"/>
      <c r="EM98" s="109"/>
      <c r="EN98" s="109"/>
      <c r="EO98" s="109"/>
      <c r="EP98" s="109"/>
      <c r="EQ98" s="109"/>
      <c r="ER98" s="109"/>
      <c r="ES98" s="109"/>
      <c r="ET98" s="109"/>
      <c r="EU98" s="109"/>
      <c r="EV98" s="109"/>
      <c r="EW98" s="109"/>
      <c r="EX98" s="109"/>
      <c r="EY98" s="109"/>
      <c r="EZ98" s="109"/>
      <c r="FA98" s="109"/>
      <c r="FB98" s="109"/>
      <c r="FC98" s="109"/>
      <c r="FD98" s="109"/>
      <c r="FE98" s="109"/>
      <c r="FF98" s="109"/>
      <c r="FG98" s="109"/>
      <c r="FH98" s="109"/>
      <c r="FI98" s="109"/>
      <c r="FJ98" s="109"/>
      <c r="FK98" s="109"/>
      <c r="FL98" s="109"/>
      <c r="FM98" s="109"/>
      <c r="FN98" s="109"/>
      <c r="FO98" s="109"/>
      <c r="FP98" s="109"/>
      <c r="FQ98" s="109"/>
      <c r="FR98" s="109"/>
      <c r="FS98" s="109"/>
      <c r="FT98" s="109"/>
      <c r="FU98" s="109"/>
      <c r="FV98" s="109"/>
      <c r="FW98" s="109"/>
      <c r="FX98" s="109"/>
      <c r="FY98" s="109"/>
      <c r="FZ98" s="109"/>
      <c r="GA98" s="109"/>
      <c r="GB98" s="109"/>
      <c r="GC98" s="109"/>
      <c r="GD98" s="109"/>
      <c r="GE98" s="109"/>
      <c r="GF98" s="109"/>
      <c r="GG98" s="109"/>
      <c r="GH98" s="109"/>
      <c r="GI98" s="109"/>
      <c r="GJ98" s="109"/>
      <c r="GK98" s="109"/>
      <c r="GL98" s="109"/>
      <c r="GM98" s="109"/>
      <c r="GN98" s="109"/>
      <c r="GO98" s="109"/>
      <c r="GP98" s="109"/>
      <c r="GQ98" s="109"/>
      <c r="GR98" s="109"/>
      <c r="GS98" s="109"/>
      <c r="GT98" s="109"/>
      <c r="GU98" s="109"/>
      <c r="GV98" s="109"/>
      <c r="GW98" s="109"/>
      <c r="GX98" s="109"/>
      <c r="GY98" s="109"/>
      <c r="GZ98" s="109"/>
      <c r="HA98" s="109"/>
      <c r="HB98" s="109"/>
      <c r="HC98" s="109"/>
      <c r="HD98" s="109"/>
      <c r="HE98" s="109"/>
      <c r="HF98" s="109"/>
      <c r="HG98" s="109"/>
      <c r="HH98" s="109"/>
      <c r="HI98" s="109"/>
      <c r="HJ98" s="109"/>
      <c r="HK98" s="109"/>
      <c r="HL98" s="109"/>
      <c r="HM98" s="109"/>
      <c r="HN98" s="109"/>
      <c r="HO98" s="109"/>
      <c r="HP98" s="109"/>
      <c r="HQ98" s="109"/>
      <c r="HR98" s="109"/>
      <c r="HS98" s="109"/>
      <c r="HT98" s="109"/>
      <c r="HU98" s="109"/>
      <c r="HV98" s="109"/>
      <c r="HW98" s="109"/>
      <c r="HX98" s="109"/>
      <c r="HY98" s="109"/>
      <c r="HZ98" s="109"/>
      <c r="IA98" s="109"/>
      <c r="IB98" s="109"/>
      <c r="IC98" s="109"/>
      <c r="ID98" s="109"/>
      <c r="IE98" s="109"/>
      <c r="IF98" s="109"/>
      <c r="IG98" s="109"/>
      <c r="IH98" s="109"/>
      <c r="II98" s="109"/>
      <c r="IJ98" s="109"/>
      <c r="IK98" s="109"/>
      <c r="IL98" s="109"/>
      <c r="IM98" s="109"/>
      <c r="IN98" s="109"/>
      <c r="IO98" s="109"/>
      <c r="IP98" s="109"/>
      <c r="IQ98" s="109"/>
      <c r="IR98" s="109"/>
      <c r="IS98" s="109"/>
      <c r="IT98" s="109"/>
      <c r="IU98" s="109"/>
      <c r="IV98" s="109"/>
      <c r="IW98" s="109"/>
      <c r="IX98" s="109"/>
      <c r="IY98" s="109"/>
      <c r="IZ98" s="109"/>
      <c r="JA98" s="109"/>
      <c r="JB98" s="109"/>
      <c r="JC98" s="109"/>
      <c r="JD98" s="109"/>
      <c r="JE98" s="109"/>
      <c r="JF98" s="109"/>
      <c r="JG98" s="109"/>
      <c r="JH98" s="109"/>
      <c r="JI98" s="109"/>
      <c r="JJ98" s="109"/>
      <c r="JK98" s="109"/>
      <c r="JL98" s="109"/>
      <c r="JM98" s="109"/>
      <c r="JN98" s="109"/>
      <c r="JO98" s="109"/>
      <c r="JP98" s="109"/>
      <c r="JQ98" s="109"/>
      <c r="JR98" s="109"/>
      <c r="JS98" s="109"/>
      <c r="JT98" s="109"/>
      <c r="JU98" s="109"/>
      <c r="JV98" s="109"/>
      <c r="JW98" s="109"/>
      <c r="JX98" s="109"/>
      <c r="JY98" s="109"/>
      <c r="JZ98" s="109"/>
      <c r="KA98" s="109"/>
      <c r="KB98" s="109"/>
      <c r="KC98" s="109"/>
      <c r="KD98" s="109"/>
      <c r="KE98" s="109"/>
      <c r="KF98" s="109"/>
      <c r="KG98" s="109"/>
      <c r="KH98" s="109"/>
      <c r="KI98" s="109"/>
      <c r="KJ98" s="109"/>
      <c r="KK98" s="109"/>
      <c r="KL98" s="109"/>
      <c r="KM98" s="109"/>
      <c r="KN98" s="109"/>
      <c r="KO98" s="109"/>
      <c r="KP98" s="109"/>
      <c r="KQ98" s="109"/>
      <c r="KR98" s="109"/>
      <c r="KS98" s="109"/>
      <c r="KT98" s="109"/>
      <c r="KU98" s="109"/>
      <c r="KV98" s="109"/>
      <c r="KW98" s="109"/>
      <c r="KX98" s="109"/>
      <c r="KY98" s="109"/>
      <c r="KZ98" s="109"/>
      <c r="LA98" s="109"/>
      <c r="LB98" s="109"/>
      <c r="LC98" s="109"/>
      <c r="LD98" s="109"/>
      <c r="LE98" s="109"/>
      <c r="LF98" s="109"/>
      <c r="LG98" s="109"/>
      <c r="LH98" s="109"/>
      <c r="LI98" s="109"/>
      <c r="LJ98" s="109"/>
      <c r="LK98" s="109"/>
      <c r="LL98" s="109"/>
      <c r="LM98" s="109"/>
      <c r="LN98" s="109"/>
      <c r="LO98" s="109"/>
      <c r="LP98" s="109"/>
      <c r="LQ98" s="109"/>
      <c r="LR98" s="109"/>
      <c r="LS98" s="109"/>
      <c r="LT98" s="109"/>
      <c r="LU98" s="109"/>
      <c r="LV98" s="109"/>
      <c r="LW98" s="109"/>
      <c r="LX98" s="109"/>
      <c r="LY98" s="109"/>
      <c r="LZ98" s="109"/>
      <c r="MA98" s="109"/>
      <c r="MB98" s="109"/>
      <c r="MC98" s="109"/>
      <c r="MD98" s="109"/>
      <c r="ME98" s="109"/>
      <c r="MF98" s="109"/>
      <c r="MG98" s="109"/>
      <c r="MH98" s="150"/>
      <c r="MI98" s="109"/>
      <c r="MJ98" s="109"/>
      <c r="MK98" s="109"/>
      <c r="ML98" s="109"/>
      <c r="MM98" s="109"/>
      <c r="MN98" s="109"/>
      <c r="MO98" s="109"/>
      <c r="MP98" s="109"/>
      <c r="MQ98" s="109"/>
      <c r="MR98" s="109"/>
      <c r="MS98" s="109"/>
      <c r="MT98" s="109"/>
      <c r="MU98" s="109"/>
      <c r="MV98" s="109"/>
      <c r="MW98" s="109"/>
      <c r="MX98" s="109"/>
      <c r="MY98" s="109"/>
      <c r="MZ98" s="109"/>
      <c r="NA98" s="109"/>
      <c r="NB98" s="109"/>
    </row>
    <row r="99" spans="1:366" s="261" customFormat="1" x14ac:dyDescent="0.25">
      <c r="A99" s="113">
        <v>0</v>
      </c>
      <c r="B99" s="161" t="s">
        <v>1099</v>
      </c>
      <c r="C99" s="250" t="s">
        <v>673</v>
      </c>
      <c r="D99" s="254">
        <v>0</v>
      </c>
      <c r="E99" s="250" t="s">
        <v>673</v>
      </c>
      <c r="F99" s="254">
        <v>1</v>
      </c>
      <c r="G99" s="250" t="s">
        <v>673</v>
      </c>
      <c r="H99" s="254">
        <v>1</v>
      </c>
      <c r="I99" s="250" t="s">
        <v>673</v>
      </c>
      <c r="J99" s="254">
        <v>0</v>
      </c>
      <c r="K99" s="250" t="s">
        <v>673</v>
      </c>
      <c r="L99" s="254">
        <v>0</v>
      </c>
      <c r="M99" s="250" t="s">
        <v>673</v>
      </c>
      <c r="N99" s="254">
        <v>0</v>
      </c>
      <c r="O99" s="250" t="s">
        <v>673</v>
      </c>
      <c r="P99" s="254">
        <v>0</v>
      </c>
      <c r="Q99" s="250" t="s">
        <v>673</v>
      </c>
      <c r="R99" s="254">
        <v>0</v>
      </c>
      <c r="S99" s="250" t="s">
        <v>673</v>
      </c>
      <c r="T99" s="254">
        <v>0</v>
      </c>
      <c r="U99" s="250" t="s">
        <v>673</v>
      </c>
      <c r="V99" s="254">
        <v>1</v>
      </c>
      <c r="W99" s="250" t="s">
        <v>673</v>
      </c>
      <c r="X99" s="254">
        <v>0.85662652831980246</v>
      </c>
      <c r="Y99" s="250" t="s">
        <v>673</v>
      </c>
      <c r="Z99" s="254">
        <v>0</v>
      </c>
      <c r="AA99" s="250" t="s">
        <v>673</v>
      </c>
      <c r="AB99" s="254">
        <v>0</v>
      </c>
      <c r="AC99" s="250" t="s">
        <v>673</v>
      </c>
      <c r="AD99" s="254">
        <v>0</v>
      </c>
      <c r="AE99" s="250" t="s">
        <v>673</v>
      </c>
      <c r="AF99" s="254">
        <v>0</v>
      </c>
      <c r="AG99" s="250" t="s">
        <v>673</v>
      </c>
      <c r="AH99" s="254">
        <v>0</v>
      </c>
      <c r="AI99" s="250" t="s">
        <v>673</v>
      </c>
      <c r="AJ99" s="254">
        <v>0</v>
      </c>
      <c r="AK99" s="250" t="s">
        <v>673</v>
      </c>
      <c r="AL99" s="254">
        <v>0</v>
      </c>
      <c r="AM99" s="250" t="s">
        <v>673</v>
      </c>
      <c r="AN99" s="254">
        <v>0</v>
      </c>
      <c r="AO99" s="250" t="s">
        <v>673</v>
      </c>
      <c r="AP99" s="254">
        <v>0</v>
      </c>
      <c r="AQ99" s="250" t="s">
        <v>673</v>
      </c>
      <c r="AR99" s="254">
        <v>0</v>
      </c>
      <c r="AS99" s="250" t="s">
        <v>673</v>
      </c>
      <c r="AT99" s="254">
        <v>1</v>
      </c>
      <c r="AU99" s="250" t="s">
        <v>673</v>
      </c>
      <c r="AV99" s="254">
        <v>0.8884723703780617</v>
      </c>
      <c r="AW99" s="250" t="s">
        <v>673</v>
      </c>
      <c r="AX99" s="254">
        <v>0</v>
      </c>
      <c r="AY99" s="250" t="s">
        <v>673</v>
      </c>
      <c r="AZ99" s="254">
        <v>0</v>
      </c>
      <c r="BA99" s="250" t="s">
        <v>673</v>
      </c>
      <c r="BB99" s="254">
        <v>1</v>
      </c>
      <c r="BC99" s="250" t="s">
        <v>673</v>
      </c>
      <c r="BD99" s="254">
        <v>1</v>
      </c>
      <c r="BE99" s="250" t="s">
        <v>673</v>
      </c>
      <c r="BF99" s="254">
        <v>0</v>
      </c>
      <c r="BG99" s="250" t="s">
        <v>673</v>
      </c>
      <c r="BH99" s="254">
        <v>0.57039715639751654</v>
      </c>
      <c r="BI99" s="250" t="s">
        <v>673</v>
      </c>
      <c r="BJ99" s="254">
        <v>0</v>
      </c>
      <c r="BK99" s="250" t="s">
        <v>673</v>
      </c>
      <c r="BL99" s="254">
        <v>0</v>
      </c>
      <c r="BM99" s="250" t="s">
        <v>673</v>
      </c>
      <c r="BN99" s="254">
        <v>0.28622677571349481</v>
      </c>
      <c r="BO99" s="250" t="s">
        <v>673</v>
      </c>
      <c r="BP99" s="254">
        <v>0.58132762858211173</v>
      </c>
      <c r="BQ99" s="250" t="s">
        <v>673</v>
      </c>
      <c r="BR99" s="254">
        <v>0.10882698388765356</v>
      </c>
      <c r="BS99" s="250" t="s">
        <v>673</v>
      </c>
      <c r="BT99" s="254">
        <v>0.12956378837368232</v>
      </c>
      <c r="BU99" s="250" t="s">
        <v>673</v>
      </c>
      <c r="BV99" s="254">
        <v>1</v>
      </c>
      <c r="BW99" s="250" t="s">
        <v>673</v>
      </c>
      <c r="BX99" s="254">
        <v>1</v>
      </c>
      <c r="BY99" s="250" t="s">
        <v>673</v>
      </c>
      <c r="BZ99" s="254">
        <v>0.49894741380465502</v>
      </c>
      <c r="CA99" s="250" t="s">
        <v>673</v>
      </c>
      <c r="CB99" s="254">
        <v>1</v>
      </c>
      <c r="CC99" s="250" t="s">
        <v>673</v>
      </c>
      <c r="CD99" s="254">
        <v>1</v>
      </c>
      <c r="CE99" s="250" t="s">
        <v>673</v>
      </c>
      <c r="CF99" s="254">
        <v>0.49894741380465502</v>
      </c>
      <c r="CG99" s="250" t="s">
        <v>673</v>
      </c>
      <c r="CH99" s="254">
        <v>1</v>
      </c>
      <c r="CI99" s="250" t="s">
        <v>673</v>
      </c>
      <c r="CJ99" s="254">
        <v>1</v>
      </c>
      <c r="CK99" s="250" t="s">
        <v>673</v>
      </c>
      <c r="CL99" s="254">
        <v>0.49894741380465502</v>
      </c>
      <c r="CM99" s="250" t="s">
        <v>673</v>
      </c>
      <c r="CN99" s="254">
        <v>0</v>
      </c>
      <c r="CO99" s="250" t="s">
        <v>673</v>
      </c>
      <c r="CP99" s="254">
        <v>0</v>
      </c>
      <c r="CQ99" s="250" t="s">
        <v>673</v>
      </c>
      <c r="CR99" s="254">
        <v>0</v>
      </c>
      <c r="CS99" s="250" t="s">
        <v>673</v>
      </c>
      <c r="CT99" s="254">
        <v>0</v>
      </c>
      <c r="CU99" s="250" t="s">
        <v>673</v>
      </c>
      <c r="CV99" s="254">
        <v>0</v>
      </c>
      <c r="CW99" s="250" t="s">
        <v>673</v>
      </c>
      <c r="CX99" s="254">
        <v>0</v>
      </c>
      <c r="CY99" s="250" t="s">
        <v>673</v>
      </c>
      <c r="CZ99" s="254">
        <v>0</v>
      </c>
      <c r="DA99" s="250" t="s">
        <v>673</v>
      </c>
      <c r="DB99" s="254">
        <v>0</v>
      </c>
      <c r="DC99" s="250" t="s">
        <v>673</v>
      </c>
      <c r="DD99" s="254">
        <v>0</v>
      </c>
      <c r="DE99" s="250" t="s">
        <v>673</v>
      </c>
      <c r="DF99" s="254">
        <v>0</v>
      </c>
      <c r="DG99" s="250" t="s">
        <v>673</v>
      </c>
      <c r="DH99" s="254">
        <v>0</v>
      </c>
      <c r="DI99" s="250" t="s">
        <v>673</v>
      </c>
      <c r="DJ99" s="254">
        <v>0</v>
      </c>
      <c r="DK99" s="250" t="s">
        <v>673</v>
      </c>
      <c r="DL99" s="254">
        <v>0</v>
      </c>
      <c r="DM99" s="250" t="s">
        <v>673</v>
      </c>
      <c r="DN99" s="254">
        <v>0.75016571222450479</v>
      </c>
      <c r="DO99" s="250" t="s">
        <v>673</v>
      </c>
      <c r="DP99" s="254">
        <v>0</v>
      </c>
      <c r="DQ99" s="250" t="s">
        <v>673</v>
      </c>
      <c r="DR99" s="254">
        <v>0</v>
      </c>
      <c r="DS99" s="109"/>
      <c r="DT99" s="109"/>
      <c r="DU99" s="109"/>
      <c r="DV99" s="109"/>
      <c r="DW99" s="109"/>
      <c r="DX99" s="109"/>
      <c r="DY99" s="109"/>
      <c r="DZ99" s="109"/>
      <c r="EA99" s="109"/>
      <c r="EB99" s="109"/>
      <c r="EC99" s="109"/>
      <c r="ED99" s="109"/>
      <c r="EE99" s="109"/>
      <c r="EF99" s="109"/>
      <c r="EG99" s="109"/>
      <c r="EH99" s="109"/>
      <c r="EI99" s="109"/>
      <c r="EJ99" s="109"/>
      <c r="EK99" s="109"/>
      <c r="EL99" s="109"/>
      <c r="EM99" s="109"/>
      <c r="EN99" s="109"/>
      <c r="EO99" s="109"/>
      <c r="EP99" s="109"/>
      <c r="EQ99" s="109"/>
      <c r="ER99" s="109"/>
      <c r="ES99" s="109"/>
      <c r="ET99" s="109"/>
      <c r="EU99" s="109"/>
      <c r="EV99" s="109"/>
      <c r="EW99" s="109"/>
      <c r="EX99" s="109"/>
      <c r="EY99" s="109"/>
      <c r="EZ99" s="109"/>
      <c r="FA99" s="109"/>
      <c r="FB99" s="109"/>
      <c r="FC99" s="109"/>
      <c r="FD99" s="109"/>
      <c r="FE99" s="109"/>
      <c r="FF99" s="109"/>
      <c r="FG99" s="109"/>
      <c r="FH99" s="109"/>
      <c r="FI99" s="109"/>
      <c r="FJ99" s="109"/>
      <c r="FK99" s="109"/>
      <c r="FL99" s="109"/>
      <c r="FM99" s="109"/>
      <c r="FN99" s="109"/>
      <c r="FO99" s="109"/>
      <c r="FP99" s="109"/>
      <c r="FQ99" s="109"/>
      <c r="FR99" s="109"/>
      <c r="FS99" s="109"/>
      <c r="FT99" s="109"/>
      <c r="FU99" s="109"/>
      <c r="FV99" s="109"/>
      <c r="FW99" s="109"/>
      <c r="FX99" s="109"/>
      <c r="FY99" s="109"/>
      <c r="FZ99" s="109"/>
      <c r="GA99" s="109"/>
      <c r="GB99" s="109"/>
      <c r="GC99" s="109"/>
      <c r="GD99" s="109"/>
      <c r="GE99" s="109"/>
      <c r="GF99" s="109"/>
      <c r="GG99" s="109"/>
      <c r="GH99" s="109"/>
      <c r="GI99" s="109"/>
      <c r="GJ99" s="109"/>
      <c r="GK99" s="109"/>
      <c r="GL99" s="109"/>
      <c r="GM99" s="109"/>
      <c r="GN99" s="109"/>
      <c r="GO99" s="109"/>
      <c r="GP99" s="109"/>
      <c r="GQ99" s="109"/>
      <c r="GR99" s="109"/>
      <c r="GS99" s="109"/>
      <c r="GT99" s="109"/>
      <c r="GU99" s="109"/>
      <c r="GV99" s="109"/>
      <c r="GW99" s="109"/>
      <c r="GX99" s="109"/>
      <c r="GY99" s="109"/>
      <c r="GZ99" s="109"/>
      <c r="HA99" s="109"/>
      <c r="HB99" s="109"/>
      <c r="HC99" s="109"/>
      <c r="HD99" s="109"/>
      <c r="HE99" s="109"/>
      <c r="HF99" s="109"/>
      <c r="HG99" s="109"/>
      <c r="HH99" s="109"/>
      <c r="HI99" s="109"/>
      <c r="HJ99" s="109"/>
      <c r="HK99" s="109"/>
      <c r="HL99" s="109"/>
      <c r="HM99" s="109"/>
      <c r="HN99" s="109"/>
      <c r="HO99" s="109"/>
      <c r="HP99" s="109"/>
      <c r="HQ99" s="109"/>
      <c r="HR99" s="109"/>
      <c r="HS99" s="109"/>
      <c r="HT99" s="109"/>
      <c r="HU99" s="109"/>
      <c r="HV99" s="109"/>
      <c r="HW99" s="109"/>
      <c r="HX99" s="109"/>
      <c r="HY99" s="109"/>
      <c r="HZ99" s="109"/>
      <c r="IA99" s="109"/>
      <c r="IB99" s="109"/>
      <c r="IC99" s="109"/>
      <c r="ID99" s="109"/>
      <c r="IE99" s="109"/>
      <c r="IF99" s="109"/>
      <c r="IG99" s="109"/>
      <c r="IH99" s="109"/>
      <c r="II99" s="109"/>
      <c r="IJ99" s="109"/>
      <c r="IK99" s="109"/>
      <c r="IL99" s="109"/>
      <c r="IM99" s="109"/>
      <c r="IN99" s="109"/>
      <c r="IO99" s="109"/>
      <c r="IP99" s="109"/>
      <c r="IQ99" s="109"/>
      <c r="IR99" s="109"/>
      <c r="IS99" s="109"/>
      <c r="IT99" s="109"/>
      <c r="IU99" s="109"/>
      <c r="IV99" s="109"/>
      <c r="IW99" s="109"/>
      <c r="IX99" s="109"/>
      <c r="IY99" s="109"/>
      <c r="IZ99" s="109"/>
      <c r="JA99" s="109"/>
      <c r="JB99" s="109"/>
      <c r="JC99" s="109"/>
      <c r="JD99" s="109"/>
      <c r="JE99" s="109"/>
      <c r="JF99" s="109"/>
      <c r="JG99" s="109"/>
      <c r="JH99" s="109"/>
      <c r="JI99" s="109"/>
      <c r="JJ99" s="109"/>
      <c r="JK99" s="109"/>
      <c r="JL99" s="109"/>
      <c r="JM99" s="109"/>
      <c r="JN99" s="109"/>
      <c r="JO99" s="109"/>
      <c r="JP99" s="109"/>
      <c r="JQ99" s="109"/>
      <c r="JR99" s="109"/>
      <c r="JS99" s="109"/>
      <c r="JT99" s="109"/>
      <c r="JU99" s="109"/>
      <c r="JV99" s="109"/>
      <c r="JW99" s="109"/>
      <c r="JX99" s="109"/>
      <c r="JY99" s="109"/>
      <c r="JZ99" s="109"/>
      <c r="KA99" s="109"/>
      <c r="KB99" s="109"/>
      <c r="KC99" s="109"/>
      <c r="KD99" s="109"/>
      <c r="KE99" s="109"/>
      <c r="KF99" s="109"/>
      <c r="KG99" s="109"/>
      <c r="KH99" s="109"/>
      <c r="KI99" s="109"/>
      <c r="KJ99" s="109"/>
      <c r="KK99" s="109"/>
      <c r="KL99" s="109"/>
      <c r="KM99" s="109"/>
      <c r="KN99" s="109"/>
      <c r="KO99" s="109"/>
      <c r="KP99" s="109"/>
      <c r="KQ99" s="109"/>
      <c r="KR99" s="109"/>
      <c r="KS99" s="109"/>
      <c r="KT99" s="109"/>
      <c r="KU99" s="109"/>
      <c r="KV99" s="109"/>
      <c r="KW99" s="109"/>
      <c r="KX99" s="109"/>
      <c r="KY99" s="109"/>
      <c r="KZ99" s="109"/>
      <c r="LA99" s="109"/>
      <c r="LB99" s="109"/>
      <c r="LC99" s="109"/>
      <c r="LD99" s="109"/>
      <c r="LE99" s="109"/>
      <c r="LF99" s="109"/>
      <c r="LG99" s="109"/>
      <c r="LH99" s="109"/>
      <c r="LI99" s="109"/>
      <c r="LJ99" s="109"/>
      <c r="LK99" s="109"/>
      <c r="LL99" s="109"/>
      <c r="LM99" s="109"/>
      <c r="LN99" s="109"/>
      <c r="LO99" s="109"/>
      <c r="LP99" s="109"/>
      <c r="LQ99" s="109"/>
      <c r="LR99" s="109"/>
      <c r="LS99" s="109"/>
      <c r="LT99" s="109"/>
      <c r="LU99" s="109"/>
      <c r="LV99" s="109"/>
      <c r="LW99" s="109"/>
      <c r="LX99" s="109"/>
      <c r="LY99" s="109"/>
      <c r="LZ99" s="109"/>
      <c r="MA99" s="109"/>
      <c r="MB99" s="109"/>
      <c r="MC99" s="109"/>
      <c r="MD99" s="109"/>
      <c r="ME99" s="109"/>
      <c r="MF99" s="109"/>
      <c r="MG99" s="109"/>
      <c r="MH99" s="150"/>
      <c r="MI99" s="109"/>
      <c r="MJ99" s="109"/>
      <c r="MK99" s="109"/>
      <c r="ML99" s="109"/>
      <c r="MM99" s="109"/>
      <c r="MN99" s="109"/>
      <c r="MO99" s="109"/>
      <c r="MP99" s="109"/>
      <c r="MQ99" s="109"/>
      <c r="MR99" s="109"/>
      <c r="MS99" s="109"/>
      <c r="MT99" s="109"/>
      <c r="MU99" s="109"/>
      <c r="MV99" s="109"/>
      <c r="MW99" s="109"/>
      <c r="MX99" s="109"/>
      <c r="MY99" s="109"/>
      <c r="MZ99" s="109"/>
      <c r="NA99" s="109"/>
      <c r="NB99" s="109"/>
    </row>
    <row r="100" spans="1:366" s="261" customFormat="1" x14ac:dyDescent="0.25">
      <c r="A100" s="113">
        <v>0</v>
      </c>
      <c r="B100" s="161" t="s">
        <v>1100</v>
      </c>
      <c r="C100" s="250" t="s">
        <v>673</v>
      </c>
      <c r="D100" s="254">
        <v>0</v>
      </c>
      <c r="E100" s="250" t="s">
        <v>673</v>
      </c>
      <c r="F100" s="254">
        <v>0</v>
      </c>
      <c r="G100" s="250" t="s">
        <v>673</v>
      </c>
      <c r="H100" s="254">
        <v>0</v>
      </c>
      <c r="I100" s="250" t="s">
        <v>673</v>
      </c>
      <c r="J100" s="254">
        <v>1</v>
      </c>
      <c r="K100" s="250" t="s">
        <v>673</v>
      </c>
      <c r="L100" s="254">
        <v>0</v>
      </c>
      <c r="M100" s="250" t="s">
        <v>673</v>
      </c>
      <c r="N100" s="254">
        <v>0</v>
      </c>
      <c r="O100" s="250" t="s">
        <v>673</v>
      </c>
      <c r="P100" s="254">
        <v>0</v>
      </c>
      <c r="Q100" s="250" t="s">
        <v>673</v>
      </c>
      <c r="R100" s="254">
        <v>0</v>
      </c>
      <c r="S100" s="250" t="s">
        <v>673</v>
      </c>
      <c r="T100" s="254">
        <v>0</v>
      </c>
      <c r="U100" s="250" t="s">
        <v>673</v>
      </c>
      <c r="V100" s="254">
        <v>0</v>
      </c>
      <c r="W100" s="250" t="s">
        <v>673</v>
      </c>
      <c r="X100" s="254">
        <v>0.14337347168019754</v>
      </c>
      <c r="Y100" s="250" t="s">
        <v>673</v>
      </c>
      <c r="Z100" s="254">
        <v>0.73172806825386039</v>
      </c>
      <c r="AA100" s="250" t="s">
        <v>673</v>
      </c>
      <c r="AB100" s="254">
        <v>0</v>
      </c>
      <c r="AC100" s="250" t="s">
        <v>673</v>
      </c>
      <c r="AD100" s="254">
        <v>0</v>
      </c>
      <c r="AE100" s="250" t="s">
        <v>673</v>
      </c>
      <c r="AF100" s="254">
        <v>0</v>
      </c>
      <c r="AG100" s="250" t="s">
        <v>673</v>
      </c>
      <c r="AH100" s="254">
        <v>0</v>
      </c>
      <c r="AI100" s="250" t="s">
        <v>673</v>
      </c>
      <c r="AJ100" s="254">
        <v>0</v>
      </c>
      <c r="AK100" s="250" t="s">
        <v>673</v>
      </c>
      <c r="AL100" s="254">
        <v>0</v>
      </c>
      <c r="AM100" s="250" t="s">
        <v>673</v>
      </c>
      <c r="AN100" s="254">
        <v>0</v>
      </c>
      <c r="AO100" s="250" t="s">
        <v>673</v>
      </c>
      <c r="AP100" s="254">
        <v>0</v>
      </c>
      <c r="AQ100" s="250" t="s">
        <v>673</v>
      </c>
      <c r="AR100" s="254">
        <v>0</v>
      </c>
      <c r="AS100" s="250" t="s">
        <v>673</v>
      </c>
      <c r="AT100" s="254">
        <v>0</v>
      </c>
      <c r="AU100" s="250" t="s">
        <v>673</v>
      </c>
      <c r="AV100" s="254">
        <v>0.11152762962193828</v>
      </c>
      <c r="AW100" s="250" t="s">
        <v>673</v>
      </c>
      <c r="AX100" s="254">
        <v>0.57694887818452867</v>
      </c>
      <c r="AY100" s="250" t="s">
        <v>673</v>
      </c>
      <c r="AZ100" s="254">
        <v>0</v>
      </c>
      <c r="BA100" s="250" t="s">
        <v>673</v>
      </c>
      <c r="BB100" s="254">
        <v>0</v>
      </c>
      <c r="BC100" s="250" t="s">
        <v>673</v>
      </c>
      <c r="BD100" s="254">
        <v>0</v>
      </c>
      <c r="BE100" s="250" t="s">
        <v>673</v>
      </c>
      <c r="BF100" s="254">
        <v>0.79440978841125109</v>
      </c>
      <c r="BG100" s="250" t="s">
        <v>673</v>
      </c>
      <c r="BH100" s="254">
        <v>0.42960284360248341</v>
      </c>
      <c r="BI100" s="250" t="s">
        <v>673</v>
      </c>
      <c r="BJ100" s="254">
        <v>0</v>
      </c>
      <c r="BK100" s="250" t="s">
        <v>673</v>
      </c>
      <c r="BL100" s="254">
        <v>5.8463803906526196E-2</v>
      </c>
      <c r="BM100" s="250" t="s">
        <v>673</v>
      </c>
      <c r="BN100" s="254">
        <v>0.5030102550347384</v>
      </c>
      <c r="BO100" s="250" t="s">
        <v>673</v>
      </c>
      <c r="BP100" s="254">
        <v>0</v>
      </c>
      <c r="BQ100" s="250" t="s">
        <v>673</v>
      </c>
      <c r="BR100" s="254">
        <v>0</v>
      </c>
      <c r="BS100" s="250" t="s">
        <v>673</v>
      </c>
      <c r="BT100" s="254">
        <v>0</v>
      </c>
      <c r="BU100" s="250" t="s">
        <v>673</v>
      </c>
      <c r="BV100" s="254">
        <v>0</v>
      </c>
      <c r="BW100" s="250" t="s">
        <v>673</v>
      </c>
      <c r="BX100" s="254">
        <v>0</v>
      </c>
      <c r="BY100" s="250" t="s">
        <v>673</v>
      </c>
      <c r="BZ100" s="254">
        <v>0.5010525861953451</v>
      </c>
      <c r="CA100" s="250" t="s">
        <v>673</v>
      </c>
      <c r="CB100" s="254">
        <v>0</v>
      </c>
      <c r="CC100" s="250" t="s">
        <v>673</v>
      </c>
      <c r="CD100" s="254">
        <v>0</v>
      </c>
      <c r="CE100" s="250" t="s">
        <v>673</v>
      </c>
      <c r="CF100" s="254">
        <v>0.5010525861953451</v>
      </c>
      <c r="CG100" s="250" t="s">
        <v>673</v>
      </c>
      <c r="CH100" s="254">
        <v>0</v>
      </c>
      <c r="CI100" s="250" t="s">
        <v>673</v>
      </c>
      <c r="CJ100" s="254">
        <v>0</v>
      </c>
      <c r="CK100" s="250" t="s">
        <v>673</v>
      </c>
      <c r="CL100" s="254">
        <v>0.5010525861953451</v>
      </c>
      <c r="CM100" s="250" t="s">
        <v>673</v>
      </c>
      <c r="CN100" s="254">
        <v>0</v>
      </c>
      <c r="CO100" s="250" t="s">
        <v>673</v>
      </c>
      <c r="CP100" s="254">
        <v>0</v>
      </c>
      <c r="CQ100" s="250" t="s">
        <v>673</v>
      </c>
      <c r="CR100" s="254">
        <v>0</v>
      </c>
      <c r="CS100" s="250" t="s">
        <v>673</v>
      </c>
      <c r="CT100" s="254">
        <v>0</v>
      </c>
      <c r="CU100" s="250" t="s">
        <v>673</v>
      </c>
      <c r="CV100" s="254">
        <v>0</v>
      </c>
      <c r="CW100" s="250" t="s">
        <v>673</v>
      </c>
      <c r="CX100" s="254">
        <v>0</v>
      </c>
      <c r="CY100" s="250" t="s">
        <v>673</v>
      </c>
      <c r="CZ100" s="254">
        <v>0</v>
      </c>
      <c r="DA100" s="250" t="s">
        <v>673</v>
      </c>
      <c r="DB100" s="254">
        <v>0</v>
      </c>
      <c r="DC100" s="250" t="s">
        <v>673</v>
      </c>
      <c r="DD100" s="254">
        <v>0</v>
      </c>
      <c r="DE100" s="250" t="s">
        <v>673</v>
      </c>
      <c r="DF100" s="254">
        <v>0</v>
      </c>
      <c r="DG100" s="250" t="s">
        <v>673</v>
      </c>
      <c r="DH100" s="254">
        <v>0</v>
      </c>
      <c r="DI100" s="250" t="s">
        <v>673</v>
      </c>
      <c r="DJ100" s="254">
        <v>0</v>
      </c>
      <c r="DK100" s="250" t="s">
        <v>673</v>
      </c>
      <c r="DL100" s="254">
        <v>0</v>
      </c>
      <c r="DM100" s="250" t="s">
        <v>673</v>
      </c>
      <c r="DN100" s="254">
        <v>5.6499812372860676E-2</v>
      </c>
      <c r="DO100" s="250" t="s">
        <v>673</v>
      </c>
      <c r="DP100" s="254">
        <v>0</v>
      </c>
      <c r="DQ100" s="250" t="s">
        <v>673</v>
      </c>
      <c r="DR100" s="254">
        <v>0</v>
      </c>
      <c r="DS100" s="109"/>
      <c r="DT100" s="109"/>
      <c r="DU100" s="109"/>
      <c r="DV100" s="109"/>
      <c r="DW100" s="109"/>
      <c r="DX100" s="109"/>
      <c r="DY100" s="109"/>
      <c r="DZ100" s="109"/>
      <c r="EA100" s="109"/>
      <c r="EB100" s="109"/>
      <c r="EC100" s="109"/>
      <c r="ED100" s="109"/>
      <c r="EE100" s="109"/>
      <c r="EF100" s="109"/>
      <c r="EG100" s="109"/>
      <c r="EH100" s="109"/>
      <c r="EI100" s="109"/>
      <c r="EJ100" s="109"/>
      <c r="EK100" s="109"/>
      <c r="EL100" s="109"/>
      <c r="EM100" s="109"/>
      <c r="EN100" s="109"/>
      <c r="EO100" s="109"/>
      <c r="EP100" s="109"/>
      <c r="EQ100" s="109"/>
      <c r="ER100" s="109"/>
      <c r="ES100" s="109"/>
      <c r="ET100" s="109"/>
      <c r="EU100" s="109"/>
      <c r="EV100" s="109"/>
      <c r="EW100" s="109"/>
      <c r="EX100" s="109"/>
      <c r="EY100" s="109"/>
      <c r="EZ100" s="109"/>
      <c r="FA100" s="109"/>
      <c r="FB100" s="109"/>
      <c r="FC100" s="109"/>
      <c r="FD100" s="109"/>
      <c r="FE100" s="109"/>
      <c r="FF100" s="109"/>
      <c r="FG100" s="109"/>
      <c r="FH100" s="109"/>
      <c r="FI100" s="109"/>
      <c r="FJ100" s="109"/>
      <c r="FK100" s="109"/>
      <c r="FL100" s="109"/>
      <c r="FM100" s="109"/>
      <c r="FN100" s="109"/>
      <c r="FO100" s="109"/>
      <c r="FP100" s="109"/>
      <c r="FQ100" s="109"/>
      <c r="FR100" s="109"/>
      <c r="FS100" s="109"/>
      <c r="FT100" s="109"/>
      <c r="FU100" s="109"/>
      <c r="FV100" s="109"/>
      <c r="FW100" s="109"/>
      <c r="FX100" s="109"/>
      <c r="FY100" s="109"/>
      <c r="FZ100" s="109"/>
      <c r="GA100" s="109"/>
      <c r="GB100" s="109"/>
      <c r="GC100" s="109"/>
      <c r="GD100" s="109"/>
      <c r="GE100" s="109"/>
      <c r="GF100" s="109"/>
      <c r="GG100" s="109"/>
      <c r="GH100" s="109"/>
      <c r="GI100" s="109"/>
      <c r="GJ100" s="109"/>
      <c r="GK100" s="109"/>
      <c r="GL100" s="109"/>
      <c r="GM100" s="109"/>
      <c r="GN100" s="109"/>
      <c r="GO100" s="109"/>
      <c r="GP100" s="109"/>
      <c r="GQ100" s="109"/>
      <c r="GR100" s="109"/>
      <c r="GS100" s="109"/>
      <c r="GT100" s="109"/>
      <c r="GU100" s="109"/>
      <c r="GV100" s="109"/>
      <c r="GW100" s="109"/>
      <c r="GX100" s="109"/>
      <c r="GY100" s="109"/>
      <c r="GZ100" s="109"/>
      <c r="HA100" s="109"/>
      <c r="HB100" s="109"/>
      <c r="HC100" s="109"/>
      <c r="HD100" s="109"/>
      <c r="HE100" s="109"/>
      <c r="HF100" s="109"/>
      <c r="HG100" s="109"/>
      <c r="HH100" s="109"/>
      <c r="HI100" s="109"/>
      <c r="HJ100" s="109"/>
      <c r="HK100" s="109"/>
      <c r="HL100" s="109"/>
      <c r="HM100" s="109"/>
      <c r="HN100" s="109"/>
      <c r="HO100" s="109"/>
      <c r="HP100" s="109"/>
      <c r="HQ100" s="109"/>
      <c r="HR100" s="109"/>
      <c r="HS100" s="109"/>
      <c r="HT100" s="109"/>
      <c r="HU100" s="109"/>
      <c r="HV100" s="109"/>
      <c r="HW100" s="109"/>
      <c r="HX100" s="109"/>
      <c r="HY100" s="109"/>
      <c r="HZ100" s="109"/>
      <c r="IA100" s="109"/>
      <c r="IB100" s="109"/>
      <c r="IC100" s="109"/>
      <c r="ID100" s="109"/>
      <c r="IE100" s="109"/>
      <c r="IF100" s="109"/>
      <c r="IG100" s="109"/>
      <c r="IH100" s="109"/>
      <c r="II100" s="109"/>
      <c r="IJ100" s="109"/>
      <c r="IK100" s="109"/>
      <c r="IL100" s="109"/>
      <c r="IM100" s="109"/>
      <c r="IN100" s="109"/>
      <c r="IO100" s="109"/>
      <c r="IP100" s="109"/>
      <c r="IQ100" s="109"/>
      <c r="IR100" s="109"/>
      <c r="IS100" s="109"/>
      <c r="IT100" s="109"/>
      <c r="IU100" s="109"/>
      <c r="IV100" s="109"/>
      <c r="IW100" s="109"/>
      <c r="IX100" s="109"/>
      <c r="IY100" s="109"/>
      <c r="IZ100" s="109"/>
      <c r="JA100" s="109"/>
      <c r="JB100" s="109"/>
      <c r="JC100" s="109"/>
      <c r="JD100" s="109"/>
      <c r="JE100" s="109"/>
      <c r="JF100" s="109"/>
      <c r="JG100" s="109"/>
      <c r="JH100" s="109"/>
      <c r="JI100" s="109"/>
      <c r="JJ100" s="109"/>
      <c r="JK100" s="109"/>
      <c r="JL100" s="109"/>
      <c r="JM100" s="109"/>
      <c r="JN100" s="109"/>
      <c r="JO100" s="109"/>
      <c r="JP100" s="109"/>
      <c r="JQ100" s="109"/>
      <c r="JR100" s="109"/>
      <c r="JS100" s="109"/>
      <c r="JT100" s="109"/>
      <c r="JU100" s="109"/>
      <c r="JV100" s="109"/>
      <c r="JW100" s="109"/>
      <c r="JX100" s="109"/>
      <c r="JY100" s="109"/>
      <c r="JZ100" s="109"/>
      <c r="KA100" s="109"/>
      <c r="KB100" s="109"/>
      <c r="KC100" s="109"/>
      <c r="KD100" s="109"/>
      <c r="KE100" s="109"/>
      <c r="KF100" s="109"/>
      <c r="KG100" s="109"/>
      <c r="KH100" s="109"/>
      <c r="KI100" s="109"/>
      <c r="KJ100" s="109"/>
      <c r="KK100" s="109"/>
      <c r="KL100" s="109"/>
      <c r="KM100" s="109"/>
      <c r="KN100" s="109"/>
      <c r="KO100" s="109"/>
      <c r="KP100" s="109"/>
      <c r="KQ100" s="109"/>
      <c r="KR100" s="109"/>
      <c r="KS100" s="109"/>
      <c r="KT100" s="109"/>
      <c r="KU100" s="109"/>
      <c r="KV100" s="109"/>
      <c r="KW100" s="109"/>
      <c r="KX100" s="109"/>
      <c r="KY100" s="109"/>
      <c r="KZ100" s="109"/>
      <c r="LA100" s="109"/>
      <c r="LB100" s="109"/>
      <c r="LC100" s="109"/>
      <c r="LD100" s="109"/>
      <c r="LE100" s="109"/>
      <c r="LF100" s="109"/>
      <c r="LG100" s="109"/>
      <c r="LH100" s="109"/>
      <c r="LI100" s="109"/>
      <c r="LJ100" s="109"/>
      <c r="LK100" s="109"/>
      <c r="LL100" s="109"/>
      <c r="LM100" s="109"/>
      <c r="LN100" s="109"/>
      <c r="LO100" s="109"/>
      <c r="LP100" s="109"/>
      <c r="LQ100" s="109"/>
      <c r="LR100" s="109"/>
      <c r="LS100" s="109"/>
      <c r="LT100" s="109"/>
      <c r="LU100" s="109"/>
      <c r="LV100" s="109"/>
      <c r="LW100" s="109"/>
      <c r="LX100" s="109"/>
      <c r="LY100" s="109"/>
      <c r="LZ100" s="109"/>
      <c r="MA100" s="109"/>
      <c r="MB100" s="109"/>
      <c r="MC100" s="109"/>
      <c r="MD100" s="109"/>
      <c r="ME100" s="109"/>
      <c r="MF100" s="109"/>
      <c r="MG100" s="109"/>
      <c r="MH100" s="150"/>
      <c r="MI100" s="109"/>
      <c r="MJ100" s="109"/>
      <c r="MK100" s="109"/>
      <c r="ML100" s="109"/>
      <c r="MM100" s="109"/>
      <c r="MN100" s="109"/>
      <c r="MO100" s="109"/>
      <c r="MP100" s="109"/>
      <c r="MQ100" s="109"/>
      <c r="MR100" s="109"/>
      <c r="MS100" s="109"/>
      <c r="MT100" s="109"/>
      <c r="MU100" s="109"/>
      <c r="MV100" s="109"/>
      <c r="MW100" s="109"/>
      <c r="MX100" s="109"/>
      <c r="MY100" s="109"/>
      <c r="MZ100" s="109"/>
      <c r="NA100" s="109"/>
      <c r="NB100" s="109"/>
    </row>
    <row r="101" spans="1:366" s="261" customFormat="1" x14ac:dyDescent="0.25">
      <c r="A101" s="113">
        <v>0</v>
      </c>
      <c r="B101" s="161" t="s">
        <v>1101</v>
      </c>
      <c r="C101" s="250" t="s">
        <v>673</v>
      </c>
      <c r="D101" s="254">
        <v>0</v>
      </c>
      <c r="E101" s="250" t="s">
        <v>673</v>
      </c>
      <c r="F101" s="254">
        <v>0</v>
      </c>
      <c r="G101" s="250" t="s">
        <v>673</v>
      </c>
      <c r="H101" s="254">
        <v>0</v>
      </c>
      <c r="I101" s="250" t="s">
        <v>673</v>
      </c>
      <c r="J101" s="254">
        <v>0</v>
      </c>
      <c r="K101" s="250" t="s">
        <v>673</v>
      </c>
      <c r="L101" s="254">
        <v>1</v>
      </c>
      <c r="M101" s="250" t="s">
        <v>673</v>
      </c>
      <c r="N101" s="254">
        <v>0.89527071493975752</v>
      </c>
      <c r="O101" s="250" t="s">
        <v>673</v>
      </c>
      <c r="P101" s="254">
        <v>0.84812733872945933</v>
      </c>
      <c r="Q101" s="250" t="s">
        <v>673</v>
      </c>
      <c r="R101" s="254">
        <v>0</v>
      </c>
      <c r="S101" s="250" t="s">
        <v>673</v>
      </c>
      <c r="T101" s="254">
        <v>0</v>
      </c>
      <c r="U101" s="250" t="s">
        <v>673</v>
      </c>
      <c r="V101" s="254">
        <v>0</v>
      </c>
      <c r="W101" s="250" t="s">
        <v>673</v>
      </c>
      <c r="X101" s="254">
        <v>0</v>
      </c>
      <c r="Y101" s="250" t="s">
        <v>673</v>
      </c>
      <c r="Z101" s="254">
        <v>0.26827193174613972</v>
      </c>
      <c r="AA101" s="250" t="s">
        <v>673</v>
      </c>
      <c r="AB101" s="254">
        <v>0.89527071493975752</v>
      </c>
      <c r="AC101" s="250" t="s">
        <v>673</v>
      </c>
      <c r="AD101" s="254">
        <v>0.84812733872945933</v>
      </c>
      <c r="AE101" s="250" t="s">
        <v>673</v>
      </c>
      <c r="AF101" s="254">
        <v>0.69132811210125378</v>
      </c>
      <c r="AG101" s="250" t="s">
        <v>673</v>
      </c>
      <c r="AH101" s="254">
        <v>0.37950124137778873</v>
      </c>
      <c r="AI101" s="250" t="s">
        <v>673</v>
      </c>
      <c r="AJ101" s="254">
        <v>0</v>
      </c>
      <c r="AK101" s="250" t="s">
        <v>673</v>
      </c>
      <c r="AL101" s="254">
        <v>0</v>
      </c>
      <c r="AM101" s="250" t="s">
        <v>673</v>
      </c>
      <c r="AN101" s="254">
        <v>0</v>
      </c>
      <c r="AO101" s="250" t="s">
        <v>673</v>
      </c>
      <c r="AP101" s="254">
        <v>0</v>
      </c>
      <c r="AQ101" s="250" t="s">
        <v>673</v>
      </c>
      <c r="AR101" s="254">
        <v>0</v>
      </c>
      <c r="AS101" s="250" t="s">
        <v>673</v>
      </c>
      <c r="AT101" s="254">
        <v>0</v>
      </c>
      <c r="AU101" s="250" t="s">
        <v>673</v>
      </c>
      <c r="AV101" s="254">
        <v>0</v>
      </c>
      <c r="AW101" s="250" t="s">
        <v>673</v>
      </c>
      <c r="AX101" s="254">
        <v>0.42305112181547144</v>
      </c>
      <c r="AY101" s="250" t="s">
        <v>673</v>
      </c>
      <c r="AZ101" s="254">
        <v>0.94374474985074719</v>
      </c>
      <c r="BA101" s="250" t="s">
        <v>673</v>
      </c>
      <c r="BB101" s="254">
        <v>0</v>
      </c>
      <c r="BC101" s="250" t="s">
        <v>673</v>
      </c>
      <c r="BD101" s="254">
        <v>0</v>
      </c>
      <c r="BE101" s="250" t="s">
        <v>673</v>
      </c>
      <c r="BF101" s="254">
        <v>0.20559021158874896</v>
      </c>
      <c r="BG101" s="250" t="s">
        <v>673</v>
      </c>
      <c r="BH101" s="254">
        <v>0</v>
      </c>
      <c r="BI101" s="250" t="s">
        <v>673</v>
      </c>
      <c r="BJ101" s="254">
        <v>0.96154409623680059</v>
      </c>
      <c r="BK101" s="250" t="s">
        <v>673</v>
      </c>
      <c r="BL101" s="254">
        <v>0.91027426043774928</v>
      </c>
      <c r="BM101" s="250" t="s">
        <v>673</v>
      </c>
      <c r="BN101" s="254">
        <v>0.21076296925176677</v>
      </c>
      <c r="BO101" s="250" t="s">
        <v>673</v>
      </c>
      <c r="BP101" s="254">
        <v>0.38976859849539264</v>
      </c>
      <c r="BQ101" s="250" t="s">
        <v>673</v>
      </c>
      <c r="BR101" s="254">
        <v>0.84710523041187258</v>
      </c>
      <c r="BS101" s="250" t="s">
        <v>673</v>
      </c>
      <c r="BT101" s="254">
        <v>0.78926766761002698</v>
      </c>
      <c r="BU101" s="250" t="s">
        <v>673</v>
      </c>
      <c r="BV101" s="254">
        <v>0</v>
      </c>
      <c r="BW101" s="250" t="s">
        <v>673</v>
      </c>
      <c r="BX101" s="254">
        <v>0</v>
      </c>
      <c r="BY101" s="250" t="s">
        <v>673</v>
      </c>
      <c r="BZ101" s="254">
        <v>0</v>
      </c>
      <c r="CA101" s="250" t="s">
        <v>673</v>
      </c>
      <c r="CB101" s="254">
        <v>0</v>
      </c>
      <c r="CC101" s="250" t="s">
        <v>673</v>
      </c>
      <c r="CD101" s="254">
        <v>0</v>
      </c>
      <c r="CE101" s="250" t="s">
        <v>673</v>
      </c>
      <c r="CF101" s="254">
        <v>0</v>
      </c>
      <c r="CG101" s="250" t="s">
        <v>673</v>
      </c>
      <c r="CH101" s="254">
        <v>0</v>
      </c>
      <c r="CI101" s="250" t="s">
        <v>673</v>
      </c>
      <c r="CJ101" s="254">
        <v>0</v>
      </c>
      <c r="CK101" s="250" t="s">
        <v>673</v>
      </c>
      <c r="CL101" s="254">
        <v>0</v>
      </c>
      <c r="CM101" s="250" t="s">
        <v>673</v>
      </c>
      <c r="CN101" s="254">
        <v>0</v>
      </c>
      <c r="CO101" s="250" t="s">
        <v>673</v>
      </c>
      <c r="CP101" s="254">
        <v>0</v>
      </c>
      <c r="CQ101" s="250" t="s">
        <v>673</v>
      </c>
      <c r="CR101" s="254">
        <v>0</v>
      </c>
      <c r="CS101" s="250" t="s">
        <v>673</v>
      </c>
      <c r="CT101" s="254">
        <v>0</v>
      </c>
      <c r="CU101" s="250" t="s">
        <v>673</v>
      </c>
      <c r="CV101" s="254">
        <v>0</v>
      </c>
      <c r="CW101" s="250" t="s">
        <v>673</v>
      </c>
      <c r="CX101" s="254">
        <v>0</v>
      </c>
      <c r="CY101" s="250" t="s">
        <v>673</v>
      </c>
      <c r="CZ101" s="254">
        <v>0</v>
      </c>
      <c r="DA101" s="250" t="s">
        <v>673</v>
      </c>
      <c r="DB101" s="254">
        <v>0</v>
      </c>
      <c r="DC101" s="250" t="s">
        <v>673</v>
      </c>
      <c r="DD101" s="254">
        <v>0</v>
      </c>
      <c r="DE101" s="250" t="s">
        <v>673</v>
      </c>
      <c r="DF101" s="254">
        <v>0</v>
      </c>
      <c r="DG101" s="250" t="s">
        <v>673</v>
      </c>
      <c r="DH101" s="254">
        <v>0.62693588075733631</v>
      </c>
      <c r="DI101" s="250" t="s">
        <v>673</v>
      </c>
      <c r="DJ101" s="254">
        <v>0.50676596220551995</v>
      </c>
      <c r="DK101" s="250" t="s">
        <v>673</v>
      </c>
      <c r="DL101" s="254">
        <v>0.62693588075733631</v>
      </c>
      <c r="DM101" s="250" t="s">
        <v>673</v>
      </c>
      <c r="DN101" s="254">
        <v>0.19333447540263454</v>
      </c>
      <c r="DO101" s="250" t="s">
        <v>673</v>
      </c>
      <c r="DP101" s="254">
        <v>1</v>
      </c>
      <c r="DQ101" s="250" t="s">
        <v>673</v>
      </c>
      <c r="DR101" s="254">
        <v>1</v>
      </c>
      <c r="DS101" s="109"/>
      <c r="DT101" s="109"/>
      <c r="DU101" s="109"/>
      <c r="DV101" s="109"/>
      <c r="DW101" s="109"/>
      <c r="DX101" s="109"/>
      <c r="DY101" s="109"/>
      <c r="DZ101" s="109"/>
      <c r="EA101" s="109"/>
      <c r="EB101" s="109"/>
      <c r="EC101" s="109"/>
      <c r="ED101" s="109"/>
      <c r="EE101" s="109"/>
      <c r="EF101" s="109"/>
      <c r="EG101" s="109"/>
      <c r="EH101" s="109"/>
      <c r="EI101" s="109"/>
      <c r="EJ101" s="109"/>
      <c r="EK101" s="109"/>
      <c r="EL101" s="109"/>
      <c r="EM101" s="109"/>
      <c r="EN101" s="109"/>
      <c r="EO101" s="109"/>
      <c r="EP101" s="109"/>
      <c r="EQ101" s="109"/>
      <c r="ER101" s="109"/>
      <c r="ES101" s="109"/>
      <c r="ET101" s="109"/>
      <c r="EU101" s="109"/>
      <c r="EV101" s="109"/>
      <c r="EW101" s="109"/>
      <c r="EX101" s="109"/>
      <c r="EY101" s="109"/>
      <c r="EZ101" s="109"/>
      <c r="FA101" s="109"/>
      <c r="FB101" s="109"/>
      <c r="FC101" s="109"/>
      <c r="FD101" s="109"/>
      <c r="FE101" s="109"/>
      <c r="FF101" s="109"/>
      <c r="FG101" s="109"/>
      <c r="FH101" s="109"/>
      <c r="FI101" s="109"/>
      <c r="FJ101" s="109"/>
      <c r="FK101" s="109"/>
      <c r="FL101" s="109"/>
      <c r="FM101" s="109"/>
      <c r="FN101" s="109"/>
      <c r="FO101" s="109"/>
      <c r="FP101" s="109"/>
      <c r="FQ101" s="109"/>
      <c r="FR101" s="109"/>
      <c r="FS101" s="109"/>
      <c r="FT101" s="109"/>
      <c r="FU101" s="109"/>
      <c r="FV101" s="109"/>
      <c r="FW101" s="109"/>
      <c r="FX101" s="109"/>
      <c r="FY101" s="109"/>
      <c r="FZ101" s="109"/>
      <c r="GA101" s="109"/>
      <c r="GB101" s="109"/>
      <c r="GC101" s="109"/>
      <c r="GD101" s="109"/>
      <c r="GE101" s="109"/>
      <c r="GF101" s="109"/>
      <c r="GG101" s="109"/>
      <c r="GH101" s="109"/>
      <c r="GI101" s="109"/>
      <c r="GJ101" s="109"/>
      <c r="GK101" s="109"/>
      <c r="GL101" s="109"/>
      <c r="GM101" s="109"/>
      <c r="GN101" s="109"/>
      <c r="GO101" s="109"/>
      <c r="GP101" s="109"/>
      <c r="GQ101" s="109"/>
      <c r="GR101" s="109"/>
      <c r="GS101" s="109"/>
      <c r="GT101" s="109"/>
      <c r="GU101" s="109"/>
      <c r="GV101" s="109"/>
      <c r="GW101" s="109"/>
      <c r="GX101" s="109"/>
      <c r="GY101" s="109"/>
      <c r="GZ101" s="109"/>
      <c r="HA101" s="109"/>
      <c r="HB101" s="109"/>
      <c r="HC101" s="109"/>
      <c r="HD101" s="109"/>
      <c r="HE101" s="109"/>
      <c r="HF101" s="109"/>
      <c r="HG101" s="109"/>
      <c r="HH101" s="109"/>
      <c r="HI101" s="109"/>
      <c r="HJ101" s="109"/>
      <c r="HK101" s="109"/>
      <c r="HL101" s="109"/>
      <c r="HM101" s="109"/>
      <c r="HN101" s="109"/>
      <c r="HO101" s="109"/>
      <c r="HP101" s="109"/>
      <c r="HQ101" s="109"/>
      <c r="HR101" s="109"/>
      <c r="HS101" s="109"/>
      <c r="HT101" s="109"/>
      <c r="HU101" s="109"/>
      <c r="HV101" s="109"/>
      <c r="HW101" s="109"/>
      <c r="HX101" s="109"/>
      <c r="HY101" s="109"/>
      <c r="HZ101" s="109"/>
      <c r="IA101" s="109"/>
      <c r="IB101" s="109"/>
      <c r="IC101" s="109"/>
      <c r="ID101" s="109"/>
      <c r="IE101" s="109"/>
      <c r="IF101" s="109"/>
      <c r="IG101" s="109"/>
      <c r="IH101" s="109"/>
      <c r="II101" s="109"/>
      <c r="IJ101" s="109"/>
      <c r="IK101" s="109"/>
      <c r="IL101" s="109"/>
      <c r="IM101" s="109"/>
      <c r="IN101" s="109"/>
      <c r="IO101" s="109"/>
      <c r="IP101" s="109"/>
      <c r="IQ101" s="109"/>
      <c r="IR101" s="109"/>
      <c r="IS101" s="109"/>
      <c r="IT101" s="109"/>
      <c r="IU101" s="109"/>
      <c r="IV101" s="109"/>
      <c r="IW101" s="109"/>
      <c r="IX101" s="109"/>
      <c r="IY101" s="109"/>
      <c r="IZ101" s="109"/>
      <c r="JA101" s="109"/>
      <c r="JB101" s="109"/>
      <c r="JC101" s="109"/>
      <c r="JD101" s="109"/>
      <c r="JE101" s="109"/>
      <c r="JF101" s="109"/>
      <c r="JG101" s="109"/>
      <c r="JH101" s="109"/>
      <c r="JI101" s="109"/>
      <c r="JJ101" s="109"/>
      <c r="JK101" s="109"/>
      <c r="JL101" s="109"/>
      <c r="JM101" s="109"/>
      <c r="JN101" s="109"/>
      <c r="JO101" s="109"/>
      <c r="JP101" s="109"/>
      <c r="JQ101" s="109"/>
      <c r="JR101" s="109"/>
      <c r="JS101" s="109"/>
      <c r="JT101" s="109"/>
      <c r="JU101" s="109"/>
      <c r="JV101" s="109"/>
      <c r="JW101" s="109"/>
      <c r="JX101" s="109"/>
      <c r="JY101" s="109"/>
      <c r="JZ101" s="109"/>
      <c r="KA101" s="109"/>
      <c r="KB101" s="109"/>
      <c r="KC101" s="109"/>
      <c r="KD101" s="109"/>
      <c r="KE101" s="109"/>
      <c r="KF101" s="109"/>
      <c r="KG101" s="109"/>
      <c r="KH101" s="109"/>
      <c r="KI101" s="109"/>
      <c r="KJ101" s="109"/>
      <c r="KK101" s="109"/>
      <c r="KL101" s="109"/>
      <c r="KM101" s="109"/>
      <c r="KN101" s="109"/>
      <c r="KO101" s="109"/>
      <c r="KP101" s="109"/>
      <c r="KQ101" s="109"/>
      <c r="KR101" s="109"/>
      <c r="KS101" s="109"/>
      <c r="KT101" s="109"/>
      <c r="KU101" s="109"/>
      <c r="KV101" s="109"/>
      <c r="KW101" s="109"/>
      <c r="KX101" s="109"/>
      <c r="KY101" s="109"/>
      <c r="KZ101" s="109"/>
      <c r="LA101" s="109"/>
      <c r="LB101" s="109"/>
      <c r="LC101" s="109"/>
      <c r="LD101" s="109"/>
      <c r="LE101" s="109"/>
      <c r="LF101" s="109"/>
      <c r="LG101" s="109"/>
      <c r="LH101" s="109"/>
      <c r="LI101" s="109"/>
      <c r="LJ101" s="109"/>
      <c r="LK101" s="109"/>
      <c r="LL101" s="109"/>
      <c r="LM101" s="109"/>
      <c r="LN101" s="109"/>
      <c r="LO101" s="109"/>
      <c r="LP101" s="109"/>
      <c r="LQ101" s="109"/>
      <c r="LR101" s="109"/>
      <c r="LS101" s="109"/>
      <c r="LT101" s="109"/>
      <c r="LU101" s="109"/>
      <c r="LV101" s="109"/>
      <c r="LW101" s="109"/>
      <c r="LX101" s="109"/>
      <c r="LY101" s="109"/>
      <c r="LZ101" s="109"/>
      <c r="MA101" s="109"/>
      <c r="MB101" s="109"/>
      <c r="MC101" s="109"/>
      <c r="MD101" s="109"/>
      <c r="ME101" s="109"/>
      <c r="MF101" s="109"/>
      <c r="MG101" s="109"/>
      <c r="MH101" s="150"/>
      <c r="MI101" s="109"/>
      <c r="MJ101" s="109"/>
      <c r="MK101" s="109"/>
      <c r="ML101" s="109"/>
      <c r="MM101" s="109"/>
      <c r="MN101" s="109"/>
      <c r="MO101" s="109"/>
      <c r="MP101" s="109"/>
      <c r="MQ101" s="109"/>
      <c r="MR101" s="109"/>
      <c r="MS101" s="109"/>
      <c r="MT101" s="109"/>
      <c r="MU101" s="109"/>
      <c r="MV101" s="109"/>
      <c r="MW101" s="109"/>
      <c r="MX101" s="109"/>
      <c r="MY101" s="109"/>
      <c r="MZ101" s="109"/>
      <c r="NA101" s="109"/>
      <c r="NB101" s="109"/>
    </row>
    <row r="102" spans="1:366" s="261" customFormat="1" x14ac:dyDescent="0.25">
      <c r="A102" s="113">
        <v>0</v>
      </c>
      <c r="B102" s="161" t="s">
        <v>1102</v>
      </c>
      <c r="C102" s="250" t="s">
        <v>673</v>
      </c>
      <c r="D102" s="254">
        <v>0</v>
      </c>
      <c r="E102" s="250" t="s">
        <v>673</v>
      </c>
      <c r="F102" s="254">
        <v>0</v>
      </c>
      <c r="G102" s="250" t="s">
        <v>673</v>
      </c>
      <c r="H102" s="254">
        <v>0</v>
      </c>
      <c r="I102" s="250" t="s">
        <v>673</v>
      </c>
      <c r="J102" s="254">
        <v>0</v>
      </c>
      <c r="K102" s="250" t="s">
        <v>673</v>
      </c>
      <c r="L102" s="254">
        <v>0</v>
      </c>
      <c r="M102" s="250" t="s">
        <v>673</v>
      </c>
      <c r="N102" s="254">
        <v>0.10472928506024251</v>
      </c>
      <c r="O102" s="250" t="s">
        <v>673</v>
      </c>
      <c r="P102" s="254">
        <v>0.15187266127054067</v>
      </c>
      <c r="Q102" s="250" t="s">
        <v>673</v>
      </c>
      <c r="R102" s="254">
        <v>1</v>
      </c>
      <c r="S102" s="250" t="s">
        <v>673</v>
      </c>
      <c r="T102" s="254">
        <v>1</v>
      </c>
      <c r="U102" s="250" t="s">
        <v>673</v>
      </c>
      <c r="V102" s="254">
        <v>0</v>
      </c>
      <c r="W102" s="250" t="s">
        <v>673</v>
      </c>
      <c r="X102" s="254">
        <v>0</v>
      </c>
      <c r="Y102" s="250" t="s">
        <v>673</v>
      </c>
      <c r="Z102" s="254">
        <v>0</v>
      </c>
      <c r="AA102" s="250" t="s">
        <v>673</v>
      </c>
      <c r="AB102" s="254">
        <v>0.10472928506024251</v>
      </c>
      <c r="AC102" s="250" t="s">
        <v>673</v>
      </c>
      <c r="AD102" s="254">
        <v>0.15187266127054067</v>
      </c>
      <c r="AE102" s="250" t="s">
        <v>673</v>
      </c>
      <c r="AF102" s="254">
        <v>0.30867188789874611</v>
      </c>
      <c r="AG102" s="250" t="s">
        <v>673</v>
      </c>
      <c r="AH102" s="254">
        <v>0.62049875862221127</v>
      </c>
      <c r="AI102" s="250" t="s">
        <v>673</v>
      </c>
      <c r="AJ102" s="254">
        <v>1</v>
      </c>
      <c r="AK102" s="250" t="s">
        <v>673</v>
      </c>
      <c r="AL102" s="254">
        <v>1</v>
      </c>
      <c r="AM102" s="250" t="s">
        <v>673</v>
      </c>
      <c r="AN102" s="254">
        <v>1</v>
      </c>
      <c r="AO102" s="250" t="s">
        <v>673</v>
      </c>
      <c r="AP102" s="254">
        <v>1</v>
      </c>
      <c r="AQ102" s="250" t="s">
        <v>673</v>
      </c>
      <c r="AR102" s="254">
        <v>1</v>
      </c>
      <c r="AS102" s="250" t="s">
        <v>673</v>
      </c>
      <c r="AT102" s="254">
        <v>0</v>
      </c>
      <c r="AU102" s="250" t="s">
        <v>673</v>
      </c>
      <c r="AV102" s="254">
        <v>0</v>
      </c>
      <c r="AW102" s="250" t="s">
        <v>673</v>
      </c>
      <c r="AX102" s="254">
        <v>0</v>
      </c>
      <c r="AY102" s="250" t="s">
        <v>673</v>
      </c>
      <c r="AZ102" s="254">
        <v>5.6255250149252825E-2</v>
      </c>
      <c r="BA102" s="250" t="s">
        <v>673</v>
      </c>
      <c r="BB102" s="254">
        <v>0</v>
      </c>
      <c r="BC102" s="250" t="s">
        <v>673</v>
      </c>
      <c r="BD102" s="254">
        <v>0</v>
      </c>
      <c r="BE102" s="250" t="s">
        <v>673</v>
      </c>
      <c r="BF102" s="254">
        <v>0</v>
      </c>
      <c r="BG102" s="250" t="s">
        <v>673</v>
      </c>
      <c r="BH102" s="254">
        <v>0</v>
      </c>
      <c r="BI102" s="250" t="s">
        <v>673</v>
      </c>
      <c r="BJ102" s="254">
        <v>3.8455903763199385E-2</v>
      </c>
      <c r="BK102" s="250" t="s">
        <v>673</v>
      </c>
      <c r="BL102" s="254">
        <v>3.1261935655724486E-2</v>
      </c>
      <c r="BM102" s="250" t="s">
        <v>673</v>
      </c>
      <c r="BN102" s="254">
        <v>0</v>
      </c>
      <c r="BO102" s="250" t="s">
        <v>673</v>
      </c>
      <c r="BP102" s="254">
        <v>2.8903772922495585E-2</v>
      </c>
      <c r="BQ102" s="250" t="s">
        <v>673</v>
      </c>
      <c r="BR102" s="254">
        <v>4.406778570047383E-2</v>
      </c>
      <c r="BS102" s="250" t="s">
        <v>673</v>
      </c>
      <c r="BT102" s="254">
        <v>8.1168544016290589E-2</v>
      </c>
      <c r="BU102" s="250" t="s">
        <v>673</v>
      </c>
      <c r="BV102" s="254">
        <v>0</v>
      </c>
      <c r="BW102" s="250" t="s">
        <v>673</v>
      </c>
      <c r="BX102" s="254">
        <v>0</v>
      </c>
      <c r="BY102" s="250" t="s">
        <v>673</v>
      </c>
      <c r="BZ102" s="254">
        <v>0</v>
      </c>
      <c r="CA102" s="250" t="s">
        <v>673</v>
      </c>
      <c r="CB102" s="254">
        <v>0</v>
      </c>
      <c r="CC102" s="250" t="s">
        <v>673</v>
      </c>
      <c r="CD102" s="254">
        <v>0</v>
      </c>
      <c r="CE102" s="250" t="s">
        <v>673</v>
      </c>
      <c r="CF102" s="254">
        <v>0</v>
      </c>
      <c r="CG102" s="250" t="s">
        <v>673</v>
      </c>
      <c r="CH102" s="254">
        <v>0</v>
      </c>
      <c r="CI102" s="250" t="s">
        <v>673</v>
      </c>
      <c r="CJ102" s="254">
        <v>0</v>
      </c>
      <c r="CK102" s="250" t="s">
        <v>673</v>
      </c>
      <c r="CL102" s="254">
        <v>0</v>
      </c>
      <c r="CM102" s="250" t="s">
        <v>673</v>
      </c>
      <c r="CN102" s="254">
        <v>0</v>
      </c>
      <c r="CO102" s="250" t="s">
        <v>673</v>
      </c>
      <c r="CP102" s="254">
        <v>0</v>
      </c>
      <c r="CQ102" s="250" t="s">
        <v>673</v>
      </c>
      <c r="CR102" s="254">
        <v>0</v>
      </c>
      <c r="CS102" s="250" t="s">
        <v>673</v>
      </c>
      <c r="CT102" s="254">
        <v>0</v>
      </c>
      <c r="CU102" s="250" t="s">
        <v>673</v>
      </c>
      <c r="CV102" s="254">
        <v>0</v>
      </c>
      <c r="CW102" s="250" t="s">
        <v>673</v>
      </c>
      <c r="CX102" s="254">
        <v>0</v>
      </c>
      <c r="CY102" s="250" t="s">
        <v>673</v>
      </c>
      <c r="CZ102" s="254">
        <v>0</v>
      </c>
      <c r="DA102" s="250" t="s">
        <v>673</v>
      </c>
      <c r="DB102" s="254">
        <v>0</v>
      </c>
      <c r="DC102" s="250" t="s">
        <v>673</v>
      </c>
      <c r="DD102" s="254">
        <v>0</v>
      </c>
      <c r="DE102" s="250" t="s">
        <v>673</v>
      </c>
      <c r="DF102" s="254">
        <v>0</v>
      </c>
      <c r="DG102" s="250" t="s">
        <v>673</v>
      </c>
      <c r="DH102" s="254">
        <v>0.37306411924266358</v>
      </c>
      <c r="DI102" s="250" t="s">
        <v>673</v>
      </c>
      <c r="DJ102" s="254">
        <v>0.49323403779448022</v>
      </c>
      <c r="DK102" s="250" t="s">
        <v>673</v>
      </c>
      <c r="DL102" s="254">
        <v>0.37306411924266358</v>
      </c>
      <c r="DM102" s="250" t="s">
        <v>673</v>
      </c>
      <c r="DN102" s="254">
        <v>0</v>
      </c>
      <c r="DO102" s="250" t="s">
        <v>673</v>
      </c>
      <c r="DP102" s="254">
        <v>0</v>
      </c>
      <c r="DQ102" s="250" t="s">
        <v>673</v>
      </c>
      <c r="DR102" s="254">
        <v>0</v>
      </c>
      <c r="DS102" s="109"/>
      <c r="DT102" s="109"/>
      <c r="DU102" s="109"/>
      <c r="DV102" s="109"/>
      <c r="DW102" s="109"/>
      <c r="DX102" s="109"/>
      <c r="DY102" s="109"/>
      <c r="DZ102" s="109"/>
      <c r="EA102" s="109"/>
      <c r="EB102" s="109"/>
      <c r="EC102" s="109"/>
      <c r="ED102" s="109"/>
      <c r="EE102" s="109"/>
      <c r="EF102" s="109"/>
      <c r="EG102" s="109"/>
      <c r="EH102" s="109"/>
      <c r="EI102" s="109"/>
      <c r="EJ102" s="109"/>
      <c r="EK102" s="109"/>
      <c r="EL102" s="109"/>
      <c r="EM102" s="109"/>
      <c r="EN102" s="109"/>
      <c r="EO102" s="109"/>
      <c r="EP102" s="109"/>
      <c r="EQ102" s="109"/>
      <c r="ER102" s="109"/>
      <c r="ES102" s="109"/>
      <c r="ET102" s="109"/>
      <c r="EU102" s="109"/>
      <c r="EV102" s="109"/>
      <c r="EW102" s="109"/>
      <c r="EX102" s="109"/>
      <c r="EY102" s="109"/>
      <c r="EZ102" s="109"/>
      <c r="FA102" s="109"/>
      <c r="FB102" s="109"/>
      <c r="FC102" s="109"/>
      <c r="FD102" s="109"/>
      <c r="FE102" s="109"/>
      <c r="FF102" s="109"/>
      <c r="FG102" s="109"/>
      <c r="FH102" s="109"/>
      <c r="FI102" s="109"/>
      <c r="FJ102" s="109"/>
      <c r="FK102" s="109"/>
      <c r="FL102" s="109"/>
      <c r="FM102" s="109"/>
      <c r="FN102" s="109"/>
      <c r="FO102" s="109"/>
      <c r="FP102" s="109"/>
      <c r="FQ102" s="109"/>
      <c r="FR102" s="109"/>
      <c r="FS102" s="109"/>
      <c r="FT102" s="109"/>
      <c r="FU102" s="109"/>
      <c r="FV102" s="109"/>
      <c r="FW102" s="109"/>
      <c r="FX102" s="109"/>
      <c r="FY102" s="109"/>
      <c r="FZ102" s="109"/>
      <c r="GA102" s="109"/>
      <c r="GB102" s="109"/>
      <c r="GC102" s="109"/>
      <c r="GD102" s="109"/>
      <c r="GE102" s="109"/>
      <c r="GF102" s="109"/>
      <c r="GG102" s="109"/>
      <c r="GH102" s="109"/>
      <c r="GI102" s="109"/>
      <c r="GJ102" s="109"/>
      <c r="GK102" s="109"/>
      <c r="GL102" s="109"/>
      <c r="GM102" s="109"/>
      <c r="GN102" s="109"/>
      <c r="GO102" s="109"/>
      <c r="GP102" s="109"/>
      <c r="GQ102" s="109"/>
      <c r="GR102" s="109"/>
      <c r="GS102" s="109"/>
      <c r="GT102" s="109"/>
      <c r="GU102" s="109"/>
      <c r="GV102" s="109"/>
      <c r="GW102" s="109"/>
      <c r="GX102" s="109"/>
      <c r="GY102" s="109"/>
      <c r="GZ102" s="109"/>
      <c r="HA102" s="109"/>
      <c r="HB102" s="109"/>
      <c r="HC102" s="109"/>
      <c r="HD102" s="109"/>
      <c r="HE102" s="109"/>
      <c r="HF102" s="109"/>
      <c r="HG102" s="109"/>
      <c r="HH102" s="109"/>
      <c r="HI102" s="109"/>
      <c r="HJ102" s="109"/>
      <c r="HK102" s="109"/>
      <c r="HL102" s="109"/>
      <c r="HM102" s="109"/>
      <c r="HN102" s="109"/>
      <c r="HO102" s="109"/>
      <c r="HP102" s="109"/>
      <c r="HQ102" s="109"/>
      <c r="HR102" s="109"/>
      <c r="HS102" s="109"/>
      <c r="HT102" s="109"/>
      <c r="HU102" s="109"/>
      <c r="HV102" s="109"/>
      <c r="HW102" s="109"/>
      <c r="HX102" s="109"/>
      <c r="HY102" s="109"/>
      <c r="HZ102" s="109"/>
      <c r="IA102" s="109"/>
      <c r="IB102" s="109"/>
      <c r="IC102" s="109"/>
      <c r="ID102" s="109"/>
      <c r="IE102" s="109"/>
      <c r="IF102" s="109"/>
      <c r="IG102" s="109"/>
      <c r="IH102" s="109"/>
      <c r="II102" s="109"/>
      <c r="IJ102" s="109"/>
      <c r="IK102" s="109"/>
      <c r="IL102" s="109"/>
      <c r="IM102" s="109"/>
      <c r="IN102" s="109"/>
      <c r="IO102" s="109"/>
      <c r="IP102" s="109"/>
      <c r="IQ102" s="109"/>
      <c r="IR102" s="109"/>
      <c r="IS102" s="109"/>
      <c r="IT102" s="109"/>
      <c r="IU102" s="109"/>
      <c r="IV102" s="109"/>
      <c r="IW102" s="109"/>
      <c r="IX102" s="109"/>
      <c r="IY102" s="109"/>
      <c r="IZ102" s="109"/>
      <c r="JA102" s="109"/>
      <c r="JB102" s="109"/>
      <c r="JC102" s="109"/>
      <c r="JD102" s="109"/>
      <c r="JE102" s="109"/>
      <c r="JF102" s="109"/>
      <c r="JG102" s="109"/>
      <c r="JH102" s="109"/>
      <c r="JI102" s="109"/>
      <c r="JJ102" s="109"/>
      <c r="JK102" s="109"/>
      <c r="JL102" s="109"/>
      <c r="JM102" s="109"/>
      <c r="JN102" s="109"/>
      <c r="JO102" s="109"/>
      <c r="JP102" s="109"/>
      <c r="JQ102" s="109"/>
      <c r="JR102" s="109"/>
      <c r="JS102" s="109"/>
      <c r="JT102" s="109"/>
      <c r="JU102" s="109"/>
      <c r="JV102" s="109"/>
      <c r="JW102" s="109"/>
      <c r="JX102" s="109"/>
      <c r="JY102" s="109"/>
      <c r="JZ102" s="109"/>
      <c r="KA102" s="109"/>
      <c r="KB102" s="109"/>
      <c r="KC102" s="109"/>
      <c r="KD102" s="109"/>
      <c r="KE102" s="109"/>
      <c r="KF102" s="109"/>
      <c r="KG102" s="109"/>
      <c r="KH102" s="109"/>
      <c r="KI102" s="109"/>
      <c r="KJ102" s="109"/>
      <c r="KK102" s="109"/>
      <c r="KL102" s="109"/>
      <c r="KM102" s="109"/>
      <c r="KN102" s="109"/>
      <c r="KO102" s="109"/>
      <c r="KP102" s="109"/>
      <c r="KQ102" s="109"/>
      <c r="KR102" s="109"/>
      <c r="KS102" s="109"/>
      <c r="KT102" s="109"/>
      <c r="KU102" s="109"/>
      <c r="KV102" s="109"/>
      <c r="KW102" s="109"/>
      <c r="KX102" s="109"/>
      <c r="KY102" s="109"/>
      <c r="KZ102" s="109"/>
      <c r="LA102" s="109"/>
      <c r="LB102" s="109"/>
      <c r="LC102" s="109"/>
      <c r="LD102" s="109"/>
      <c r="LE102" s="109"/>
      <c r="LF102" s="109"/>
      <c r="LG102" s="109"/>
      <c r="LH102" s="109"/>
      <c r="LI102" s="109"/>
      <c r="LJ102" s="109"/>
      <c r="LK102" s="109"/>
      <c r="LL102" s="109"/>
      <c r="LM102" s="109"/>
      <c r="LN102" s="109"/>
      <c r="LO102" s="109"/>
      <c r="LP102" s="109"/>
      <c r="LQ102" s="109"/>
      <c r="LR102" s="109"/>
      <c r="LS102" s="109"/>
      <c r="LT102" s="109"/>
      <c r="LU102" s="109"/>
      <c r="LV102" s="109"/>
      <c r="LW102" s="109"/>
      <c r="LX102" s="109"/>
      <c r="LY102" s="109"/>
      <c r="LZ102" s="109"/>
      <c r="MA102" s="109"/>
      <c r="MB102" s="109"/>
      <c r="MC102" s="109"/>
      <c r="MD102" s="109"/>
      <c r="ME102" s="109"/>
      <c r="MF102" s="109"/>
      <c r="MG102" s="109"/>
      <c r="MH102" s="150"/>
      <c r="MI102" s="109"/>
      <c r="MJ102" s="109"/>
      <c r="MK102" s="109"/>
      <c r="ML102" s="109"/>
      <c r="MM102" s="109"/>
      <c r="MN102" s="109"/>
      <c r="MO102" s="109"/>
      <c r="MP102" s="109"/>
      <c r="MQ102" s="109"/>
      <c r="MR102" s="109"/>
      <c r="MS102" s="109"/>
      <c r="MT102" s="109"/>
      <c r="MU102" s="109"/>
      <c r="MV102" s="109"/>
      <c r="MW102" s="109"/>
      <c r="MX102" s="109"/>
      <c r="MY102" s="109"/>
      <c r="MZ102" s="109"/>
      <c r="NA102" s="109"/>
      <c r="NB102" s="109"/>
    </row>
    <row r="103" spans="1:366" s="261" customFormat="1" x14ac:dyDescent="0.25">
      <c r="A103" s="113">
        <v>0</v>
      </c>
      <c r="B103" s="161" t="s">
        <v>1103</v>
      </c>
      <c r="C103" s="250" t="s">
        <v>1091</v>
      </c>
      <c r="D103" s="254">
        <v>0</v>
      </c>
      <c r="E103" s="250" t="s">
        <v>1091</v>
      </c>
      <c r="F103" s="254">
        <v>0</v>
      </c>
      <c r="G103" s="250" t="s">
        <v>1091</v>
      </c>
      <c r="H103" s="254">
        <v>0</v>
      </c>
      <c r="I103" s="250" t="s">
        <v>1091</v>
      </c>
      <c r="J103" s="254">
        <v>0</v>
      </c>
      <c r="K103" s="250" t="s">
        <v>1091</v>
      </c>
      <c r="L103" s="254">
        <v>1</v>
      </c>
      <c r="M103" s="250" t="s">
        <v>1091</v>
      </c>
      <c r="N103" s="254">
        <v>0</v>
      </c>
      <c r="O103" s="250" t="s">
        <v>1091</v>
      </c>
      <c r="P103" s="254">
        <v>0</v>
      </c>
      <c r="Q103" s="250" t="s">
        <v>1091</v>
      </c>
      <c r="R103" s="254">
        <v>0</v>
      </c>
      <c r="S103" s="250" t="s">
        <v>1091</v>
      </c>
      <c r="T103" s="254">
        <v>0</v>
      </c>
      <c r="U103" s="250" t="s">
        <v>1091</v>
      </c>
      <c r="V103" s="254">
        <v>0</v>
      </c>
      <c r="W103" s="250" t="s">
        <v>1091</v>
      </c>
      <c r="X103" s="254">
        <v>0</v>
      </c>
      <c r="Y103" s="250" t="s">
        <v>1091</v>
      </c>
      <c r="Z103" s="254">
        <v>1</v>
      </c>
      <c r="AA103" s="250" t="s">
        <v>1091</v>
      </c>
      <c r="AB103" s="254">
        <v>0</v>
      </c>
      <c r="AC103" s="250" t="s">
        <v>1091</v>
      </c>
      <c r="AD103" s="254">
        <v>0</v>
      </c>
      <c r="AE103" s="250" t="s">
        <v>1091</v>
      </c>
      <c r="AF103" s="254">
        <v>0</v>
      </c>
      <c r="AG103" s="250" t="s">
        <v>1091</v>
      </c>
      <c r="AH103" s="254">
        <v>0</v>
      </c>
      <c r="AI103" s="250" t="s">
        <v>1091</v>
      </c>
      <c r="AJ103" s="254">
        <v>0</v>
      </c>
      <c r="AK103" s="250" t="s">
        <v>1091</v>
      </c>
      <c r="AL103" s="254">
        <v>0</v>
      </c>
      <c r="AM103" s="250" t="s">
        <v>1091</v>
      </c>
      <c r="AN103" s="254">
        <v>0</v>
      </c>
      <c r="AO103" s="250" t="s">
        <v>1091</v>
      </c>
      <c r="AP103" s="254">
        <v>0</v>
      </c>
      <c r="AQ103" s="250" t="s">
        <v>1091</v>
      </c>
      <c r="AR103" s="254">
        <v>0</v>
      </c>
      <c r="AS103" s="250" t="s">
        <v>1091</v>
      </c>
      <c r="AT103" s="254">
        <v>0</v>
      </c>
      <c r="AU103" s="250" t="s">
        <v>1091</v>
      </c>
      <c r="AV103" s="254">
        <v>0</v>
      </c>
      <c r="AW103" s="250" t="s">
        <v>1091</v>
      </c>
      <c r="AX103" s="254">
        <v>1</v>
      </c>
      <c r="AY103" s="250" t="s">
        <v>1091</v>
      </c>
      <c r="AZ103" s="254">
        <v>1</v>
      </c>
      <c r="BA103" s="250" t="s">
        <v>1091</v>
      </c>
      <c r="BB103" s="254">
        <v>0</v>
      </c>
      <c r="BC103" s="250" t="s">
        <v>1091</v>
      </c>
      <c r="BD103" s="254">
        <v>0</v>
      </c>
      <c r="BE103" s="250" t="s">
        <v>1091</v>
      </c>
      <c r="BF103" s="254">
        <v>1</v>
      </c>
      <c r="BG103" s="250" t="s">
        <v>1091</v>
      </c>
      <c r="BH103" s="254">
        <v>0</v>
      </c>
      <c r="BI103" s="250" t="s">
        <v>1091</v>
      </c>
      <c r="BJ103" s="254">
        <v>1</v>
      </c>
      <c r="BK103" s="250" t="s">
        <v>1091</v>
      </c>
      <c r="BL103" s="254">
        <v>1</v>
      </c>
      <c r="BM103" s="250" t="s">
        <v>1091</v>
      </c>
      <c r="BN103" s="254">
        <v>1</v>
      </c>
      <c r="BO103" s="250" t="s">
        <v>1091</v>
      </c>
      <c r="BP103" s="254">
        <v>1</v>
      </c>
      <c r="BQ103" s="250" t="s">
        <v>1091</v>
      </c>
      <c r="BR103" s="254">
        <v>1</v>
      </c>
      <c r="BS103" s="250" t="s">
        <v>1091</v>
      </c>
      <c r="BT103" s="254">
        <v>1</v>
      </c>
      <c r="BU103" s="250" t="s">
        <v>1091</v>
      </c>
      <c r="BV103" s="254">
        <v>0</v>
      </c>
      <c r="BW103" s="250" t="s">
        <v>1091</v>
      </c>
      <c r="BX103" s="254">
        <v>0</v>
      </c>
      <c r="BY103" s="250" t="s">
        <v>1091</v>
      </c>
      <c r="BZ103" s="254">
        <v>0</v>
      </c>
      <c r="CA103" s="250" t="s">
        <v>1091</v>
      </c>
      <c r="CB103" s="254">
        <v>0</v>
      </c>
      <c r="CC103" s="250" t="s">
        <v>1091</v>
      </c>
      <c r="CD103" s="254">
        <v>0</v>
      </c>
      <c r="CE103" s="250" t="s">
        <v>1091</v>
      </c>
      <c r="CF103" s="254">
        <v>0</v>
      </c>
      <c r="CG103" s="250" t="s">
        <v>1091</v>
      </c>
      <c r="CH103" s="254">
        <v>0</v>
      </c>
      <c r="CI103" s="250" t="s">
        <v>1091</v>
      </c>
      <c r="CJ103" s="254">
        <v>0</v>
      </c>
      <c r="CK103" s="250" t="s">
        <v>1091</v>
      </c>
      <c r="CL103" s="254">
        <v>0</v>
      </c>
      <c r="CM103" s="250" t="s">
        <v>1091</v>
      </c>
      <c r="CN103" s="254">
        <v>0</v>
      </c>
      <c r="CO103" s="250" t="s">
        <v>1091</v>
      </c>
      <c r="CP103" s="254">
        <v>0</v>
      </c>
      <c r="CQ103" s="250" t="s">
        <v>1091</v>
      </c>
      <c r="CR103" s="254">
        <v>0</v>
      </c>
      <c r="CS103" s="250" t="s">
        <v>1091</v>
      </c>
      <c r="CT103" s="254">
        <v>0</v>
      </c>
      <c r="CU103" s="250" t="s">
        <v>1091</v>
      </c>
      <c r="CV103" s="254">
        <v>0</v>
      </c>
      <c r="CW103" s="250" t="s">
        <v>1091</v>
      </c>
      <c r="CX103" s="254">
        <v>0</v>
      </c>
      <c r="CY103" s="250" t="s">
        <v>1091</v>
      </c>
      <c r="CZ103" s="254">
        <v>0</v>
      </c>
      <c r="DA103" s="250" t="s">
        <v>1091</v>
      </c>
      <c r="DB103" s="254">
        <v>0</v>
      </c>
      <c r="DC103" s="250" t="s">
        <v>1091</v>
      </c>
      <c r="DD103" s="254">
        <v>0</v>
      </c>
      <c r="DE103" s="250" t="s">
        <v>1091</v>
      </c>
      <c r="DF103" s="254">
        <v>0</v>
      </c>
      <c r="DG103" s="250" t="s">
        <v>1091</v>
      </c>
      <c r="DH103" s="254">
        <v>0</v>
      </c>
      <c r="DI103" s="250" t="s">
        <v>1091</v>
      </c>
      <c r="DJ103" s="254">
        <v>0</v>
      </c>
      <c r="DK103" s="250" t="s">
        <v>1091</v>
      </c>
      <c r="DL103" s="254">
        <v>0</v>
      </c>
      <c r="DM103" s="250" t="s">
        <v>1091</v>
      </c>
      <c r="DN103" s="254">
        <v>1</v>
      </c>
      <c r="DO103" s="250" t="s">
        <v>1091</v>
      </c>
      <c r="DP103" s="254">
        <v>1</v>
      </c>
      <c r="DQ103" s="250" t="s">
        <v>1091</v>
      </c>
      <c r="DR103" s="254">
        <v>1</v>
      </c>
      <c r="DS103" s="109"/>
      <c r="DT103" s="109"/>
      <c r="DU103" s="109"/>
      <c r="DV103" s="109"/>
      <c r="DW103" s="109"/>
      <c r="DX103" s="109"/>
      <c r="DY103" s="109"/>
      <c r="DZ103" s="109"/>
      <c r="EA103" s="109"/>
      <c r="EB103" s="109"/>
      <c r="EC103" s="109"/>
      <c r="ED103" s="109"/>
      <c r="EE103" s="109"/>
      <c r="EF103" s="109"/>
      <c r="EG103" s="109"/>
      <c r="EH103" s="109"/>
      <c r="EI103" s="109"/>
      <c r="EJ103" s="109"/>
      <c r="EK103" s="109"/>
      <c r="EL103" s="109"/>
      <c r="EM103" s="109"/>
      <c r="EN103" s="109"/>
      <c r="EO103" s="109"/>
      <c r="EP103" s="109"/>
      <c r="EQ103" s="109"/>
      <c r="ER103" s="109"/>
      <c r="ES103" s="109"/>
      <c r="ET103" s="109"/>
      <c r="EU103" s="109"/>
      <c r="EV103" s="109"/>
      <c r="EW103" s="109"/>
      <c r="EX103" s="109"/>
      <c r="EY103" s="109"/>
      <c r="EZ103" s="109"/>
      <c r="FA103" s="109"/>
      <c r="FB103" s="109"/>
      <c r="FC103" s="109"/>
      <c r="FD103" s="109"/>
      <c r="FE103" s="109"/>
      <c r="FF103" s="109"/>
      <c r="FG103" s="109"/>
      <c r="FH103" s="109"/>
      <c r="FI103" s="109"/>
      <c r="FJ103" s="109"/>
      <c r="FK103" s="109"/>
      <c r="FL103" s="109"/>
      <c r="FM103" s="109"/>
      <c r="FN103" s="109"/>
      <c r="FO103" s="109"/>
      <c r="FP103" s="109"/>
      <c r="FQ103" s="109"/>
      <c r="FR103" s="109"/>
      <c r="FS103" s="109"/>
      <c r="FT103" s="109"/>
      <c r="FU103" s="109"/>
      <c r="FV103" s="109"/>
      <c r="FW103" s="109"/>
      <c r="FX103" s="109"/>
      <c r="FY103" s="109"/>
      <c r="FZ103" s="109"/>
      <c r="GA103" s="109"/>
      <c r="GB103" s="109"/>
      <c r="GC103" s="109"/>
      <c r="GD103" s="109"/>
      <c r="GE103" s="109"/>
      <c r="GF103" s="109"/>
      <c r="GG103" s="109"/>
      <c r="GH103" s="109"/>
      <c r="GI103" s="109"/>
      <c r="GJ103" s="109"/>
      <c r="GK103" s="109"/>
      <c r="GL103" s="109"/>
      <c r="GM103" s="109"/>
      <c r="GN103" s="109"/>
      <c r="GO103" s="109"/>
      <c r="GP103" s="109"/>
      <c r="GQ103" s="109"/>
      <c r="GR103" s="109"/>
      <c r="GS103" s="109"/>
      <c r="GT103" s="109"/>
      <c r="GU103" s="109"/>
      <c r="GV103" s="109"/>
      <c r="GW103" s="109"/>
      <c r="GX103" s="109"/>
      <c r="GY103" s="109"/>
      <c r="GZ103" s="109"/>
      <c r="HA103" s="109"/>
      <c r="HB103" s="109"/>
      <c r="HC103" s="109"/>
      <c r="HD103" s="109"/>
      <c r="HE103" s="109"/>
      <c r="HF103" s="109"/>
      <c r="HG103" s="109"/>
      <c r="HH103" s="109"/>
      <c r="HI103" s="109"/>
      <c r="HJ103" s="109"/>
      <c r="HK103" s="109"/>
      <c r="HL103" s="109"/>
      <c r="HM103" s="109"/>
      <c r="HN103" s="109"/>
      <c r="HO103" s="109"/>
      <c r="HP103" s="109"/>
      <c r="HQ103" s="109"/>
      <c r="HR103" s="109"/>
      <c r="HS103" s="109"/>
      <c r="HT103" s="109"/>
      <c r="HU103" s="109"/>
      <c r="HV103" s="109"/>
      <c r="HW103" s="109"/>
      <c r="HX103" s="109"/>
      <c r="HY103" s="109"/>
      <c r="HZ103" s="109"/>
      <c r="IA103" s="109"/>
      <c r="IB103" s="109"/>
      <c r="IC103" s="109"/>
      <c r="ID103" s="109"/>
      <c r="IE103" s="109"/>
      <c r="IF103" s="109"/>
      <c r="IG103" s="109"/>
      <c r="IH103" s="109"/>
      <c r="II103" s="109"/>
      <c r="IJ103" s="109"/>
      <c r="IK103" s="109"/>
      <c r="IL103" s="109"/>
      <c r="IM103" s="109"/>
      <c r="IN103" s="109"/>
      <c r="IO103" s="109"/>
      <c r="IP103" s="109"/>
      <c r="IQ103" s="109"/>
      <c r="IR103" s="109"/>
      <c r="IS103" s="109"/>
      <c r="IT103" s="109"/>
      <c r="IU103" s="109"/>
      <c r="IV103" s="109"/>
      <c r="IW103" s="109"/>
      <c r="IX103" s="109"/>
      <c r="IY103" s="109"/>
      <c r="IZ103" s="109"/>
      <c r="JA103" s="109"/>
      <c r="JB103" s="109"/>
      <c r="JC103" s="109"/>
      <c r="JD103" s="109"/>
      <c r="JE103" s="109"/>
      <c r="JF103" s="109"/>
      <c r="JG103" s="109"/>
      <c r="JH103" s="109"/>
      <c r="JI103" s="109"/>
      <c r="JJ103" s="109"/>
      <c r="JK103" s="109"/>
      <c r="JL103" s="109"/>
      <c r="JM103" s="109"/>
      <c r="JN103" s="109"/>
      <c r="JO103" s="109"/>
      <c r="JP103" s="109"/>
      <c r="JQ103" s="109"/>
      <c r="JR103" s="109"/>
      <c r="JS103" s="109"/>
      <c r="JT103" s="109"/>
      <c r="JU103" s="109"/>
      <c r="JV103" s="109"/>
      <c r="JW103" s="109"/>
      <c r="JX103" s="109"/>
      <c r="JY103" s="109"/>
      <c r="JZ103" s="109"/>
      <c r="KA103" s="109"/>
      <c r="KB103" s="109"/>
      <c r="KC103" s="109"/>
      <c r="KD103" s="109"/>
      <c r="KE103" s="109"/>
      <c r="KF103" s="109"/>
      <c r="KG103" s="109"/>
      <c r="KH103" s="109"/>
      <c r="KI103" s="109"/>
      <c r="KJ103" s="109"/>
      <c r="KK103" s="109"/>
      <c r="KL103" s="109"/>
      <c r="KM103" s="109"/>
      <c r="KN103" s="109"/>
      <c r="KO103" s="109"/>
      <c r="KP103" s="109"/>
      <c r="KQ103" s="109"/>
      <c r="KR103" s="109"/>
      <c r="KS103" s="109"/>
      <c r="KT103" s="109"/>
      <c r="KU103" s="109"/>
      <c r="KV103" s="109"/>
      <c r="KW103" s="109"/>
      <c r="KX103" s="109"/>
      <c r="KY103" s="109"/>
      <c r="KZ103" s="109"/>
      <c r="LA103" s="109"/>
      <c r="LB103" s="109"/>
      <c r="LC103" s="109"/>
      <c r="LD103" s="109"/>
      <c r="LE103" s="109"/>
      <c r="LF103" s="109"/>
      <c r="LG103" s="109"/>
      <c r="LH103" s="109"/>
      <c r="LI103" s="109"/>
      <c r="LJ103" s="109"/>
      <c r="LK103" s="109"/>
      <c r="LL103" s="109"/>
      <c r="LM103" s="109"/>
      <c r="LN103" s="109"/>
      <c r="LO103" s="109"/>
      <c r="LP103" s="109"/>
      <c r="LQ103" s="109"/>
      <c r="LR103" s="109"/>
      <c r="LS103" s="109"/>
      <c r="LT103" s="109"/>
      <c r="LU103" s="109"/>
      <c r="LV103" s="109"/>
      <c r="LW103" s="109"/>
      <c r="LX103" s="109"/>
      <c r="LY103" s="109"/>
      <c r="LZ103" s="109"/>
      <c r="MA103" s="109"/>
      <c r="MB103" s="109"/>
      <c r="MC103" s="109"/>
      <c r="MD103" s="109"/>
      <c r="ME103" s="109"/>
      <c r="MF103" s="109"/>
      <c r="MG103" s="109"/>
      <c r="MH103" s="150"/>
      <c r="MI103" s="109"/>
      <c r="MJ103" s="109"/>
      <c r="MK103" s="109"/>
      <c r="ML103" s="109"/>
      <c r="MM103" s="109"/>
      <c r="MN103" s="109"/>
      <c r="MO103" s="109"/>
      <c r="MP103" s="109"/>
      <c r="MQ103" s="109"/>
      <c r="MR103" s="109"/>
      <c r="MS103" s="109"/>
      <c r="MT103" s="109"/>
      <c r="MU103" s="109"/>
      <c r="MV103" s="109"/>
      <c r="MW103" s="109"/>
      <c r="MX103" s="109"/>
      <c r="MY103" s="109"/>
      <c r="MZ103" s="109"/>
      <c r="NA103" s="109"/>
      <c r="NB103" s="109"/>
    </row>
    <row r="104" spans="1:366" s="261" customFormat="1" x14ac:dyDescent="0.25">
      <c r="A104" s="113">
        <v>0</v>
      </c>
      <c r="B104" s="161" t="s">
        <v>1104</v>
      </c>
      <c r="C104" s="250" t="s">
        <v>1092</v>
      </c>
      <c r="D104" s="254">
        <v>0</v>
      </c>
      <c r="E104" s="250" t="s">
        <v>1092</v>
      </c>
      <c r="F104" s="254">
        <v>0</v>
      </c>
      <c r="G104" s="250" t="s">
        <v>1092</v>
      </c>
      <c r="H104" s="254">
        <v>0</v>
      </c>
      <c r="I104" s="250" t="s">
        <v>1092</v>
      </c>
      <c r="J104" s="254">
        <v>0</v>
      </c>
      <c r="K104" s="250" t="s">
        <v>1092</v>
      </c>
      <c r="L104" s="254">
        <v>1</v>
      </c>
      <c r="M104" s="250" t="s">
        <v>1092</v>
      </c>
      <c r="N104" s="254">
        <v>1</v>
      </c>
      <c r="O104" s="250" t="s">
        <v>1092</v>
      </c>
      <c r="P104" s="254">
        <v>1</v>
      </c>
      <c r="Q104" s="250" t="s">
        <v>1092</v>
      </c>
      <c r="R104" s="254">
        <v>0</v>
      </c>
      <c r="S104" s="250" t="s">
        <v>1092</v>
      </c>
      <c r="T104" s="254">
        <v>0</v>
      </c>
      <c r="U104" s="250" t="s">
        <v>1092</v>
      </c>
      <c r="V104" s="254">
        <v>0</v>
      </c>
      <c r="W104" s="250" t="s">
        <v>1092</v>
      </c>
      <c r="X104" s="254">
        <v>0</v>
      </c>
      <c r="Y104" s="250" t="s">
        <v>1092</v>
      </c>
      <c r="Z104" s="254">
        <v>1</v>
      </c>
      <c r="AA104" s="250" t="s">
        <v>1092</v>
      </c>
      <c r="AB104" s="254">
        <v>1</v>
      </c>
      <c r="AC104" s="250" t="s">
        <v>1092</v>
      </c>
      <c r="AD104" s="254">
        <v>1</v>
      </c>
      <c r="AE104" s="250" t="s">
        <v>1092</v>
      </c>
      <c r="AF104" s="254">
        <v>1</v>
      </c>
      <c r="AG104" s="250" t="s">
        <v>1092</v>
      </c>
      <c r="AH104" s="254">
        <v>1</v>
      </c>
      <c r="AI104" s="250" t="s">
        <v>1092</v>
      </c>
      <c r="AJ104" s="254">
        <v>0</v>
      </c>
      <c r="AK104" s="250" t="s">
        <v>1092</v>
      </c>
      <c r="AL104" s="254">
        <v>0</v>
      </c>
      <c r="AM104" s="250" t="s">
        <v>1092</v>
      </c>
      <c r="AN104" s="254">
        <v>0</v>
      </c>
      <c r="AO104" s="250" t="s">
        <v>1092</v>
      </c>
      <c r="AP104" s="254">
        <v>0</v>
      </c>
      <c r="AQ104" s="250" t="s">
        <v>1092</v>
      </c>
      <c r="AR104" s="254">
        <v>0</v>
      </c>
      <c r="AS104" s="250" t="s">
        <v>1092</v>
      </c>
      <c r="AT104" s="254">
        <v>0</v>
      </c>
      <c r="AU104" s="250" t="s">
        <v>1092</v>
      </c>
      <c r="AV104" s="254">
        <v>0</v>
      </c>
      <c r="AW104" s="250" t="s">
        <v>1092</v>
      </c>
      <c r="AX104" s="254">
        <v>1</v>
      </c>
      <c r="AY104" s="250" t="s">
        <v>1092</v>
      </c>
      <c r="AZ104" s="254">
        <v>1</v>
      </c>
      <c r="BA104" s="250" t="s">
        <v>1092</v>
      </c>
      <c r="BB104" s="254">
        <v>0</v>
      </c>
      <c r="BC104" s="250" t="s">
        <v>1092</v>
      </c>
      <c r="BD104" s="254">
        <v>0</v>
      </c>
      <c r="BE104" s="250" t="s">
        <v>1092</v>
      </c>
      <c r="BF104" s="254">
        <v>1</v>
      </c>
      <c r="BG104" s="250" t="s">
        <v>1092</v>
      </c>
      <c r="BH104" s="254">
        <v>0</v>
      </c>
      <c r="BI104" s="250" t="s">
        <v>1092</v>
      </c>
      <c r="BJ104" s="254">
        <v>1</v>
      </c>
      <c r="BK104" s="250" t="s">
        <v>1092</v>
      </c>
      <c r="BL104" s="254">
        <v>1</v>
      </c>
      <c r="BM104" s="250" t="s">
        <v>1092</v>
      </c>
      <c r="BN104" s="254">
        <v>1</v>
      </c>
      <c r="BO104" s="250" t="s">
        <v>1092</v>
      </c>
      <c r="BP104" s="254">
        <v>1</v>
      </c>
      <c r="BQ104" s="250" t="s">
        <v>1092</v>
      </c>
      <c r="BR104" s="254">
        <v>1</v>
      </c>
      <c r="BS104" s="250" t="s">
        <v>1092</v>
      </c>
      <c r="BT104" s="254">
        <v>1</v>
      </c>
      <c r="BU104" s="250" t="s">
        <v>1092</v>
      </c>
      <c r="BV104" s="254">
        <v>0</v>
      </c>
      <c r="BW104" s="250" t="s">
        <v>1092</v>
      </c>
      <c r="BX104" s="254">
        <v>0</v>
      </c>
      <c r="BY104" s="250" t="s">
        <v>1092</v>
      </c>
      <c r="BZ104" s="254">
        <v>0</v>
      </c>
      <c r="CA104" s="250" t="s">
        <v>1092</v>
      </c>
      <c r="CB104" s="254">
        <v>0</v>
      </c>
      <c r="CC104" s="250" t="s">
        <v>1092</v>
      </c>
      <c r="CD104" s="254">
        <v>0</v>
      </c>
      <c r="CE104" s="250" t="s">
        <v>1092</v>
      </c>
      <c r="CF104" s="254">
        <v>0</v>
      </c>
      <c r="CG104" s="250" t="s">
        <v>1092</v>
      </c>
      <c r="CH104" s="254">
        <v>0</v>
      </c>
      <c r="CI104" s="250" t="s">
        <v>1092</v>
      </c>
      <c r="CJ104" s="254">
        <v>0</v>
      </c>
      <c r="CK104" s="250" t="s">
        <v>1092</v>
      </c>
      <c r="CL104" s="254">
        <v>0</v>
      </c>
      <c r="CM104" s="250" t="s">
        <v>1092</v>
      </c>
      <c r="CN104" s="254">
        <v>0</v>
      </c>
      <c r="CO104" s="250" t="s">
        <v>1092</v>
      </c>
      <c r="CP104" s="254">
        <v>0</v>
      </c>
      <c r="CQ104" s="250" t="s">
        <v>1092</v>
      </c>
      <c r="CR104" s="254">
        <v>0</v>
      </c>
      <c r="CS104" s="250" t="s">
        <v>1092</v>
      </c>
      <c r="CT104" s="254">
        <v>0</v>
      </c>
      <c r="CU104" s="250" t="s">
        <v>1092</v>
      </c>
      <c r="CV104" s="254">
        <v>0</v>
      </c>
      <c r="CW104" s="250" t="s">
        <v>1092</v>
      </c>
      <c r="CX104" s="254">
        <v>0</v>
      </c>
      <c r="CY104" s="250" t="s">
        <v>1092</v>
      </c>
      <c r="CZ104" s="254">
        <v>0</v>
      </c>
      <c r="DA104" s="250" t="s">
        <v>1092</v>
      </c>
      <c r="DB104" s="254">
        <v>0</v>
      </c>
      <c r="DC104" s="250" t="s">
        <v>1092</v>
      </c>
      <c r="DD104" s="254">
        <v>0</v>
      </c>
      <c r="DE104" s="250" t="s">
        <v>1092</v>
      </c>
      <c r="DF104" s="254">
        <v>0</v>
      </c>
      <c r="DG104" s="250" t="s">
        <v>1092</v>
      </c>
      <c r="DH104" s="254">
        <v>1</v>
      </c>
      <c r="DI104" s="250" t="s">
        <v>1092</v>
      </c>
      <c r="DJ104" s="254">
        <v>1</v>
      </c>
      <c r="DK104" s="250" t="s">
        <v>1092</v>
      </c>
      <c r="DL104" s="254">
        <v>1</v>
      </c>
      <c r="DM104" s="250" t="s">
        <v>1092</v>
      </c>
      <c r="DN104" s="254">
        <v>1</v>
      </c>
      <c r="DO104" s="250" t="s">
        <v>1092</v>
      </c>
      <c r="DP104" s="254">
        <v>1</v>
      </c>
      <c r="DQ104" s="250" t="s">
        <v>1092</v>
      </c>
      <c r="DR104" s="254">
        <v>1</v>
      </c>
      <c r="DS104" s="109"/>
      <c r="DT104" s="109"/>
      <c r="DU104" s="109"/>
      <c r="DV104" s="109"/>
      <c r="DW104" s="109"/>
      <c r="DX104" s="109"/>
      <c r="DY104" s="109"/>
      <c r="DZ104" s="109"/>
      <c r="EA104" s="109"/>
      <c r="EB104" s="109"/>
      <c r="EC104" s="109"/>
      <c r="ED104" s="109"/>
      <c r="EE104" s="109"/>
      <c r="EF104" s="109"/>
      <c r="EG104" s="109"/>
      <c r="EH104" s="109"/>
      <c r="EI104" s="109"/>
      <c r="EJ104" s="109"/>
      <c r="EK104" s="109"/>
      <c r="EL104" s="109"/>
      <c r="EM104" s="109"/>
      <c r="EN104" s="109"/>
      <c r="EO104" s="109"/>
      <c r="EP104" s="109"/>
      <c r="EQ104" s="109"/>
      <c r="ER104" s="109"/>
      <c r="ES104" s="109"/>
      <c r="ET104" s="109"/>
      <c r="EU104" s="109"/>
      <c r="EV104" s="109"/>
      <c r="EW104" s="109"/>
      <c r="EX104" s="109"/>
      <c r="EY104" s="109"/>
      <c r="EZ104" s="109"/>
      <c r="FA104" s="109"/>
      <c r="FB104" s="109"/>
      <c r="FC104" s="109"/>
      <c r="FD104" s="109"/>
      <c r="FE104" s="109"/>
      <c r="FF104" s="109"/>
      <c r="FG104" s="109"/>
      <c r="FH104" s="109"/>
      <c r="FI104" s="109"/>
      <c r="FJ104" s="109"/>
      <c r="FK104" s="109"/>
      <c r="FL104" s="109"/>
      <c r="FM104" s="109"/>
      <c r="FN104" s="109"/>
      <c r="FO104" s="109"/>
      <c r="FP104" s="109"/>
      <c r="FQ104" s="109"/>
      <c r="FR104" s="109"/>
      <c r="FS104" s="109"/>
      <c r="FT104" s="109"/>
      <c r="FU104" s="109"/>
      <c r="FV104" s="109"/>
      <c r="FW104" s="109"/>
      <c r="FX104" s="109"/>
      <c r="FY104" s="109"/>
      <c r="FZ104" s="109"/>
      <c r="GA104" s="109"/>
      <c r="GB104" s="109"/>
      <c r="GC104" s="109"/>
      <c r="GD104" s="109"/>
      <c r="GE104" s="109"/>
      <c r="GF104" s="109"/>
      <c r="GG104" s="109"/>
      <c r="GH104" s="109"/>
      <c r="GI104" s="109"/>
      <c r="GJ104" s="109"/>
      <c r="GK104" s="109"/>
      <c r="GL104" s="109"/>
      <c r="GM104" s="109"/>
      <c r="GN104" s="109"/>
      <c r="GO104" s="109"/>
      <c r="GP104" s="109"/>
      <c r="GQ104" s="109"/>
      <c r="GR104" s="109"/>
      <c r="GS104" s="109"/>
      <c r="GT104" s="109"/>
      <c r="GU104" s="109"/>
      <c r="GV104" s="109"/>
      <c r="GW104" s="109"/>
      <c r="GX104" s="109"/>
      <c r="GY104" s="109"/>
      <c r="GZ104" s="109"/>
      <c r="HA104" s="109"/>
      <c r="HB104" s="109"/>
      <c r="HC104" s="109"/>
      <c r="HD104" s="109"/>
      <c r="HE104" s="109"/>
      <c r="HF104" s="109"/>
      <c r="HG104" s="109"/>
      <c r="HH104" s="109"/>
      <c r="HI104" s="109"/>
      <c r="HJ104" s="109"/>
      <c r="HK104" s="109"/>
      <c r="HL104" s="109"/>
      <c r="HM104" s="109"/>
      <c r="HN104" s="109"/>
      <c r="HO104" s="109"/>
      <c r="HP104" s="109"/>
      <c r="HQ104" s="109"/>
      <c r="HR104" s="109"/>
      <c r="HS104" s="109"/>
      <c r="HT104" s="109"/>
      <c r="HU104" s="109"/>
      <c r="HV104" s="109"/>
      <c r="HW104" s="109"/>
      <c r="HX104" s="109"/>
      <c r="HY104" s="109"/>
      <c r="HZ104" s="109"/>
      <c r="IA104" s="109"/>
      <c r="IB104" s="109"/>
      <c r="IC104" s="109"/>
      <c r="ID104" s="109"/>
      <c r="IE104" s="109"/>
      <c r="IF104" s="109"/>
      <c r="IG104" s="109"/>
      <c r="IH104" s="109"/>
      <c r="II104" s="109"/>
      <c r="IJ104" s="109"/>
      <c r="IK104" s="109"/>
      <c r="IL104" s="109"/>
      <c r="IM104" s="109"/>
      <c r="IN104" s="109"/>
      <c r="IO104" s="109"/>
      <c r="IP104" s="109"/>
      <c r="IQ104" s="109"/>
      <c r="IR104" s="109"/>
      <c r="IS104" s="109"/>
      <c r="IT104" s="109"/>
      <c r="IU104" s="109"/>
      <c r="IV104" s="109"/>
      <c r="IW104" s="109"/>
      <c r="IX104" s="109"/>
      <c r="IY104" s="109"/>
      <c r="IZ104" s="109"/>
      <c r="JA104" s="109"/>
      <c r="JB104" s="109"/>
      <c r="JC104" s="109"/>
      <c r="JD104" s="109"/>
      <c r="JE104" s="109"/>
      <c r="JF104" s="109"/>
      <c r="JG104" s="109"/>
      <c r="JH104" s="109"/>
      <c r="JI104" s="109"/>
      <c r="JJ104" s="109"/>
      <c r="JK104" s="109"/>
      <c r="JL104" s="109"/>
      <c r="JM104" s="109"/>
      <c r="JN104" s="109"/>
      <c r="JO104" s="109"/>
      <c r="JP104" s="109"/>
      <c r="JQ104" s="109"/>
      <c r="JR104" s="109"/>
      <c r="JS104" s="109"/>
      <c r="JT104" s="109"/>
      <c r="JU104" s="109"/>
      <c r="JV104" s="109"/>
      <c r="JW104" s="109"/>
      <c r="JX104" s="109"/>
      <c r="JY104" s="109"/>
      <c r="JZ104" s="109"/>
      <c r="KA104" s="109"/>
      <c r="KB104" s="109"/>
      <c r="KC104" s="109"/>
      <c r="KD104" s="109"/>
      <c r="KE104" s="109"/>
      <c r="KF104" s="109"/>
      <c r="KG104" s="109"/>
      <c r="KH104" s="109"/>
      <c r="KI104" s="109"/>
      <c r="KJ104" s="109"/>
      <c r="KK104" s="109"/>
      <c r="KL104" s="109"/>
      <c r="KM104" s="109"/>
      <c r="KN104" s="109"/>
      <c r="KO104" s="109"/>
      <c r="KP104" s="109"/>
      <c r="KQ104" s="109"/>
      <c r="KR104" s="109"/>
      <c r="KS104" s="109"/>
      <c r="KT104" s="109"/>
      <c r="KU104" s="109"/>
      <c r="KV104" s="109"/>
      <c r="KW104" s="109"/>
      <c r="KX104" s="109"/>
      <c r="KY104" s="109"/>
      <c r="KZ104" s="109"/>
      <c r="LA104" s="109"/>
      <c r="LB104" s="109"/>
      <c r="LC104" s="109"/>
      <c r="LD104" s="109"/>
      <c r="LE104" s="109"/>
      <c r="LF104" s="109"/>
      <c r="LG104" s="109"/>
      <c r="LH104" s="109"/>
      <c r="LI104" s="109"/>
      <c r="LJ104" s="109"/>
      <c r="LK104" s="109"/>
      <c r="LL104" s="109"/>
      <c r="LM104" s="109"/>
      <c r="LN104" s="109"/>
      <c r="LO104" s="109"/>
      <c r="LP104" s="109"/>
      <c r="LQ104" s="109"/>
      <c r="LR104" s="109"/>
      <c r="LS104" s="109"/>
      <c r="LT104" s="109"/>
      <c r="LU104" s="109"/>
      <c r="LV104" s="109"/>
      <c r="LW104" s="109"/>
      <c r="LX104" s="109"/>
      <c r="LY104" s="109"/>
      <c r="LZ104" s="109"/>
      <c r="MA104" s="109"/>
      <c r="MB104" s="109"/>
      <c r="MC104" s="109"/>
      <c r="MD104" s="109"/>
      <c r="ME104" s="109"/>
      <c r="MF104" s="109"/>
      <c r="MG104" s="109"/>
      <c r="MH104" s="150"/>
      <c r="MI104" s="109"/>
      <c r="MJ104" s="109"/>
      <c r="MK104" s="109"/>
      <c r="ML104" s="109"/>
      <c r="MM104" s="109"/>
      <c r="MN104" s="109"/>
      <c r="MO104" s="109"/>
      <c r="MP104" s="109"/>
      <c r="MQ104" s="109"/>
      <c r="MR104" s="109"/>
      <c r="MS104" s="109"/>
      <c r="MT104" s="109"/>
      <c r="MU104" s="109"/>
      <c r="MV104" s="109"/>
      <c r="MW104" s="109"/>
      <c r="MX104" s="109"/>
      <c r="MY104" s="109"/>
      <c r="MZ104" s="109"/>
      <c r="NA104" s="109"/>
      <c r="NB104" s="109"/>
    </row>
    <row r="105" spans="1:366" s="261" customFormat="1" x14ac:dyDescent="0.25">
      <c r="A105" s="113">
        <v>0</v>
      </c>
      <c r="B105" s="161" t="s">
        <v>1105</v>
      </c>
      <c r="C105" s="250" t="s">
        <v>1093</v>
      </c>
      <c r="D105" s="254">
        <v>0</v>
      </c>
      <c r="E105" s="250" t="s">
        <v>1093</v>
      </c>
      <c r="F105" s="254">
        <v>0</v>
      </c>
      <c r="G105" s="250" t="s">
        <v>1093</v>
      </c>
      <c r="H105" s="254">
        <v>1</v>
      </c>
      <c r="I105" s="250" t="s">
        <v>1093</v>
      </c>
      <c r="J105" s="254">
        <v>0</v>
      </c>
      <c r="K105" s="250" t="s">
        <v>1093</v>
      </c>
      <c r="L105" s="254">
        <v>0</v>
      </c>
      <c r="M105" s="250" t="s">
        <v>1093</v>
      </c>
      <c r="N105" s="254">
        <v>0</v>
      </c>
      <c r="O105" s="250" t="s">
        <v>1093</v>
      </c>
      <c r="P105" s="254">
        <v>0</v>
      </c>
      <c r="Q105" s="250" t="s">
        <v>1093</v>
      </c>
      <c r="R105" s="254">
        <v>0</v>
      </c>
      <c r="S105" s="250" t="s">
        <v>1093</v>
      </c>
      <c r="T105" s="254">
        <v>0</v>
      </c>
      <c r="U105" s="250" t="s">
        <v>1093</v>
      </c>
      <c r="V105" s="254">
        <v>1</v>
      </c>
      <c r="W105" s="250" t="s">
        <v>1093</v>
      </c>
      <c r="X105" s="254">
        <v>6.8181044432072346E-2</v>
      </c>
      <c r="Y105" s="250" t="s">
        <v>1093</v>
      </c>
      <c r="Z105" s="254">
        <v>0</v>
      </c>
      <c r="AA105" s="250" t="s">
        <v>1093</v>
      </c>
      <c r="AB105" s="254">
        <v>0</v>
      </c>
      <c r="AC105" s="250" t="s">
        <v>1093</v>
      </c>
      <c r="AD105" s="254">
        <v>0</v>
      </c>
      <c r="AE105" s="250" t="s">
        <v>1093</v>
      </c>
      <c r="AF105" s="254">
        <v>0</v>
      </c>
      <c r="AG105" s="250" t="s">
        <v>1093</v>
      </c>
      <c r="AH105" s="254">
        <v>0</v>
      </c>
      <c r="AI105" s="250" t="s">
        <v>1093</v>
      </c>
      <c r="AJ105" s="254">
        <v>0</v>
      </c>
      <c r="AK105" s="250" t="s">
        <v>1093</v>
      </c>
      <c r="AL105" s="254">
        <v>0</v>
      </c>
      <c r="AM105" s="250" t="s">
        <v>1093</v>
      </c>
      <c r="AN105" s="254">
        <v>0</v>
      </c>
      <c r="AO105" s="250" t="s">
        <v>1093</v>
      </c>
      <c r="AP105" s="254">
        <v>0</v>
      </c>
      <c r="AQ105" s="250" t="s">
        <v>1093</v>
      </c>
      <c r="AR105" s="254">
        <v>0</v>
      </c>
      <c r="AS105" s="250" t="s">
        <v>1093</v>
      </c>
      <c r="AT105" s="254">
        <v>0</v>
      </c>
      <c r="AU105" s="250" t="s">
        <v>1093</v>
      </c>
      <c r="AV105" s="254">
        <v>8.8887902564684318E-2</v>
      </c>
      <c r="AW105" s="250" t="s">
        <v>1093</v>
      </c>
      <c r="AX105" s="254">
        <v>0</v>
      </c>
      <c r="AY105" s="250" t="s">
        <v>1093</v>
      </c>
      <c r="AZ105" s="254">
        <v>0</v>
      </c>
      <c r="BA105" s="250" t="s">
        <v>1093</v>
      </c>
      <c r="BB105" s="254">
        <v>1</v>
      </c>
      <c r="BC105" s="250" t="s">
        <v>1093</v>
      </c>
      <c r="BD105" s="254">
        <v>1</v>
      </c>
      <c r="BE105" s="250" t="s">
        <v>1093</v>
      </c>
      <c r="BF105" s="254">
        <v>0</v>
      </c>
      <c r="BG105" s="250" t="s">
        <v>1093</v>
      </c>
      <c r="BH105" s="254">
        <v>1.5999808258744842E-2</v>
      </c>
      <c r="BI105" s="250" t="s">
        <v>1093</v>
      </c>
      <c r="BJ105" s="254">
        <v>0</v>
      </c>
      <c r="BK105" s="250" t="s">
        <v>1093</v>
      </c>
      <c r="BL105" s="254">
        <v>0</v>
      </c>
      <c r="BM105" s="250" t="s">
        <v>1093</v>
      </c>
      <c r="BN105" s="254">
        <v>6.9203315266122148E-3</v>
      </c>
      <c r="BO105" s="250" t="s">
        <v>1093</v>
      </c>
      <c r="BP105" s="254">
        <v>1</v>
      </c>
      <c r="BQ105" s="250" t="s">
        <v>1093</v>
      </c>
      <c r="BR105" s="254">
        <v>1</v>
      </c>
      <c r="BS105" s="250" t="s">
        <v>1093</v>
      </c>
      <c r="BT105" s="254">
        <v>1</v>
      </c>
      <c r="BU105" s="250" t="s">
        <v>1093</v>
      </c>
      <c r="BV105" s="254">
        <v>0</v>
      </c>
      <c r="BW105" s="250" t="s">
        <v>1093</v>
      </c>
      <c r="BX105" s="254">
        <v>1</v>
      </c>
      <c r="BY105" s="250" t="s">
        <v>1093</v>
      </c>
      <c r="BZ105" s="254">
        <v>1.2048047807762729E-2</v>
      </c>
      <c r="CA105" s="250" t="s">
        <v>1093</v>
      </c>
      <c r="CB105" s="254">
        <v>0</v>
      </c>
      <c r="CC105" s="250" t="s">
        <v>1093</v>
      </c>
      <c r="CD105" s="254">
        <v>1</v>
      </c>
      <c r="CE105" s="250" t="s">
        <v>1093</v>
      </c>
      <c r="CF105" s="254">
        <v>1.2048047807762729E-2</v>
      </c>
      <c r="CG105" s="250" t="s">
        <v>1093</v>
      </c>
      <c r="CH105" s="254">
        <v>0</v>
      </c>
      <c r="CI105" s="250" t="s">
        <v>1093</v>
      </c>
      <c r="CJ105" s="254">
        <v>1</v>
      </c>
      <c r="CK105" s="250" t="s">
        <v>1093</v>
      </c>
      <c r="CL105" s="254">
        <v>1.2048047807762729E-2</v>
      </c>
      <c r="CM105" s="250" t="s">
        <v>1093</v>
      </c>
      <c r="CN105" s="254">
        <v>0</v>
      </c>
      <c r="CO105" s="250" t="s">
        <v>1093</v>
      </c>
      <c r="CP105" s="254">
        <v>0</v>
      </c>
      <c r="CQ105" s="250" t="s">
        <v>1093</v>
      </c>
      <c r="CR105" s="254">
        <v>0</v>
      </c>
      <c r="CS105" s="250" t="s">
        <v>1093</v>
      </c>
      <c r="CT105" s="254">
        <v>0</v>
      </c>
      <c r="CU105" s="250" t="s">
        <v>1093</v>
      </c>
      <c r="CV105" s="254">
        <v>0</v>
      </c>
      <c r="CW105" s="250" t="s">
        <v>1093</v>
      </c>
      <c r="CX105" s="254">
        <v>0</v>
      </c>
      <c r="CY105" s="250" t="s">
        <v>1093</v>
      </c>
      <c r="CZ105" s="254">
        <v>0</v>
      </c>
      <c r="DA105" s="250" t="s">
        <v>1093</v>
      </c>
      <c r="DB105" s="254">
        <v>0</v>
      </c>
      <c r="DC105" s="250" t="s">
        <v>1093</v>
      </c>
      <c r="DD105" s="254">
        <v>0</v>
      </c>
      <c r="DE105" s="250" t="s">
        <v>1093</v>
      </c>
      <c r="DF105" s="254">
        <v>0</v>
      </c>
      <c r="DG105" s="250" t="s">
        <v>1093</v>
      </c>
      <c r="DH105" s="254">
        <v>0</v>
      </c>
      <c r="DI105" s="250" t="s">
        <v>1093</v>
      </c>
      <c r="DJ105" s="254">
        <v>0</v>
      </c>
      <c r="DK105" s="250" t="s">
        <v>1093</v>
      </c>
      <c r="DL105" s="254">
        <v>0</v>
      </c>
      <c r="DM105" s="250" t="s">
        <v>1093</v>
      </c>
      <c r="DN105" s="254">
        <v>0.13985867477058481</v>
      </c>
      <c r="DO105" s="250" t="s">
        <v>1093</v>
      </c>
      <c r="DP105" s="254">
        <v>0</v>
      </c>
      <c r="DQ105" s="250" t="s">
        <v>1093</v>
      </c>
      <c r="DR105" s="254">
        <v>0</v>
      </c>
      <c r="DS105" s="109"/>
      <c r="DT105" s="109"/>
      <c r="DU105" s="109"/>
      <c r="DV105" s="109"/>
      <c r="DW105" s="109"/>
      <c r="DX105" s="109"/>
      <c r="DY105" s="109"/>
      <c r="DZ105" s="109"/>
      <c r="EA105" s="109"/>
      <c r="EB105" s="109"/>
      <c r="EC105" s="109"/>
      <c r="ED105" s="109"/>
      <c r="EE105" s="109"/>
      <c r="EF105" s="109"/>
      <c r="EG105" s="109"/>
      <c r="EH105" s="109"/>
      <c r="EI105" s="109"/>
      <c r="EJ105" s="109"/>
      <c r="EK105" s="109"/>
      <c r="EL105" s="109"/>
      <c r="EM105" s="109"/>
      <c r="EN105" s="109"/>
      <c r="EO105" s="109"/>
      <c r="EP105" s="109"/>
      <c r="EQ105" s="109"/>
      <c r="ER105" s="109"/>
      <c r="ES105" s="109"/>
      <c r="ET105" s="109"/>
      <c r="EU105" s="109"/>
      <c r="EV105" s="109"/>
      <c r="EW105" s="109"/>
      <c r="EX105" s="109"/>
      <c r="EY105" s="109"/>
      <c r="EZ105" s="109"/>
      <c r="FA105" s="109"/>
      <c r="FB105" s="109"/>
      <c r="FC105" s="109"/>
      <c r="FD105" s="109"/>
      <c r="FE105" s="109"/>
      <c r="FF105" s="109"/>
      <c r="FG105" s="109"/>
      <c r="FH105" s="109"/>
      <c r="FI105" s="109"/>
      <c r="FJ105" s="109"/>
      <c r="FK105" s="109"/>
      <c r="FL105" s="109"/>
      <c r="FM105" s="109"/>
      <c r="FN105" s="109"/>
      <c r="FO105" s="109"/>
      <c r="FP105" s="109"/>
      <c r="FQ105" s="109"/>
      <c r="FR105" s="109"/>
      <c r="FS105" s="109"/>
      <c r="FT105" s="109"/>
      <c r="FU105" s="109"/>
      <c r="FV105" s="109"/>
      <c r="FW105" s="109"/>
      <c r="FX105" s="109"/>
      <c r="FY105" s="109"/>
      <c r="FZ105" s="109"/>
      <c r="GA105" s="109"/>
      <c r="GB105" s="109"/>
      <c r="GC105" s="109"/>
      <c r="GD105" s="109"/>
      <c r="GE105" s="109"/>
      <c r="GF105" s="109"/>
      <c r="GG105" s="109"/>
      <c r="GH105" s="109"/>
      <c r="GI105" s="109"/>
      <c r="GJ105" s="109"/>
      <c r="GK105" s="109"/>
      <c r="GL105" s="109"/>
      <c r="GM105" s="109"/>
      <c r="GN105" s="109"/>
      <c r="GO105" s="109"/>
      <c r="GP105" s="109"/>
      <c r="GQ105" s="109"/>
      <c r="GR105" s="109"/>
      <c r="GS105" s="109"/>
      <c r="GT105" s="109"/>
      <c r="GU105" s="109"/>
      <c r="GV105" s="109"/>
      <c r="GW105" s="109"/>
      <c r="GX105" s="109"/>
      <c r="GY105" s="109"/>
      <c r="GZ105" s="109"/>
      <c r="HA105" s="109"/>
      <c r="HB105" s="109"/>
      <c r="HC105" s="109"/>
      <c r="HD105" s="109"/>
      <c r="HE105" s="109"/>
      <c r="HF105" s="109"/>
      <c r="HG105" s="109"/>
      <c r="HH105" s="109"/>
      <c r="HI105" s="109"/>
      <c r="HJ105" s="109"/>
      <c r="HK105" s="109"/>
      <c r="HL105" s="109"/>
      <c r="HM105" s="109"/>
      <c r="HN105" s="109"/>
      <c r="HO105" s="109"/>
      <c r="HP105" s="109"/>
      <c r="HQ105" s="109"/>
      <c r="HR105" s="109"/>
      <c r="HS105" s="109"/>
      <c r="HT105" s="109"/>
      <c r="HU105" s="109"/>
      <c r="HV105" s="109"/>
      <c r="HW105" s="109"/>
      <c r="HX105" s="109"/>
      <c r="HY105" s="109"/>
      <c r="HZ105" s="109"/>
      <c r="IA105" s="109"/>
      <c r="IB105" s="109"/>
      <c r="IC105" s="109"/>
      <c r="ID105" s="109"/>
      <c r="IE105" s="109"/>
      <c r="IF105" s="109"/>
      <c r="IG105" s="109"/>
      <c r="IH105" s="109"/>
      <c r="II105" s="109"/>
      <c r="IJ105" s="109"/>
      <c r="IK105" s="109"/>
      <c r="IL105" s="109"/>
      <c r="IM105" s="109"/>
      <c r="IN105" s="109"/>
      <c r="IO105" s="109"/>
      <c r="IP105" s="109"/>
      <c r="IQ105" s="109"/>
      <c r="IR105" s="109"/>
      <c r="IS105" s="109"/>
      <c r="IT105" s="109"/>
      <c r="IU105" s="109"/>
      <c r="IV105" s="109"/>
      <c r="IW105" s="109"/>
      <c r="IX105" s="109"/>
      <c r="IY105" s="109"/>
      <c r="IZ105" s="109"/>
      <c r="JA105" s="109"/>
      <c r="JB105" s="109"/>
      <c r="JC105" s="109"/>
      <c r="JD105" s="109"/>
      <c r="JE105" s="109"/>
      <c r="JF105" s="109"/>
      <c r="JG105" s="109"/>
      <c r="JH105" s="109"/>
      <c r="JI105" s="109"/>
      <c r="JJ105" s="109"/>
      <c r="JK105" s="109"/>
      <c r="JL105" s="109"/>
      <c r="JM105" s="109"/>
      <c r="JN105" s="109"/>
      <c r="JO105" s="109"/>
      <c r="JP105" s="109"/>
      <c r="JQ105" s="109"/>
      <c r="JR105" s="109"/>
      <c r="JS105" s="109"/>
      <c r="JT105" s="109"/>
      <c r="JU105" s="109"/>
      <c r="JV105" s="109"/>
      <c r="JW105" s="109"/>
      <c r="JX105" s="109"/>
      <c r="JY105" s="109"/>
      <c r="JZ105" s="109"/>
      <c r="KA105" s="109"/>
      <c r="KB105" s="109"/>
      <c r="KC105" s="109"/>
      <c r="KD105" s="109"/>
      <c r="KE105" s="109"/>
      <c r="KF105" s="109"/>
      <c r="KG105" s="109"/>
      <c r="KH105" s="109"/>
      <c r="KI105" s="109"/>
      <c r="KJ105" s="109"/>
      <c r="KK105" s="109"/>
      <c r="KL105" s="109"/>
      <c r="KM105" s="109"/>
      <c r="KN105" s="109"/>
      <c r="KO105" s="109"/>
      <c r="KP105" s="109"/>
      <c r="KQ105" s="109"/>
      <c r="KR105" s="109"/>
      <c r="KS105" s="109"/>
      <c r="KT105" s="109"/>
      <c r="KU105" s="109"/>
      <c r="KV105" s="109"/>
      <c r="KW105" s="109"/>
      <c r="KX105" s="109"/>
      <c r="KY105" s="109"/>
      <c r="KZ105" s="109"/>
      <c r="LA105" s="109"/>
      <c r="LB105" s="109"/>
      <c r="LC105" s="109"/>
      <c r="LD105" s="109"/>
      <c r="LE105" s="109"/>
      <c r="LF105" s="109"/>
      <c r="LG105" s="109"/>
      <c r="LH105" s="109"/>
      <c r="LI105" s="109"/>
      <c r="LJ105" s="109"/>
      <c r="LK105" s="109"/>
      <c r="LL105" s="109"/>
      <c r="LM105" s="109"/>
      <c r="LN105" s="109"/>
      <c r="LO105" s="109"/>
      <c r="LP105" s="109"/>
      <c r="LQ105" s="109"/>
      <c r="LR105" s="109"/>
      <c r="LS105" s="109"/>
      <c r="LT105" s="109"/>
      <c r="LU105" s="109"/>
      <c r="LV105" s="109"/>
      <c r="LW105" s="109"/>
      <c r="LX105" s="109"/>
      <c r="LY105" s="109"/>
      <c r="LZ105" s="109"/>
      <c r="MA105" s="109"/>
      <c r="MB105" s="109"/>
      <c r="MC105" s="109"/>
      <c r="MD105" s="109"/>
      <c r="ME105" s="109"/>
      <c r="MF105" s="109"/>
      <c r="MG105" s="109"/>
      <c r="MH105" s="150"/>
      <c r="MI105" s="109"/>
      <c r="MJ105" s="109"/>
      <c r="MK105" s="109"/>
      <c r="ML105" s="109"/>
      <c r="MM105" s="109"/>
      <c r="MN105" s="109"/>
      <c r="MO105" s="109"/>
      <c r="MP105" s="109"/>
      <c r="MQ105" s="109"/>
      <c r="MR105" s="109"/>
      <c r="MS105" s="109"/>
      <c r="MT105" s="109"/>
      <c r="MU105" s="109"/>
      <c r="MV105" s="109"/>
      <c r="MW105" s="109"/>
      <c r="MX105" s="109"/>
      <c r="MY105" s="109"/>
      <c r="MZ105" s="109"/>
      <c r="NA105" s="109"/>
      <c r="NB105" s="109"/>
    </row>
    <row r="106" spans="1:366" s="261" customFormat="1" x14ac:dyDescent="0.25">
      <c r="A106" s="113">
        <v>0</v>
      </c>
      <c r="B106" s="161" t="s">
        <v>1106</v>
      </c>
      <c r="C106" s="250" t="s">
        <v>1093</v>
      </c>
      <c r="D106" s="254">
        <v>0</v>
      </c>
      <c r="E106" s="250" t="s">
        <v>1093</v>
      </c>
      <c r="F106" s="254">
        <v>0</v>
      </c>
      <c r="G106" s="250" t="s">
        <v>1093</v>
      </c>
      <c r="H106" s="254">
        <v>0</v>
      </c>
      <c r="I106" s="250" t="s">
        <v>1093</v>
      </c>
      <c r="J106" s="254">
        <v>1</v>
      </c>
      <c r="K106" s="250" t="s">
        <v>1093</v>
      </c>
      <c r="L106" s="254">
        <v>0</v>
      </c>
      <c r="M106" s="250" t="s">
        <v>1093</v>
      </c>
      <c r="N106" s="254">
        <v>0</v>
      </c>
      <c r="O106" s="250" t="s">
        <v>1093</v>
      </c>
      <c r="P106" s="254">
        <v>0</v>
      </c>
      <c r="Q106" s="250" t="s">
        <v>1093</v>
      </c>
      <c r="R106" s="254">
        <v>0</v>
      </c>
      <c r="S106" s="250" t="s">
        <v>1093</v>
      </c>
      <c r="T106" s="254">
        <v>0</v>
      </c>
      <c r="U106" s="250" t="s">
        <v>1093</v>
      </c>
      <c r="V106" s="254">
        <v>0</v>
      </c>
      <c r="W106" s="250" t="s">
        <v>1093</v>
      </c>
      <c r="X106" s="254">
        <v>0.9318189555679276</v>
      </c>
      <c r="Y106" s="250" t="s">
        <v>1093</v>
      </c>
      <c r="Z106" s="254">
        <v>1</v>
      </c>
      <c r="AA106" s="250" t="s">
        <v>1093</v>
      </c>
      <c r="AB106" s="254">
        <v>0</v>
      </c>
      <c r="AC106" s="250" t="s">
        <v>1093</v>
      </c>
      <c r="AD106" s="254">
        <v>0</v>
      </c>
      <c r="AE106" s="250" t="s">
        <v>1093</v>
      </c>
      <c r="AF106" s="254">
        <v>0</v>
      </c>
      <c r="AG106" s="250" t="s">
        <v>1093</v>
      </c>
      <c r="AH106" s="254">
        <v>0</v>
      </c>
      <c r="AI106" s="250" t="s">
        <v>1093</v>
      </c>
      <c r="AJ106" s="254">
        <v>0</v>
      </c>
      <c r="AK106" s="250" t="s">
        <v>1093</v>
      </c>
      <c r="AL106" s="254">
        <v>0</v>
      </c>
      <c r="AM106" s="250" t="s">
        <v>1093</v>
      </c>
      <c r="AN106" s="254">
        <v>0</v>
      </c>
      <c r="AO106" s="250" t="s">
        <v>1093</v>
      </c>
      <c r="AP106" s="254">
        <v>0</v>
      </c>
      <c r="AQ106" s="250" t="s">
        <v>1093</v>
      </c>
      <c r="AR106" s="254">
        <v>0</v>
      </c>
      <c r="AS106" s="250" t="s">
        <v>1093</v>
      </c>
      <c r="AT106" s="254">
        <v>0</v>
      </c>
      <c r="AU106" s="250" t="s">
        <v>1093</v>
      </c>
      <c r="AV106" s="254">
        <v>0.91111209743531563</v>
      </c>
      <c r="AW106" s="250" t="s">
        <v>1093</v>
      </c>
      <c r="AX106" s="254">
        <v>1</v>
      </c>
      <c r="AY106" s="250" t="s">
        <v>1093</v>
      </c>
      <c r="AZ106" s="254">
        <v>0</v>
      </c>
      <c r="BA106" s="250" t="s">
        <v>1093</v>
      </c>
      <c r="BB106" s="254">
        <v>0</v>
      </c>
      <c r="BC106" s="250" t="s">
        <v>1093</v>
      </c>
      <c r="BD106" s="254">
        <v>0</v>
      </c>
      <c r="BE106" s="250" t="s">
        <v>1093</v>
      </c>
      <c r="BF106" s="254">
        <v>1</v>
      </c>
      <c r="BG106" s="250" t="s">
        <v>1093</v>
      </c>
      <c r="BH106" s="254">
        <v>0.98400019174125519</v>
      </c>
      <c r="BI106" s="250" t="s">
        <v>1093</v>
      </c>
      <c r="BJ106" s="254">
        <v>0</v>
      </c>
      <c r="BK106" s="250" t="s">
        <v>1093</v>
      </c>
      <c r="BL106" s="254">
        <v>1</v>
      </c>
      <c r="BM106" s="250" t="s">
        <v>1093</v>
      </c>
      <c r="BN106" s="254">
        <v>0.9930796684733878</v>
      </c>
      <c r="BO106" s="250" t="s">
        <v>1093</v>
      </c>
      <c r="BP106" s="254">
        <v>0</v>
      </c>
      <c r="BQ106" s="250" t="s">
        <v>1093</v>
      </c>
      <c r="BR106" s="254">
        <v>0</v>
      </c>
      <c r="BS106" s="250" t="s">
        <v>1093</v>
      </c>
      <c r="BT106" s="254">
        <v>0</v>
      </c>
      <c r="BU106" s="250" t="s">
        <v>1093</v>
      </c>
      <c r="BV106" s="254">
        <v>0</v>
      </c>
      <c r="BW106" s="250" t="s">
        <v>1093</v>
      </c>
      <c r="BX106" s="254">
        <v>0</v>
      </c>
      <c r="BY106" s="250" t="s">
        <v>1093</v>
      </c>
      <c r="BZ106" s="254">
        <v>0.98795195219223719</v>
      </c>
      <c r="CA106" s="250" t="s">
        <v>1093</v>
      </c>
      <c r="CB106" s="254">
        <v>0</v>
      </c>
      <c r="CC106" s="250" t="s">
        <v>1093</v>
      </c>
      <c r="CD106" s="254">
        <v>0</v>
      </c>
      <c r="CE106" s="250" t="s">
        <v>1093</v>
      </c>
      <c r="CF106" s="254">
        <v>0.98795195219223719</v>
      </c>
      <c r="CG106" s="250" t="s">
        <v>1093</v>
      </c>
      <c r="CH106" s="254">
        <v>0</v>
      </c>
      <c r="CI106" s="250" t="s">
        <v>1093</v>
      </c>
      <c r="CJ106" s="254">
        <v>0</v>
      </c>
      <c r="CK106" s="250" t="s">
        <v>1093</v>
      </c>
      <c r="CL106" s="254">
        <v>0.98795195219223719</v>
      </c>
      <c r="CM106" s="250" t="s">
        <v>1093</v>
      </c>
      <c r="CN106" s="254">
        <v>0</v>
      </c>
      <c r="CO106" s="250" t="s">
        <v>1093</v>
      </c>
      <c r="CP106" s="254">
        <v>0</v>
      </c>
      <c r="CQ106" s="250" t="s">
        <v>1093</v>
      </c>
      <c r="CR106" s="254">
        <v>0</v>
      </c>
      <c r="CS106" s="250" t="s">
        <v>1093</v>
      </c>
      <c r="CT106" s="254">
        <v>0</v>
      </c>
      <c r="CU106" s="250" t="s">
        <v>1093</v>
      </c>
      <c r="CV106" s="254">
        <v>0</v>
      </c>
      <c r="CW106" s="250" t="s">
        <v>1093</v>
      </c>
      <c r="CX106" s="254">
        <v>0</v>
      </c>
      <c r="CY106" s="250" t="s">
        <v>1093</v>
      </c>
      <c r="CZ106" s="254">
        <v>0</v>
      </c>
      <c r="DA106" s="250" t="s">
        <v>1093</v>
      </c>
      <c r="DB106" s="254">
        <v>0</v>
      </c>
      <c r="DC106" s="250" t="s">
        <v>1093</v>
      </c>
      <c r="DD106" s="254">
        <v>0</v>
      </c>
      <c r="DE106" s="250" t="s">
        <v>1093</v>
      </c>
      <c r="DF106" s="254">
        <v>0</v>
      </c>
      <c r="DG106" s="250" t="s">
        <v>1093</v>
      </c>
      <c r="DH106" s="254">
        <v>0</v>
      </c>
      <c r="DI106" s="250" t="s">
        <v>1093</v>
      </c>
      <c r="DJ106" s="254">
        <v>0</v>
      </c>
      <c r="DK106" s="250" t="s">
        <v>1093</v>
      </c>
      <c r="DL106" s="254">
        <v>0</v>
      </c>
      <c r="DM106" s="250" t="s">
        <v>1093</v>
      </c>
      <c r="DN106" s="254">
        <v>0.86014132522941522</v>
      </c>
      <c r="DO106" s="250" t="s">
        <v>1093</v>
      </c>
      <c r="DP106" s="254">
        <v>0</v>
      </c>
      <c r="DQ106" s="250" t="s">
        <v>1093</v>
      </c>
      <c r="DR106" s="254">
        <v>0</v>
      </c>
      <c r="DS106" s="109"/>
      <c r="DT106" s="109"/>
      <c r="DU106" s="109"/>
      <c r="DV106" s="109"/>
      <c r="DW106" s="109"/>
      <c r="DX106" s="109"/>
      <c r="DY106" s="109"/>
      <c r="DZ106" s="109"/>
      <c r="EA106" s="109"/>
      <c r="EB106" s="109"/>
      <c r="EC106" s="109"/>
      <c r="ED106" s="109"/>
      <c r="EE106" s="109"/>
      <c r="EF106" s="109"/>
      <c r="EG106" s="109"/>
      <c r="EH106" s="109"/>
      <c r="EI106" s="109"/>
      <c r="EJ106" s="109"/>
      <c r="EK106" s="109"/>
      <c r="EL106" s="109"/>
      <c r="EM106" s="109"/>
      <c r="EN106" s="109"/>
      <c r="EO106" s="109"/>
      <c r="EP106" s="109"/>
      <c r="EQ106" s="109"/>
      <c r="ER106" s="109"/>
      <c r="ES106" s="109"/>
      <c r="ET106" s="109"/>
      <c r="EU106" s="109"/>
      <c r="EV106" s="109"/>
      <c r="EW106" s="109"/>
      <c r="EX106" s="109"/>
      <c r="EY106" s="109"/>
      <c r="EZ106" s="109"/>
      <c r="FA106" s="109"/>
      <c r="FB106" s="109"/>
      <c r="FC106" s="109"/>
      <c r="FD106" s="109"/>
      <c r="FE106" s="109"/>
      <c r="FF106" s="109"/>
      <c r="FG106" s="109"/>
      <c r="FH106" s="109"/>
      <c r="FI106" s="109"/>
      <c r="FJ106" s="109"/>
      <c r="FK106" s="109"/>
      <c r="FL106" s="109"/>
      <c r="FM106" s="109"/>
      <c r="FN106" s="109"/>
      <c r="FO106" s="109"/>
      <c r="FP106" s="109"/>
      <c r="FQ106" s="109"/>
      <c r="FR106" s="109"/>
      <c r="FS106" s="109"/>
      <c r="FT106" s="109"/>
      <c r="FU106" s="109"/>
      <c r="FV106" s="109"/>
      <c r="FW106" s="109"/>
      <c r="FX106" s="109"/>
      <c r="FY106" s="109"/>
      <c r="FZ106" s="109"/>
      <c r="GA106" s="109"/>
      <c r="GB106" s="109"/>
      <c r="GC106" s="109"/>
      <c r="GD106" s="109"/>
      <c r="GE106" s="109"/>
      <c r="GF106" s="109"/>
      <c r="GG106" s="109"/>
      <c r="GH106" s="109"/>
      <c r="GI106" s="109"/>
      <c r="GJ106" s="109"/>
      <c r="GK106" s="109"/>
      <c r="GL106" s="109"/>
      <c r="GM106" s="109"/>
      <c r="GN106" s="109"/>
      <c r="GO106" s="109"/>
      <c r="GP106" s="109"/>
      <c r="GQ106" s="109"/>
      <c r="GR106" s="109"/>
      <c r="GS106" s="109"/>
      <c r="GT106" s="109"/>
      <c r="GU106" s="109"/>
      <c r="GV106" s="109"/>
      <c r="GW106" s="109"/>
      <c r="GX106" s="109"/>
      <c r="GY106" s="109"/>
      <c r="GZ106" s="109"/>
      <c r="HA106" s="109"/>
      <c r="HB106" s="109"/>
      <c r="HC106" s="109"/>
      <c r="HD106" s="109"/>
      <c r="HE106" s="109"/>
      <c r="HF106" s="109"/>
      <c r="HG106" s="109"/>
      <c r="HH106" s="109"/>
      <c r="HI106" s="109"/>
      <c r="HJ106" s="109"/>
      <c r="HK106" s="109"/>
      <c r="HL106" s="109"/>
      <c r="HM106" s="109"/>
      <c r="HN106" s="109"/>
      <c r="HO106" s="109"/>
      <c r="HP106" s="109"/>
      <c r="HQ106" s="109"/>
      <c r="HR106" s="109"/>
      <c r="HS106" s="109"/>
      <c r="HT106" s="109"/>
      <c r="HU106" s="109"/>
      <c r="HV106" s="109"/>
      <c r="HW106" s="109"/>
      <c r="HX106" s="109"/>
      <c r="HY106" s="109"/>
      <c r="HZ106" s="109"/>
      <c r="IA106" s="109"/>
      <c r="IB106" s="109"/>
      <c r="IC106" s="109"/>
      <c r="ID106" s="109"/>
      <c r="IE106" s="109"/>
      <c r="IF106" s="109"/>
      <c r="IG106" s="109"/>
      <c r="IH106" s="109"/>
      <c r="II106" s="109"/>
      <c r="IJ106" s="109"/>
      <c r="IK106" s="109"/>
      <c r="IL106" s="109"/>
      <c r="IM106" s="109"/>
      <c r="IN106" s="109"/>
      <c r="IO106" s="109"/>
      <c r="IP106" s="109"/>
      <c r="IQ106" s="109"/>
      <c r="IR106" s="109"/>
      <c r="IS106" s="109"/>
      <c r="IT106" s="109"/>
      <c r="IU106" s="109"/>
      <c r="IV106" s="109"/>
      <c r="IW106" s="109"/>
      <c r="IX106" s="109"/>
      <c r="IY106" s="109"/>
      <c r="IZ106" s="109"/>
      <c r="JA106" s="109"/>
      <c r="JB106" s="109"/>
      <c r="JC106" s="109"/>
      <c r="JD106" s="109"/>
      <c r="JE106" s="109"/>
      <c r="JF106" s="109"/>
      <c r="JG106" s="109"/>
      <c r="JH106" s="109"/>
      <c r="JI106" s="109"/>
      <c r="JJ106" s="109"/>
      <c r="JK106" s="109"/>
      <c r="JL106" s="109"/>
      <c r="JM106" s="109"/>
      <c r="JN106" s="109"/>
      <c r="JO106" s="109"/>
      <c r="JP106" s="109"/>
      <c r="JQ106" s="109"/>
      <c r="JR106" s="109"/>
      <c r="JS106" s="109"/>
      <c r="JT106" s="109"/>
      <c r="JU106" s="109"/>
      <c r="JV106" s="109"/>
      <c r="JW106" s="109"/>
      <c r="JX106" s="109"/>
      <c r="JY106" s="109"/>
      <c r="JZ106" s="109"/>
      <c r="KA106" s="109"/>
      <c r="KB106" s="109"/>
      <c r="KC106" s="109"/>
      <c r="KD106" s="109"/>
      <c r="KE106" s="109"/>
      <c r="KF106" s="109"/>
      <c r="KG106" s="109"/>
      <c r="KH106" s="109"/>
      <c r="KI106" s="109"/>
      <c r="KJ106" s="109"/>
      <c r="KK106" s="109"/>
      <c r="KL106" s="109"/>
      <c r="KM106" s="109"/>
      <c r="KN106" s="109"/>
      <c r="KO106" s="109"/>
      <c r="KP106" s="109"/>
      <c r="KQ106" s="109"/>
      <c r="KR106" s="109"/>
      <c r="KS106" s="109"/>
      <c r="KT106" s="109"/>
      <c r="KU106" s="109"/>
      <c r="KV106" s="109"/>
      <c r="KW106" s="109"/>
      <c r="KX106" s="109"/>
      <c r="KY106" s="109"/>
      <c r="KZ106" s="109"/>
      <c r="LA106" s="109"/>
      <c r="LB106" s="109"/>
      <c r="LC106" s="109"/>
      <c r="LD106" s="109"/>
      <c r="LE106" s="109"/>
      <c r="LF106" s="109"/>
      <c r="LG106" s="109"/>
      <c r="LH106" s="109"/>
      <c r="LI106" s="109"/>
      <c r="LJ106" s="109"/>
      <c r="LK106" s="109"/>
      <c r="LL106" s="109"/>
      <c r="LM106" s="109"/>
      <c r="LN106" s="109"/>
      <c r="LO106" s="109"/>
      <c r="LP106" s="109"/>
      <c r="LQ106" s="109"/>
      <c r="LR106" s="109"/>
      <c r="LS106" s="109"/>
      <c r="LT106" s="109"/>
      <c r="LU106" s="109"/>
      <c r="LV106" s="109"/>
      <c r="LW106" s="109"/>
      <c r="LX106" s="109"/>
      <c r="LY106" s="109"/>
      <c r="LZ106" s="109"/>
      <c r="MA106" s="109"/>
      <c r="MB106" s="109"/>
      <c r="MC106" s="109"/>
      <c r="MD106" s="109"/>
      <c r="ME106" s="109"/>
      <c r="MF106" s="109"/>
      <c r="MG106" s="109"/>
      <c r="MH106" s="150"/>
      <c r="MI106" s="109"/>
      <c r="MJ106" s="109"/>
      <c r="MK106" s="109"/>
      <c r="ML106" s="109"/>
      <c r="MM106" s="109"/>
      <c r="MN106" s="109"/>
      <c r="MO106" s="109"/>
      <c r="MP106" s="109"/>
      <c r="MQ106" s="109"/>
      <c r="MR106" s="109"/>
      <c r="MS106" s="109"/>
      <c r="MT106" s="109"/>
      <c r="MU106" s="109"/>
      <c r="MV106" s="109"/>
      <c r="MW106" s="109"/>
      <c r="MX106" s="109"/>
      <c r="MY106" s="109"/>
      <c r="MZ106" s="109"/>
      <c r="NA106" s="109"/>
      <c r="NB106" s="109"/>
    </row>
    <row r="107" spans="1:366" s="261" customFormat="1" x14ac:dyDescent="0.25">
      <c r="A107" s="113">
        <v>0</v>
      </c>
      <c r="B107" s="161" t="s">
        <v>1107</v>
      </c>
      <c r="C107" s="250" t="s">
        <v>674</v>
      </c>
      <c r="D107" s="254">
        <v>0</v>
      </c>
      <c r="E107" s="250" t="s">
        <v>674</v>
      </c>
      <c r="F107" s="254">
        <v>0</v>
      </c>
      <c r="G107" s="250" t="s">
        <v>674</v>
      </c>
      <c r="H107" s="254">
        <v>1</v>
      </c>
      <c r="I107" s="250" t="s">
        <v>674</v>
      </c>
      <c r="J107" s="254">
        <v>0.22832217926083617</v>
      </c>
      <c r="K107" s="250" t="s">
        <v>674</v>
      </c>
      <c r="L107" s="254">
        <v>0</v>
      </c>
      <c r="M107" s="250" t="s">
        <v>674</v>
      </c>
      <c r="N107" s="254">
        <v>0</v>
      </c>
      <c r="O107" s="250" t="s">
        <v>674</v>
      </c>
      <c r="P107" s="254">
        <v>0</v>
      </c>
      <c r="Q107" s="250" t="s">
        <v>674</v>
      </c>
      <c r="R107" s="254">
        <v>0</v>
      </c>
      <c r="S107" s="250" t="s">
        <v>674</v>
      </c>
      <c r="T107" s="254">
        <v>0</v>
      </c>
      <c r="U107" s="250" t="s">
        <v>674</v>
      </c>
      <c r="V107" s="254">
        <v>1</v>
      </c>
      <c r="W107" s="250" t="s">
        <v>674</v>
      </c>
      <c r="X107" s="254">
        <v>0.71970345993433626</v>
      </c>
      <c r="Y107" s="250" t="s">
        <v>674</v>
      </c>
      <c r="Z107" s="254">
        <v>0.16116226333395961</v>
      </c>
      <c r="AA107" s="250" t="s">
        <v>674</v>
      </c>
      <c r="AB107" s="254">
        <v>0</v>
      </c>
      <c r="AC107" s="250" t="s">
        <v>674</v>
      </c>
      <c r="AD107" s="254">
        <v>0</v>
      </c>
      <c r="AE107" s="250" t="s">
        <v>674</v>
      </c>
      <c r="AF107" s="254">
        <v>0</v>
      </c>
      <c r="AG107" s="250" t="s">
        <v>674</v>
      </c>
      <c r="AH107" s="254">
        <v>0</v>
      </c>
      <c r="AI107" s="250" t="s">
        <v>674</v>
      </c>
      <c r="AJ107" s="254">
        <v>0</v>
      </c>
      <c r="AK107" s="250" t="s">
        <v>674</v>
      </c>
      <c r="AL107" s="254">
        <v>0</v>
      </c>
      <c r="AM107" s="250" t="s">
        <v>674</v>
      </c>
      <c r="AN107" s="254">
        <v>0</v>
      </c>
      <c r="AO107" s="250" t="s">
        <v>674</v>
      </c>
      <c r="AP107" s="254">
        <v>0</v>
      </c>
      <c r="AQ107" s="250" t="s">
        <v>674</v>
      </c>
      <c r="AR107" s="254">
        <v>0</v>
      </c>
      <c r="AS107" s="250" t="s">
        <v>674</v>
      </c>
      <c r="AT107" s="254">
        <v>0</v>
      </c>
      <c r="AU107" s="250" t="s">
        <v>674</v>
      </c>
      <c r="AV107" s="254">
        <v>0.76878119271588985</v>
      </c>
      <c r="AW107" s="250" t="s">
        <v>674</v>
      </c>
      <c r="AX107" s="254">
        <v>0.12453180676021067</v>
      </c>
      <c r="AY107" s="250" t="s">
        <v>674</v>
      </c>
      <c r="AZ107" s="254">
        <v>0</v>
      </c>
      <c r="BA107" s="250" t="s">
        <v>674</v>
      </c>
      <c r="BB107" s="254">
        <v>1</v>
      </c>
      <c r="BC107" s="250" t="s">
        <v>674</v>
      </c>
      <c r="BD107" s="254">
        <v>1</v>
      </c>
      <c r="BE107" s="250" t="s">
        <v>674</v>
      </c>
      <c r="BF107" s="254">
        <v>0.17642541706746903</v>
      </c>
      <c r="BG107" s="250" t="s">
        <v>674</v>
      </c>
      <c r="BH107" s="254">
        <v>0.44466532803794856</v>
      </c>
      <c r="BI107" s="250" t="s">
        <v>674</v>
      </c>
      <c r="BJ107" s="254">
        <v>0</v>
      </c>
      <c r="BK107" s="250" t="s">
        <v>674</v>
      </c>
      <c r="BL107" s="254">
        <v>1.4049353219629444E-2</v>
      </c>
      <c r="BM107" s="250" t="s">
        <v>674</v>
      </c>
      <c r="BN107" s="254">
        <v>0.24055412227153605</v>
      </c>
      <c r="BO107" s="250" t="s">
        <v>674</v>
      </c>
      <c r="BP107" s="254">
        <v>0.35432765835193791</v>
      </c>
      <c r="BQ107" s="250" t="s">
        <v>674</v>
      </c>
      <c r="BR107" s="254">
        <v>3.4974684242909254E-2</v>
      </c>
      <c r="BS107" s="250" t="s">
        <v>674</v>
      </c>
      <c r="BT107" s="254">
        <v>6.7420543256192386E-2</v>
      </c>
      <c r="BU107" s="250" t="s">
        <v>674</v>
      </c>
      <c r="BV107" s="254">
        <v>0</v>
      </c>
      <c r="BW107" s="250" t="s">
        <v>674</v>
      </c>
      <c r="BX107" s="254">
        <v>1</v>
      </c>
      <c r="BY107" s="250" t="s">
        <v>674</v>
      </c>
      <c r="BZ107" s="254">
        <v>0.40280907617716888</v>
      </c>
      <c r="CA107" s="250" t="s">
        <v>674</v>
      </c>
      <c r="CB107" s="254">
        <v>0</v>
      </c>
      <c r="CC107" s="250" t="s">
        <v>674</v>
      </c>
      <c r="CD107" s="254">
        <v>1</v>
      </c>
      <c r="CE107" s="250" t="s">
        <v>674</v>
      </c>
      <c r="CF107" s="254">
        <v>0.40280907617716888</v>
      </c>
      <c r="CG107" s="250" t="s">
        <v>674</v>
      </c>
      <c r="CH107" s="254">
        <v>0</v>
      </c>
      <c r="CI107" s="250" t="s">
        <v>674</v>
      </c>
      <c r="CJ107" s="254">
        <v>1</v>
      </c>
      <c r="CK107" s="250" t="s">
        <v>674</v>
      </c>
      <c r="CL107" s="254">
        <v>0.40280907617716888</v>
      </c>
      <c r="CM107" s="250" t="s">
        <v>674</v>
      </c>
      <c r="CN107" s="254">
        <v>0</v>
      </c>
      <c r="CO107" s="250" t="s">
        <v>674</v>
      </c>
      <c r="CP107" s="254">
        <v>0</v>
      </c>
      <c r="CQ107" s="250" t="s">
        <v>674</v>
      </c>
      <c r="CR107" s="254">
        <v>0</v>
      </c>
      <c r="CS107" s="250" t="s">
        <v>674</v>
      </c>
      <c r="CT107" s="254">
        <v>0</v>
      </c>
      <c r="CU107" s="250" t="s">
        <v>674</v>
      </c>
      <c r="CV107" s="254">
        <v>0</v>
      </c>
      <c r="CW107" s="250" t="s">
        <v>674</v>
      </c>
      <c r="CX107" s="254">
        <v>0</v>
      </c>
      <c r="CY107" s="250" t="s">
        <v>674</v>
      </c>
      <c r="CZ107" s="254">
        <v>0</v>
      </c>
      <c r="DA107" s="250" t="s">
        <v>674</v>
      </c>
      <c r="DB107" s="254">
        <v>0</v>
      </c>
      <c r="DC107" s="250" t="s">
        <v>674</v>
      </c>
      <c r="DD107" s="254">
        <v>0</v>
      </c>
      <c r="DE107" s="250" t="s">
        <v>674</v>
      </c>
      <c r="DF107" s="254">
        <v>0</v>
      </c>
      <c r="DG107" s="250" t="s">
        <v>674</v>
      </c>
      <c r="DH107" s="254">
        <v>0</v>
      </c>
      <c r="DI107" s="250" t="s">
        <v>674</v>
      </c>
      <c r="DJ107" s="254">
        <v>0</v>
      </c>
      <c r="DK107" s="250" t="s">
        <v>674</v>
      </c>
      <c r="DL107" s="254">
        <v>0</v>
      </c>
      <c r="DM107" s="250" t="s">
        <v>674</v>
      </c>
      <c r="DN107" s="254">
        <v>0.46943480971183521</v>
      </c>
      <c r="DO107" s="250" t="s">
        <v>674</v>
      </c>
      <c r="DP107" s="254">
        <v>0</v>
      </c>
      <c r="DQ107" s="250" t="s">
        <v>674</v>
      </c>
      <c r="DR107" s="254">
        <v>0</v>
      </c>
      <c r="DS107" s="109"/>
      <c r="DT107" s="109"/>
      <c r="DU107" s="109"/>
      <c r="DV107" s="109"/>
      <c r="DW107" s="109"/>
      <c r="DX107" s="109"/>
      <c r="DY107" s="109"/>
      <c r="DZ107" s="109"/>
      <c r="EA107" s="109"/>
      <c r="EB107" s="109"/>
      <c r="EC107" s="109"/>
      <c r="ED107" s="109"/>
      <c r="EE107" s="109"/>
      <c r="EF107" s="109"/>
      <c r="EG107" s="109"/>
      <c r="EH107" s="109"/>
      <c r="EI107" s="109"/>
      <c r="EJ107" s="109"/>
      <c r="EK107" s="109"/>
      <c r="EL107" s="109"/>
      <c r="EM107" s="109"/>
      <c r="EN107" s="109"/>
      <c r="EO107" s="109"/>
      <c r="EP107" s="109"/>
      <c r="EQ107" s="109"/>
      <c r="ER107" s="109"/>
      <c r="ES107" s="109"/>
      <c r="ET107" s="109"/>
      <c r="EU107" s="109"/>
      <c r="EV107" s="109"/>
      <c r="EW107" s="109"/>
      <c r="EX107" s="109"/>
      <c r="EY107" s="109"/>
      <c r="EZ107" s="109"/>
      <c r="FA107" s="109"/>
      <c r="FB107" s="109"/>
      <c r="FC107" s="109"/>
      <c r="FD107" s="109"/>
      <c r="FE107" s="109"/>
      <c r="FF107" s="109"/>
      <c r="FG107" s="109"/>
      <c r="FH107" s="109"/>
      <c r="FI107" s="109"/>
      <c r="FJ107" s="109"/>
      <c r="FK107" s="109"/>
      <c r="FL107" s="109"/>
      <c r="FM107" s="109"/>
      <c r="FN107" s="109"/>
      <c r="FO107" s="109"/>
      <c r="FP107" s="109"/>
      <c r="FQ107" s="109"/>
      <c r="FR107" s="109"/>
      <c r="FS107" s="109"/>
      <c r="FT107" s="109"/>
      <c r="FU107" s="109"/>
      <c r="FV107" s="109"/>
      <c r="FW107" s="109"/>
      <c r="FX107" s="109"/>
      <c r="FY107" s="109"/>
      <c r="FZ107" s="109"/>
      <c r="GA107" s="109"/>
      <c r="GB107" s="109"/>
      <c r="GC107" s="109"/>
      <c r="GD107" s="109"/>
      <c r="GE107" s="109"/>
      <c r="GF107" s="109"/>
      <c r="GG107" s="109"/>
      <c r="GH107" s="109"/>
      <c r="GI107" s="109"/>
      <c r="GJ107" s="109"/>
      <c r="GK107" s="109"/>
      <c r="GL107" s="109"/>
      <c r="GM107" s="109"/>
      <c r="GN107" s="109"/>
      <c r="GO107" s="109"/>
      <c r="GP107" s="109"/>
      <c r="GQ107" s="109"/>
      <c r="GR107" s="109"/>
      <c r="GS107" s="109"/>
      <c r="GT107" s="109"/>
      <c r="GU107" s="109"/>
      <c r="GV107" s="109"/>
      <c r="GW107" s="109"/>
      <c r="GX107" s="109"/>
      <c r="GY107" s="109"/>
      <c r="GZ107" s="109"/>
      <c r="HA107" s="109"/>
      <c r="HB107" s="109"/>
      <c r="HC107" s="109"/>
      <c r="HD107" s="109"/>
      <c r="HE107" s="109"/>
      <c r="HF107" s="109"/>
      <c r="HG107" s="109"/>
      <c r="HH107" s="109"/>
      <c r="HI107" s="109"/>
      <c r="HJ107" s="109"/>
      <c r="HK107" s="109"/>
      <c r="HL107" s="109"/>
      <c r="HM107" s="109"/>
      <c r="HN107" s="109"/>
      <c r="HO107" s="109"/>
      <c r="HP107" s="109"/>
      <c r="HQ107" s="109"/>
      <c r="HR107" s="109"/>
      <c r="HS107" s="109"/>
      <c r="HT107" s="109"/>
      <c r="HU107" s="109"/>
      <c r="HV107" s="109"/>
      <c r="HW107" s="109"/>
      <c r="HX107" s="109"/>
      <c r="HY107" s="109"/>
      <c r="HZ107" s="109"/>
      <c r="IA107" s="109"/>
      <c r="IB107" s="109"/>
      <c r="IC107" s="109"/>
      <c r="ID107" s="109"/>
      <c r="IE107" s="109"/>
      <c r="IF107" s="109"/>
      <c r="IG107" s="109"/>
      <c r="IH107" s="109"/>
      <c r="II107" s="109"/>
      <c r="IJ107" s="109"/>
      <c r="IK107" s="109"/>
      <c r="IL107" s="109"/>
      <c r="IM107" s="109"/>
      <c r="IN107" s="109"/>
      <c r="IO107" s="109"/>
      <c r="IP107" s="109"/>
      <c r="IQ107" s="109"/>
      <c r="IR107" s="109"/>
      <c r="IS107" s="109"/>
      <c r="IT107" s="109"/>
      <c r="IU107" s="109"/>
      <c r="IV107" s="109"/>
      <c r="IW107" s="109"/>
      <c r="IX107" s="109"/>
      <c r="IY107" s="109"/>
      <c r="IZ107" s="109"/>
      <c r="JA107" s="109"/>
      <c r="JB107" s="109"/>
      <c r="JC107" s="109"/>
      <c r="JD107" s="109"/>
      <c r="JE107" s="109"/>
      <c r="JF107" s="109"/>
      <c r="JG107" s="109"/>
      <c r="JH107" s="109"/>
      <c r="JI107" s="109"/>
      <c r="JJ107" s="109"/>
      <c r="JK107" s="109"/>
      <c r="JL107" s="109"/>
      <c r="JM107" s="109"/>
      <c r="JN107" s="109"/>
      <c r="JO107" s="109"/>
      <c r="JP107" s="109"/>
      <c r="JQ107" s="109"/>
      <c r="JR107" s="109"/>
      <c r="JS107" s="109"/>
      <c r="JT107" s="109"/>
      <c r="JU107" s="109"/>
      <c r="JV107" s="109"/>
      <c r="JW107" s="109"/>
      <c r="JX107" s="109"/>
      <c r="JY107" s="109"/>
      <c r="JZ107" s="109"/>
      <c r="KA107" s="109"/>
      <c r="KB107" s="109"/>
      <c r="KC107" s="109"/>
      <c r="KD107" s="109"/>
      <c r="KE107" s="109"/>
      <c r="KF107" s="109"/>
      <c r="KG107" s="109"/>
      <c r="KH107" s="109"/>
      <c r="KI107" s="109"/>
      <c r="KJ107" s="109"/>
      <c r="KK107" s="109"/>
      <c r="KL107" s="109"/>
      <c r="KM107" s="109"/>
      <c r="KN107" s="109"/>
      <c r="KO107" s="109"/>
      <c r="KP107" s="109"/>
      <c r="KQ107" s="109"/>
      <c r="KR107" s="109"/>
      <c r="KS107" s="109"/>
      <c r="KT107" s="109"/>
      <c r="KU107" s="109"/>
      <c r="KV107" s="109"/>
      <c r="KW107" s="109"/>
      <c r="KX107" s="109"/>
      <c r="KY107" s="109"/>
      <c r="KZ107" s="109"/>
      <c r="LA107" s="109"/>
      <c r="LB107" s="109"/>
      <c r="LC107" s="109"/>
      <c r="LD107" s="109"/>
      <c r="LE107" s="109"/>
      <c r="LF107" s="109"/>
      <c r="LG107" s="109"/>
      <c r="LH107" s="109"/>
      <c r="LI107" s="109"/>
      <c r="LJ107" s="109"/>
      <c r="LK107" s="109"/>
      <c r="LL107" s="109"/>
      <c r="LM107" s="109"/>
      <c r="LN107" s="109"/>
      <c r="LO107" s="109"/>
      <c r="LP107" s="109"/>
      <c r="LQ107" s="109"/>
      <c r="LR107" s="109"/>
      <c r="LS107" s="109"/>
      <c r="LT107" s="109"/>
      <c r="LU107" s="109"/>
      <c r="LV107" s="109"/>
      <c r="LW107" s="109"/>
      <c r="LX107" s="109"/>
      <c r="LY107" s="109"/>
      <c r="LZ107" s="109"/>
      <c r="MA107" s="109"/>
      <c r="MB107" s="109"/>
      <c r="MC107" s="109"/>
      <c r="MD107" s="109"/>
      <c r="ME107" s="109"/>
      <c r="MF107" s="109"/>
      <c r="MG107" s="109"/>
      <c r="MH107" s="150"/>
      <c r="MI107" s="109"/>
      <c r="MJ107" s="109"/>
      <c r="MK107" s="109"/>
      <c r="ML107" s="109"/>
      <c r="MM107" s="109"/>
      <c r="MN107" s="109"/>
      <c r="MO107" s="109"/>
      <c r="MP107" s="109"/>
      <c r="MQ107" s="109"/>
      <c r="MR107" s="109"/>
      <c r="MS107" s="109"/>
      <c r="MT107" s="109"/>
      <c r="MU107" s="109"/>
      <c r="MV107" s="109"/>
      <c r="MW107" s="109"/>
      <c r="MX107" s="109"/>
      <c r="MY107" s="109"/>
      <c r="MZ107" s="109"/>
      <c r="NA107" s="109"/>
      <c r="NB107" s="109"/>
    </row>
    <row r="108" spans="1:366" s="261" customFormat="1" x14ac:dyDescent="0.25">
      <c r="A108" s="113">
        <v>0</v>
      </c>
      <c r="B108" s="161" t="s">
        <v>1108</v>
      </c>
      <c r="C108" s="250" t="s">
        <v>674</v>
      </c>
      <c r="D108" s="254">
        <v>0</v>
      </c>
      <c r="E108" s="250" t="s">
        <v>674</v>
      </c>
      <c r="F108" s="254">
        <v>0</v>
      </c>
      <c r="G108" s="250" t="s">
        <v>674</v>
      </c>
      <c r="H108" s="254">
        <v>0</v>
      </c>
      <c r="I108" s="250" t="s">
        <v>674</v>
      </c>
      <c r="J108" s="254">
        <v>0.22832218017412506</v>
      </c>
      <c r="K108" s="250" t="s">
        <v>674</v>
      </c>
      <c r="L108" s="254">
        <v>0</v>
      </c>
      <c r="M108" s="250" t="s">
        <v>674</v>
      </c>
      <c r="N108" s="254">
        <v>0</v>
      </c>
      <c r="O108" s="250" t="s">
        <v>674</v>
      </c>
      <c r="P108" s="254">
        <v>0</v>
      </c>
      <c r="Q108" s="250" t="s">
        <v>674</v>
      </c>
      <c r="R108" s="254">
        <v>0</v>
      </c>
      <c r="S108" s="250" t="s">
        <v>674</v>
      </c>
      <c r="T108" s="254">
        <v>0</v>
      </c>
      <c r="U108" s="250" t="s">
        <v>674</v>
      </c>
      <c r="V108" s="254">
        <v>0</v>
      </c>
      <c r="W108" s="250" t="s">
        <v>674</v>
      </c>
      <c r="X108" s="254">
        <v>8.2933467054625135E-2</v>
      </c>
      <c r="Y108" s="250" t="s">
        <v>674</v>
      </c>
      <c r="Z108" s="254">
        <v>0.16116226397860878</v>
      </c>
      <c r="AA108" s="250" t="s">
        <v>674</v>
      </c>
      <c r="AB108" s="254">
        <v>0</v>
      </c>
      <c r="AC108" s="250" t="s">
        <v>674</v>
      </c>
      <c r="AD108" s="254">
        <v>0</v>
      </c>
      <c r="AE108" s="250" t="s">
        <v>674</v>
      </c>
      <c r="AF108" s="254">
        <v>0</v>
      </c>
      <c r="AG108" s="250" t="s">
        <v>674</v>
      </c>
      <c r="AH108" s="254">
        <v>0</v>
      </c>
      <c r="AI108" s="250" t="s">
        <v>674</v>
      </c>
      <c r="AJ108" s="254">
        <v>0</v>
      </c>
      <c r="AK108" s="250" t="s">
        <v>674</v>
      </c>
      <c r="AL108" s="254">
        <v>0</v>
      </c>
      <c r="AM108" s="250" t="s">
        <v>674</v>
      </c>
      <c r="AN108" s="254">
        <v>0</v>
      </c>
      <c r="AO108" s="250" t="s">
        <v>674</v>
      </c>
      <c r="AP108" s="254">
        <v>0</v>
      </c>
      <c r="AQ108" s="250" t="s">
        <v>674</v>
      </c>
      <c r="AR108" s="254">
        <v>0</v>
      </c>
      <c r="AS108" s="250" t="s">
        <v>674</v>
      </c>
      <c r="AT108" s="254">
        <v>0</v>
      </c>
      <c r="AU108" s="250" t="s">
        <v>674</v>
      </c>
      <c r="AV108" s="254">
        <v>6.841246535477831E-2</v>
      </c>
      <c r="AW108" s="250" t="s">
        <v>674</v>
      </c>
      <c r="AX108" s="254">
        <v>0.12453180725833797</v>
      </c>
      <c r="AY108" s="250" t="s">
        <v>674</v>
      </c>
      <c r="AZ108" s="254">
        <v>0</v>
      </c>
      <c r="BA108" s="250" t="s">
        <v>674</v>
      </c>
      <c r="BB108" s="254">
        <v>0</v>
      </c>
      <c r="BC108" s="250" t="s">
        <v>674</v>
      </c>
      <c r="BD108" s="254">
        <v>0</v>
      </c>
      <c r="BE108" s="250" t="s">
        <v>674</v>
      </c>
      <c r="BF108" s="254">
        <v>0.17642541777317083</v>
      </c>
      <c r="BG108" s="250" t="s">
        <v>674</v>
      </c>
      <c r="BH108" s="254">
        <v>0.16431108892984037</v>
      </c>
      <c r="BI108" s="250" t="s">
        <v>674</v>
      </c>
      <c r="BJ108" s="254">
        <v>0</v>
      </c>
      <c r="BK108" s="250" t="s">
        <v>674</v>
      </c>
      <c r="BL108" s="254">
        <v>1.4049353275826869E-2</v>
      </c>
      <c r="BM108" s="250" t="s">
        <v>674</v>
      </c>
      <c r="BN108" s="254">
        <v>0.13894855546541141</v>
      </c>
      <c r="BO108" s="250" t="s">
        <v>674</v>
      </c>
      <c r="BP108" s="254">
        <v>0</v>
      </c>
      <c r="BQ108" s="250" t="s">
        <v>674</v>
      </c>
      <c r="BR108" s="254">
        <v>0</v>
      </c>
      <c r="BS108" s="250" t="s">
        <v>674</v>
      </c>
      <c r="BT108" s="254">
        <v>0</v>
      </c>
      <c r="BU108" s="250" t="s">
        <v>674</v>
      </c>
      <c r="BV108" s="254">
        <v>0</v>
      </c>
      <c r="BW108" s="250" t="s">
        <v>674</v>
      </c>
      <c r="BX108" s="254">
        <v>0</v>
      </c>
      <c r="BY108" s="250" t="s">
        <v>674</v>
      </c>
      <c r="BZ108" s="254">
        <v>0.17669541619949858</v>
      </c>
      <c r="CA108" s="250" t="s">
        <v>674</v>
      </c>
      <c r="CB108" s="254">
        <v>0</v>
      </c>
      <c r="CC108" s="250" t="s">
        <v>674</v>
      </c>
      <c r="CD108" s="254">
        <v>0</v>
      </c>
      <c r="CE108" s="250" t="s">
        <v>674</v>
      </c>
      <c r="CF108" s="254">
        <v>0.17669541619949858</v>
      </c>
      <c r="CG108" s="250" t="s">
        <v>674</v>
      </c>
      <c r="CH108" s="254">
        <v>0</v>
      </c>
      <c r="CI108" s="250" t="s">
        <v>674</v>
      </c>
      <c r="CJ108" s="254">
        <v>0</v>
      </c>
      <c r="CK108" s="250" t="s">
        <v>674</v>
      </c>
      <c r="CL108" s="254">
        <v>0.17669541619949858</v>
      </c>
      <c r="CM108" s="250" t="s">
        <v>674</v>
      </c>
      <c r="CN108" s="254">
        <v>0</v>
      </c>
      <c r="CO108" s="250" t="s">
        <v>674</v>
      </c>
      <c r="CP108" s="254">
        <v>0</v>
      </c>
      <c r="CQ108" s="250" t="s">
        <v>674</v>
      </c>
      <c r="CR108" s="254">
        <v>0</v>
      </c>
      <c r="CS108" s="250" t="s">
        <v>674</v>
      </c>
      <c r="CT108" s="254">
        <v>0</v>
      </c>
      <c r="CU108" s="250" t="s">
        <v>674</v>
      </c>
      <c r="CV108" s="254">
        <v>0</v>
      </c>
      <c r="CW108" s="250" t="s">
        <v>674</v>
      </c>
      <c r="CX108" s="254">
        <v>0</v>
      </c>
      <c r="CY108" s="250" t="s">
        <v>674</v>
      </c>
      <c r="CZ108" s="254">
        <v>0</v>
      </c>
      <c r="DA108" s="250" t="s">
        <v>674</v>
      </c>
      <c r="DB108" s="254">
        <v>0</v>
      </c>
      <c r="DC108" s="250" t="s">
        <v>674</v>
      </c>
      <c r="DD108" s="254">
        <v>0</v>
      </c>
      <c r="DE108" s="250" t="s">
        <v>674</v>
      </c>
      <c r="DF108" s="254">
        <v>0</v>
      </c>
      <c r="DG108" s="250" t="s">
        <v>674</v>
      </c>
      <c r="DH108" s="254">
        <v>0</v>
      </c>
      <c r="DI108" s="250" t="s">
        <v>674</v>
      </c>
      <c r="DJ108" s="254">
        <v>0</v>
      </c>
      <c r="DK108" s="250" t="s">
        <v>674</v>
      </c>
      <c r="DL108" s="254">
        <v>0</v>
      </c>
      <c r="DM108" s="250" t="s">
        <v>674</v>
      </c>
      <c r="DN108" s="254">
        <v>2.5989606674014929E-2</v>
      </c>
      <c r="DO108" s="250" t="s">
        <v>674</v>
      </c>
      <c r="DP108" s="254">
        <v>0</v>
      </c>
      <c r="DQ108" s="250" t="s">
        <v>674</v>
      </c>
      <c r="DR108" s="254">
        <v>0</v>
      </c>
      <c r="DS108" s="109"/>
      <c r="DT108" s="109"/>
      <c r="DU108" s="109"/>
      <c r="DV108" s="109"/>
      <c r="DW108" s="109"/>
      <c r="DX108" s="109"/>
      <c r="DY108" s="109"/>
      <c r="DZ108" s="109"/>
      <c r="EA108" s="109"/>
      <c r="EB108" s="109"/>
      <c r="EC108" s="109"/>
      <c r="ED108" s="109"/>
      <c r="EE108" s="109"/>
      <c r="EF108" s="109"/>
      <c r="EG108" s="109"/>
      <c r="EH108" s="109"/>
      <c r="EI108" s="109"/>
      <c r="EJ108" s="109"/>
      <c r="EK108" s="109"/>
      <c r="EL108" s="109"/>
      <c r="EM108" s="109"/>
      <c r="EN108" s="109"/>
      <c r="EO108" s="109"/>
      <c r="EP108" s="109"/>
      <c r="EQ108" s="109"/>
      <c r="ER108" s="109"/>
      <c r="ES108" s="109"/>
      <c r="ET108" s="109"/>
      <c r="EU108" s="109"/>
      <c r="EV108" s="109"/>
      <c r="EW108" s="109"/>
      <c r="EX108" s="109"/>
      <c r="EY108" s="109"/>
      <c r="EZ108" s="109"/>
      <c r="FA108" s="109"/>
      <c r="FB108" s="109"/>
      <c r="FC108" s="109"/>
      <c r="FD108" s="109"/>
      <c r="FE108" s="109"/>
      <c r="FF108" s="109"/>
      <c r="FG108" s="109"/>
      <c r="FH108" s="109"/>
      <c r="FI108" s="109"/>
      <c r="FJ108" s="109"/>
      <c r="FK108" s="109"/>
      <c r="FL108" s="109"/>
      <c r="FM108" s="109"/>
      <c r="FN108" s="109"/>
      <c r="FO108" s="109"/>
      <c r="FP108" s="109"/>
      <c r="FQ108" s="109"/>
      <c r="FR108" s="109"/>
      <c r="FS108" s="109"/>
      <c r="FT108" s="109"/>
      <c r="FU108" s="109"/>
      <c r="FV108" s="109"/>
      <c r="FW108" s="109"/>
      <c r="FX108" s="109"/>
      <c r="FY108" s="109"/>
      <c r="FZ108" s="109"/>
      <c r="GA108" s="109"/>
      <c r="GB108" s="109"/>
      <c r="GC108" s="109"/>
      <c r="GD108" s="109"/>
      <c r="GE108" s="109"/>
      <c r="GF108" s="109"/>
      <c r="GG108" s="109"/>
      <c r="GH108" s="109"/>
      <c r="GI108" s="109"/>
      <c r="GJ108" s="109"/>
      <c r="GK108" s="109"/>
      <c r="GL108" s="109"/>
      <c r="GM108" s="109"/>
      <c r="GN108" s="109"/>
      <c r="GO108" s="109"/>
      <c r="GP108" s="109"/>
      <c r="GQ108" s="109"/>
      <c r="GR108" s="109"/>
      <c r="GS108" s="109"/>
      <c r="GT108" s="109"/>
      <c r="GU108" s="109"/>
      <c r="GV108" s="109"/>
      <c r="GW108" s="109"/>
      <c r="GX108" s="109"/>
      <c r="GY108" s="109"/>
      <c r="GZ108" s="109"/>
      <c r="HA108" s="109"/>
      <c r="HB108" s="109"/>
      <c r="HC108" s="109"/>
      <c r="HD108" s="109"/>
      <c r="HE108" s="109"/>
      <c r="HF108" s="109"/>
      <c r="HG108" s="109"/>
      <c r="HH108" s="109"/>
      <c r="HI108" s="109"/>
      <c r="HJ108" s="109"/>
      <c r="HK108" s="109"/>
      <c r="HL108" s="109"/>
      <c r="HM108" s="109"/>
      <c r="HN108" s="109"/>
      <c r="HO108" s="109"/>
      <c r="HP108" s="109"/>
      <c r="HQ108" s="109"/>
      <c r="HR108" s="109"/>
      <c r="HS108" s="109"/>
      <c r="HT108" s="109"/>
      <c r="HU108" s="109"/>
      <c r="HV108" s="109"/>
      <c r="HW108" s="109"/>
      <c r="HX108" s="109"/>
      <c r="HY108" s="109"/>
      <c r="HZ108" s="109"/>
      <c r="IA108" s="109"/>
      <c r="IB108" s="109"/>
      <c r="IC108" s="109"/>
      <c r="ID108" s="109"/>
      <c r="IE108" s="109"/>
      <c r="IF108" s="109"/>
      <c r="IG108" s="109"/>
      <c r="IH108" s="109"/>
      <c r="II108" s="109"/>
      <c r="IJ108" s="109"/>
      <c r="IK108" s="109"/>
      <c r="IL108" s="109"/>
      <c r="IM108" s="109"/>
      <c r="IN108" s="109"/>
      <c r="IO108" s="109"/>
      <c r="IP108" s="109"/>
      <c r="IQ108" s="109"/>
      <c r="IR108" s="109"/>
      <c r="IS108" s="109"/>
      <c r="IT108" s="109"/>
      <c r="IU108" s="109"/>
      <c r="IV108" s="109"/>
      <c r="IW108" s="109"/>
      <c r="IX108" s="109"/>
      <c r="IY108" s="109"/>
      <c r="IZ108" s="109"/>
      <c r="JA108" s="109"/>
      <c r="JB108" s="109"/>
      <c r="JC108" s="109"/>
      <c r="JD108" s="109"/>
      <c r="JE108" s="109"/>
      <c r="JF108" s="109"/>
      <c r="JG108" s="109"/>
      <c r="JH108" s="109"/>
      <c r="JI108" s="109"/>
      <c r="JJ108" s="109"/>
      <c r="JK108" s="109"/>
      <c r="JL108" s="109"/>
      <c r="JM108" s="109"/>
      <c r="JN108" s="109"/>
      <c r="JO108" s="109"/>
      <c r="JP108" s="109"/>
      <c r="JQ108" s="109"/>
      <c r="JR108" s="109"/>
      <c r="JS108" s="109"/>
      <c r="JT108" s="109"/>
      <c r="JU108" s="109"/>
      <c r="JV108" s="109"/>
      <c r="JW108" s="109"/>
      <c r="JX108" s="109"/>
      <c r="JY108" s="109"/>
      <c r="JZ108" s="109"/>
      <c r="KA108" s="109"/>
      <c r="KB108" s="109"/>
      <c r="KC108" s="109"/>
      <c r="KD108" s="109"/>
      <c r="KE108" s="109"/>
      <c r="KF108" s="109"/>
      <c r="KG108" s="109"/>
      <c r="KH108" s="109"/>
      <c r="KI108" s="109"/>
      <c r="KJ108" s="109"/>
      <c r="KK108" s="109"/>
      <c r="KL108" s="109"/>
      <c r="KM108" s="109"/>
      <c r="KN108" s="109"/>
      <c r="KO108" s="109"/>
      <c r="KP108" s="109"/>
      <c r="KQ108" s="109"/>
      <c r="KR108" s="109"/>
      <c r="KS108" s="109"/>
      <c r="KT108" s="109"/>
      <c r="KU108" s="109"/>
      <c r="KV108" s="109"/>
      <c r="KW108" s="109"/>
      <c r="KX108" s="109"/>
      <c r="KY108" s="109"/>
      <c r="KZ108" s="109"/>
      <c r="LA108" s="109"/>
      <c r="LB108" s="109"/>
      <c r="LC108" s="109"/>
      <c r="LD108" s="109"/>
      <c r="LE108" s="109"/>
      <c r="LF108" s="109"/>
      <c r="LG108" s="109"/>
      <c r="LH108" s="109"/>
      <c r="LI108" s="109"/>
      <c r="LJ108" s="109"/>
      <c r="LK108" s="109"/>
      <c r="LL108" s="109"/>
      <c r="LM108" s="109"/>
      <c r="LN108" s="109"/>
      <c r="LO108" s="109"/>
      <c r="LP108" s="109"/>
      <c r="LQ108" s="109"/>
      <c r="LR108" s="109"/>
      <c r="LS108" s="109"/>
      <c r="LT108" s="109"/>
      <c r="LU108" s="109"/>
      <c r="LV108" s="109"/>
      <c r="LW108" s="109"/>
      <c r="LX108" s="109"/>
      <c r="LY108" s="109"/>
      <c r="LZ108" s="109"/>
      <c r="MA108" s="109"/>
      <c r="MB108" s="109"/>
      <c r="MC108" s="109"/>
      <c r="MD108" s="109"/>
      <c r="ME108" s="109"/>
      <c r="MF108" s="109"/>
      <c r="MG108" s="109"/>
      <c r="MH108" s="150"/>
      <c r="MI108" s="109"/>
      <c r="MJ108" s="109"/>
      <c r="MK108" s="109"/>
      <c r="ML108" s="109"/>
      <c r="MM108" s="109"/>
      <c r="MN108" s="109"/>
      <c r="MO108" s="109"/>
      <c r="MP108" s="109"/>
      <c r="MQ108" s="109"/>
      <c r="MR108" s="109"/>
      <c r="MS108" s="109"/>
      <c r="MT108" s="109"/>
      <c r="MU108" s="109"/>
      <c r="MV108" s="109"/>
      <c r="MW108" s="109"/>
      <c r="MX108" s="109"/>
      <c r="MY108" s="109"/>
      <c r="MZ108" s="109"/>
      <c r="NA108" s="109"/>
      <c r="NB108" s="109"/>
    </row>
    <row r="109" spans="1:366" s="261" customFormat="1" x14ac:dyDescent="0.25">
      <c r="A109" s="113">
        <v>0</v>
      </c>
      <c r="B109" s="161" t="s">
        <v>1109</v>
      </c>
      <c r="C109" s="250" t="s">
        <v>674</v>
      </c>
      <c r="D109" s="254">
        <v>0</v>
      </c>
      <c r="E109" s="250" t="s">
        <v>674</v>
      </c>
      <c r="F109" s="254">
        <v>0</v>
      </c>
      <c r="G109" s="250" t="s">
        <v>674</v>
      </c>
      <c r="H109" s="254">
        <v>0</v>
      </c>
      <c r="I109" s="250" t="s">
        <v>674</v>
      </c>
      <c r="J109" s="254">
        <v>0.54335564056503882</v>
      </c>
      <c r="K109" s="250" t="s">
        <v>674</v>
      </c>
      <c r="L109" s="254">
        <v>0.97989142161626896</v>
      </c>
      <c r="M109" s="250" t="s">
        <v>674</v>
      </c>
      <c r="N109" s="254">
        <v>0.93373800223401449</v>
      </c>
      <c r="O109" s="250" t="s">
        <v>674</v>
      </c>
      <c r="P109" s="254">
        <v>0.81983350359033902</v>
      </c>
      <c r="Q109" s="250" t="s">
        <v>674</v>
      </c>
      <c r="R109" s="254">
        <v>0</v>
      </c>
      <c r="S109" s="250" t="s">
        <v>674</v>
      </c>
      <c r="T109" s="254">
        <v>0</v>
      </c>
      <c r="U109" s="250" t="s">
        <v>674</v>
      </c>
      <c r="V109" s="254">
        <v>0</v>
      </c>
      <c r="W109" s="250" t="s">
        <v>674</v>
      </c>
      <c r="X109" s="254">
        <v>0.1973630730110387</v>
      </c>
      <c r="Y109" s="250" t="s">
        <v>674</v>
      </c>
      <c r="Z109" s="254">
        <v>0.6717606271037373</v>
      </c>
      <c r="AA109" s="250" t="s">
        <v>674</v>
      </c>
      <c r="AB109" s="254">
        <v>0.93373800223401449</v>
      </c>
      <c r="AC109" s="250" t="s">
        <v>674</v>
      </c>
      <c r="AD109" s="254">
        <v>0.81983350359033902</v>
      </c>
      <c r="AE109" s="250" t="s">
        <v>674</v>
      </c>
      <c r="AF109" s="254">
        <v>0.62938876999918703</v>
      </c>
      <c r="AG109" s="250" t="s">
        <v>674</v>
      </c>
      <c r="AH109" s="254">
        <v>0.30967297462230714</v>
      </c>
      <c r="AI109" s="250" t="s">
        <v>674</v>
      </c>
      <c r="AJ109" s="254">
        <v>0</v>
      </c>
      <c r="AK109" s="250" t="s">
        <v>674</v>
      </c>
      <c r="AL109" s="254">
        <v>0</v>
      </c>
      <c r="AM109" s="250" t="s">
        <v>674</v>
      </c>
      <c r="AN109" s="254">
        <v>0</v>
      </c>
      <c r="AO109" s="250" t="s">
        <v>674</v>
      </c>
      <c r="AP109" s="254">
        <v>0</v>
      </c>
      <c r="AQ109" s="250" t="s">
        <v>674</v>
      </c>
      <c r="AR109" s="254">
        <v>0</v>
      </c>
      <c r="AS109" s="250" t="s">
        <v>674</v>
      </c>
      <c r="AT109" s="254">
        <v>0</v>
      </c>
      <c r="AU109" s="250" t="s">
        <v>674</v>
      </c>
      <c r="AV109" s="254">
        <v>0.16280634192933174</v>
      </c>
      <c r="AW109" s="250" t="s">
        <v>674</v>
      </c>
      <c r="AX109" s="254">
        <v>0.74179545693258664</v>
      </c>
      <c r="AY109" s="250" t="s">
        <v>674</v>
      </c>
      <c r="AZ109" s="254">
        <v>0.96351670968314795</v>
      </c>
      <c r="BA109" s="250" t="s">
        <v>674</v>
      </c>
      <c r="BB109" s="254">
        <v>0</v>
      </c>
      <c r="BC109" s="250" t="s">
        <v>674</v>
      </c>
      <c r="BD109" s="254">
        <v>0</v>
      </c>
      <c r="BE109" s="250" t="s">
        <v>674</v>
      </c>
      <c r="BF109" s="254">
        <v>0.64257856183993833</v>
      </c>
      <c r="BG109" s="250" t="s">
        <v>674</v>
      </c>
      <c r="BH109" s="254">
        <v>0.39102358303221113</v>
      </c>
      <c r="BI109" s="250" t="s">
        <v>674</v>
      </c>
      <c r="BJ109" s="254">
        <v>0.96993846785809068</v>
      </c>
      <c r="BK109" s="250" t="s">
        <v>674</v>
      </c>
      <c r="BL109" s="254">
        <v>0.94522083106472632</v>
      </c>
      <c r="BM109" s="250" t="s">
        <v>674</v>
      </c>
      <c r="BN109" s="254">
        <v>0.61466923514945615</v>
      </c>
      <c r="BO109" s="250" t="s">
        <v>674</v>
      </c>
      <c r="BP109" s="254">
        <v>0.61843824560186345</v>
      </c>
      <c r="BQ109" s="250" t="s">
        <v>674</v>
      </c>
      <c r="BR109" s="254">
        <v>0.91092218222085275</v>
      </c>
      <c r="BS109" s="250" t="s">
        <v>674</v>
      </c>
      <c r="BT109" s="254">
        <v>0.87966100143702119</v>
      </c>
      <c r="BU109" s="250" t="s">
        <v>674</v>
      </c>
      <c r="BV109" s="254">
        <v>0</v>
      </c>
      <c r="BW109" s="250" t="s">
        <v>674</v>
      </c>
      <c r="BX109" s="254">
        <v>0</v>
      </c>
      <c r="BY109" s="250" t="s">
        <v>674</v>
      </c>
      <c r="BZ109" s="254">
        <v>0.42049550762333243</v>
      </c>
      <c r="CA109" s="250" t="s">
        <v>674</v>
      </c>
      <c r="CB109" s="254">
        <v>0</v>
      </c>
      <c r="CC109" s="250" t="s">
        <v>674</v>
      </c>
      <c r="CD109" s="254">
        <v>0</v>
      </c>
      <c r="CE109" s="250" t="s">
        <v>674</v>
      </c>
      <c r="CF109" s="254">
        <v>0.42049550762333243</v>
      </c>
      <c r="CG109" s="250" t="s">
        <v>674</v>
      </c>
      <c r="CH109" s="254">
        <v>0</v>
      </c>
      <c r="CI109" s="250" t="s">
        <v>674</v>
      </c>
      <c r="CJ109" s="254">
        <v>0</v>
      </c>
      <c r="CK109" s="250" t="s">
        <v>674</v>
      </c>
      <c r="CL109" s="254">
        <v>0.42049550762333243</v>
      </c>
      <c r="CM109" s="250" t="s">
        <v>674</v>
      </c>
      <c r="CN109" s="254">
        <v>0</v>
      </c>
      <c r="CO109" s="250" t="s">
        <v>674</v>
      </c>
      <c r="CP109" s="254">
        <v>0</v>
      </c>
      <c r="CQ109" s="250" t="s">
        <v>674</v>
      </c>
      <c r="CR109" s="254">
        <v>0</v>
      </c>
      <c r="CS109" s="250" t="s">
        <v>674</v>
      </c>
      <c r="CT109" s="254">
        <v>0</v>
      </c>
      <c r="CU109" s="250" t="s">
        <v>674</v>
      </c>
      <c r="CV109" s="254">
        <v>0</v>
      </c>
      <c r="CW109" s="250" t="s">
        <v>674</v>
      </c>
      <c r="CX109" s="254">
        <v>0</v>
      </c>
      <c r="CY109" s="250" t="s">
        <v>674</v>
      </c>
      <c r="CZ109" s="254">
        <v>0</v>
      </c>
      <c r="DA109" s="250" t="s">
        <v>674</v>
      </c>
      <c r="DB109" s="254">
        <v>0</v>
      </c>
      <c r="DC109" s="250" t="s">
        <v>674</v>
      </c>
      <c r="DD109" s="254">
        <v>0</v>
      </c>
      <c r="DE109" s="250" t="s">
        <v>674</v>
      </c>
      <c r="DF109" s="254">
        <v>0</v>
      </c>
      <c r="DG109" s="250" t="s">
        <v>674</v>
      </c>
      <c r="DH109" s="254">
        <v>0.55744798828675557</v>
      </c>
      <c r="DI109" s="250" t="s">
        <v>674</v>
      </c>
      <c r="DJ109" s="254">
        <v>0.4067946743144138</v>
      </c>
      <c r="DK109" s="250" t="s">
        <v>674</v>
      </c>
      <c r="DL109" s="254">
        <v>0.55744798828675557</v>
      </c>
      <c r="DM109" s="250" t="s">
        <v>674</v>
      </c>
      <c r="DN109" s="254">
        <v>0.4956729902879019</v>
      </c>
      <c r="DO109" s="250" t="s">
        <v>674</v>
      </c>
      <c r="DP109" s="254">
        <v>0.97989142161626896</v>
      </c>
      <c r="DQ109" s="250" t="s">
        <v>674</v>
      </c>
      <c r="DR109" s="254">
        <v>0.97989142161626896</v>
      </c>
      <c r="DS109" s="109"/>
      <c r="DT109" s="109"/>
      <c r="DU109" s="109"/>
      <c r="DV109" s="109"/>
      <c r="DW109" s="109"/>
      <c r="DX109" s="109"/>
      <c r="DY109" s="109"/>
      <c r="DZ109" s="109"/>
      <c r="EA109" s="109"/>
      <c r="EB109" s="109"/>
      <c r="EC109" s="109"/>
      <c r="ED109" s="109"/>
      <c r="EE109" s="109"/>
      <c r="EF109" s="109"/>
      <c r="EG109" s="109"/>
      <c r="EH109" s="109"/>
      <c r="EI109" s="109"/>
      <c r="EJ109" s="109"/>
      <c r="EK109" s="109"/>
      <c r="EL109" s="109"/>
      <c r="EM109" s="109"/>
      <c r="EN109" s="109"/>
      <c r="EO109" s="109"/>
      <c r="EP109" s="109"/>
      <c r="EQ109" s="109"/>
      <c r="ER109" s="109"/>
      <c r="ES109" s="109"/>
      <c r="ET109" s="109"/>
      <c r="EU109" s="109"/>
      <c r="EV109" s="109"/>
      <c r="EW109" s="109"/>
      <c r="EX109" s="109"/>
      <c r="EY109" s="109"/>
      <c r="EZ109" s="109"/>
      <c r="FA109" s="109"/>
      <c r="FB109" s="109"/>
      <c r="FC109" s="109"/>
      <c r="FD109" s="109"/>
      <c r="FE109" s="109"/>
      <c r="FF109" s="109"/>
      <c r="FG109" s="109"/>
      <c r="FH109" s="109"/>
      <c r="FI109" s="109"/>
      <c r="FJ109" s="109"/>
      <c r="FK109" s="109"/>
      <c r="FL109" s="109"/>
      <c r="FM109" s="109"/>
      <c r="FN109" s="109"/>
      <c r="FO109" s="109"/>
      <c r="FP109" s="109"/>
      <c r="FQ109" s="109"/>
      <c r="FR109" s="109"/>
      <c r="FS109" s="109"/>
      <c r="FT109" s="109"/>
      <c r="FU109" s="109"/>
      <c r="FV109" s="109"/>
      <c r="FW109" s="109"/>
      <c r="FX109" s="109"/>
      <c r="FY109" s="109"/>
      <c r="FZ109" s="109"/>
      <c r="GA109" s="109"/>
      <c r="GB109" s="109"/>
      <c r="GC109" s="109"/>
      <c r="GD109" s="109"/>
      <c r="GE109" s="109"/>
      <c r="GF109" s="109"/>
      <c r="GG109" s="109"/>
      <c r="GH109" s="109"/>
      <c r="GI109" s="109"/>
      <c r="GJ109" s="109"/>
      <c r="GK109" s="109"/>
      <c r="GL109" s="109"/>
      <c r="GM109" s="109"/>
      <c r="GN109" s="109"/>
      <c r="GO109" s="109"/>
      <c r="GP109" s="109"/>
      <c r="GQ109" s="109"/>
      <c r="GR109" s="109"/>
      <c r="GS109" s="109"/>
      <c r="GT109" s="109"/>
      <c r="GU109" s="109"/>
      <c r="GV109" s="109"/>
      <c r="GW109" s="109"/>
      <c r="GX109" s="109"/>
      <c r="GY109" s="109"/>
      <c r="GZ109" s="109"/>
      <c r="HA109" s="109"/>
      <c r="HB109" s="109"/>
      <c r="HC109" s="109"/>
      <c r="HD109" s="109"/>
      <c r="HE109" s="109"/>
      <c r="HF109" s="109"/>
      <c r="HG109" s="109"/>
      <c r="HH109" s="109"/>
      <c r="HI109" s="109"/>
      <c r="HJ109" s="109"/>
      <c r="HK109" s="109"/>
      <c r="HL109" s="109"/>
      <c r="HM109" s="109"/>
      <c r="HN109" s="109"/>
      <c r="HO109" s="109"/>
      <c r="HP109" s="109"/>
      <c r="HQ109" s="109"/>
      <c r="HR109" s="109"/>
      <c r="HS109" s="109"/>
      <c r="HT109" s="109"/>
      <c r="HU109" s="109"/>
      <c r="HV109" s="109"/>
      <c r="HW109" s="109"/>
      <c r="HX109" s="109"/>
      <c r="HY109" s="109"/>
      <c r="HZ109" s="109"/>
      <c r="IA109" s="109"/>
      <c r="IB109" s="109"/>
      <c r="IC109" s="109"/>
      <c r="ID109" s="109"/>
      <c r="IE109" s="109"/>
      <c r="IF109" s="109"/>
      <c r="IG109" s="109"/>
      <c r="IH109" s="109"/>
      <c r="II109" s="109"/>
      <c r="IJ109" s="109"/>
      <c r="IK109" s="109"/>
      <c r="IL109" s="109"/>
      <c r="IM109" s="109"/>
      <c r="IN109" s="109"/>
      <c r="IO109" s="109"/>
      <c r="IP109" s="109"/>
      <c r="IQ109" s="109"/>
      <c r="IR109" s="109"/>
      <c r="IS109" s="109"/>
      <c r="IT109" s="109"/>
      <c r="IU109" s="109"/>
      <c r="IV109" s="109"/>
      <c r="IW109" s="109"/>
      <c r="IX109" s="109"/>
      <c r="IY109" s="109"/>
      <c r="IZ109" s="109"/>
      <c r="JA109" s="109"/>
      <c r="JB109" s="109"/>
      <c r="JC109" s="109"/>
      <c r="JD109" s="109"/>
      <c r="JE109" s="109"/>
      <c r="JF109" s="109"/>
      <c r="JG109" s="109"/>
      <c r="JH109" s="109"/>
      <c r="JI109" s="109"/>
      <c r="JJ109" s="109"/>
      <c r="JK109" s="109"/>
      <c r="JL109" s="109"/>
      <c r="JM109" s="109"/>
      <c r="JN109" s="109"/>
      <c r="JO109" s="109"/>
      <c r="JP109" s="109"/>
      <c r="JQ109" s="109"/>
      <c r="JR109" s="109"/>
      <c r="JS109" s="109"/>
      <c r="JT109" s="109"/>
      <c r="JU109" s="109"/>
      <c r="JV109" s="109"/>
      <c r="JW109" s="109"/>
      <c r="JX109" s="109"/>
      <c r="JY109" s="109"/>
      <c r="JZ109" s="109"/>
      <c r="KA109" s="109"/>
      <c r="KB109" s="109"/>
      <c r="KC109" s="109"/>
      <c r="KD109" s="109"/>
      <c r="KE109" s="109"/>
      <c r="KF109" s="109"/>
      <c r="KG109" s="109"/>
      <c r="KH109" s="109"/>
      <c r="KI109" s="109"/>
      <c r="KJ109" s="109"/>
      <c r="KK109" s="109"/>
      <c r="KL109" s="109"/>
      <c r="KM109" s="109"/>
      <c r="KN109" s="109"/>
      <c r="KO109" s="109"/>
      <c r="KP109" s="109"/>
      <c r="KQ109" s="109"/>
      <c r="KR109" s="109"/>
      <c r="KS109" s="109"/>
      <c r="KT109" s="109"/>
      <c r="KU109" s="109"/>
      <c r="KV109" s="109"/>
      <c r="KW109" s="109"/>
      <c r="KX109" s="109"/>
      <c r="KY109" s="109"/>
      <c r="KZ109" s="109"/>
      <c r="LA109" s="109"/>
      <c r="LB109" s="109"/>
      <c r="LC109" s="109"/>
      <c r="LD109" s="109"/>
      <c r="LE109" s="109"/>
      <c r="LF109" s="109"/>
      <c r="LG109" s="109"/>
      <c r="LH109" s="109"/>
      <c r="LI109" s="109"/>
      <c r="LJ109" s="109"/>
      <c r="LK109" s="109"/>
      <c r="LL109" s="109"/>
      <c r="LM109" s="109"/>
      <c r="LN109" s="109"/>
      <c r="LO109" s="109"/>
      <c r="LP109" s="109"/>
      <c r="LQ109" s="109"/>
      <c r="LR109" s="109"/>
      <c r="LS109" s="109"/>
      <c r="LT109" s="109"/>
      <c r="LU109" s="109"/>
      <c r="LV109" s="109"/>
      <c r="LW109" s="109"/>
      <c r="LX109" s="109"/>
      <c r="LY109" s="109"/>
      <c r="LZ109" s="109"/>
      <c r="MA109" s="109"/>
      <c r="MB109" s="109"/>
      <c r="MC109" s="109"/>
      <c r="MD109" s="109"/>
      <c r="ME109" s="109"/>
      <c r="MF109" s="109"/>
      <c r="MG109" s="109"/>
      <c r="MH109" s="150"/>
      <c r="MI109" s="109"/>
      <c r="MJ109" s="109"/>
      <c r="MK109" s="109"/>
      <c r="ML109" s="109"/>
      <c r="MM109" s="109"/>
      <c r="MN109" s="109"/>
      <c r="MO109" s="109"/>
      <c r="MP109" s="109"/>
      <c r="MQ109" s="109"/>
      <c r="MR109" s="109"/>
      <c r="MS109" s="109"/>
      <c r="MT109" s="109"/>
      <c r="MU109" s="109"/>
      <c r="MV109" s="109"/>
      <c r="MW109" s="109"/>
      <c r="MX109" s="109"/>
      <c r="MY109" s="109"/>
      <c r="MZ109" s="109"/>
      <c r="NA109" s="109"/>
      <c r="NB109" s="109"/>
    </row>
    <row r="110" spans="1:366" s="261" customFormat="1" x14ac:dyDescent="0.25">
      <c r="A110" s="113">
        <v>0</v>
      </c>
      <c r="B110" s="161" t="s">
        <v>1110</v>
      </c>
      <c r="C110" s="250" t="s">
        <v>674</v>
      </c>
      <c r="D110" s="254">
        <v>0</v>
      </c>
      <c r="E110" s="250" t="s">
        <v>674</v>
      </c>
      <c r="F110" s="254">
        <v>0</v>
      </c>
      <c r="G110" s="250" t="s">
        <v>674</v>
      </c>
      <c r="H110" s="254">
        <v>0</v>
      </c>
      <c r="I110" s="250" t="s">
        <v>674</v>
      </c>
      <c r="J110" s="254">
        <v>0</v>
      </c>
      <c r="K110" s="250" t="s">
        <v>674</v>
      </c>
      <c r="L110" s="254">
        <v>2.0108578383730997E-2</v>
      </c>
      <c r="M110" s="250" t="s">
        <v>674</v>
      </c>
      <c r="N110" s="254">
        <v>6.6261997765985597E-2</v>
      </c>
      <c r="O110" s="250" t="s">
        <v>674</v>
      </c>
      <c r="P110" s="254">
        <v>0.18016649640966095</v>
      </c>
      <c r="Q110" s="250" t="s">
        <v>674</v>
      </c>
      <c r="R110" s="254">
        <v>1</v>
      </c>
      <c r="S110" s="250" t="s">
        <v>674</v>
      </c>
      <c r="T110" s="254">
        <v>0</v>
      </c>
      <c r="U110" s="250" t="s">
        <v>674</v>
      </c>
      <c r="V110" s="254">
        <v>0</v>
      </c>
      <c r="W110" s="250" t="s">
        <v>674</v>
      </c>
      <c r="X110" s="254">
        <v>0</v>
      </c>
      <c r="Y110" s="250" t="s">
        <v>674</v>
      </c>
      <c r="Z110" s="254">
        <v>5.9148455836941496E-3</v>
      </c>
      <c r="AA110" s="250" t="s">
        <v>674</v>
      </c>
      <c r="AB110" s="254">
        <v>6.6261997765985597E-2</v>
      </c>
      <c r="AC110" s="250" t="s">
        <v>674</v>
      </c>
      <c r="AD110" s="254">
        <v>0.18016649640966095</v>
      </c>
      <c r="AE110" s="250" t="s">
        <v>674</v>
      </c>
      <c r="AF110" s="254">
        <v>0.37061123000081303</v>
      </c>
      <c r="AG110" s="250" t="s">
        <v>674</v>
      </c>
      <c r="AH110" s="254">
        <v>0.69032702537769286</v>
      </c>
      <c r="AI110" s="250" t="s">
        <v>674</v>
      </c>
      <c r="AJ110" s="254">
        <v>1</v>
      </c>
      <c r="AK110" s="250" t="s">
        <v>674</v>
      </c>
      <c r="AL110" s="254">
        <v>1</v>
      </c>
      <c r="AM110" s="250" t="s">
        <v>674</v>
      </c>
      <c r="AN110" s="254">
        <v>1</v>
      </c>
      <c r="AO110" s="250" t="s">
        <v>674</v>
      </c>
      <c r="AP110" s="254">
        <v>0</v>
      </c>
      <c r="AQ110" s="250" t="s">
        <v>674</v>
      </c>
      <c r="AR110" s="254">
        <v>0</v>
      </c>
      <c r="AS110" s="250" t="s">
        <v>674</v>
      </c>
      <c r="AT110" s="254">
        <v>0</v>
      </c>
      <c r="AU110" s="250" t="s">
        <v>674</v>
      </c>
      <c r="AV110" s="254">
        <v>0</v>
      </c>
      <c r="AW110" s="250" t="s">
        <v>674</v>
      </c>
      <c r="AX110" s="254">
        <v>9.1409290488646787E-3</v>
      </c>
      <c r="AY110" s="250" t="s">
        <v>674</v>
      </c>
      <c r="AZ110" s="254">
        <v>3.6483290316851984E-2</v>
      </c>
      <c r="BA110" s="250" t="s">
        <v>674</v>
      </c>
      <c r="BB110" s="254">
        <v>0</v>
      </c>
      <c r="BC110" s="250" t="s">
        <v>674</v>
      </c>
      <c r="BD110" s="254">
        <v>0</v>
      </c>
      <c r="BE110" s="250" t="s">
        <v>674</v>
      </c>
      <c r="BF110" s="254">
        <v>4.5706033194216796E-3</v>
      </c>
      <c r="BG110" s="250" t="s">
        <v>674</v>
      </c>
      <c r="BH110" s="254">
        <v>0</v>
      </c>
      <c r="BI110" s="250" t="s">
        <v>674</v>
      </c>
      <c r="BJ110" s="254">
        <v>3.0061532141909368E-2</v>
      </c>
      <c r="BK110" s="250" t="s">
        <v>674</v>
      </c>
      <c r="BL110" s="254">
        <v>2.66804624398175E-2</v>
      </c>
      <c r="BM110" s="250" t="s">
        <v>674</v>
      </c>
      <c r="BN110" s="254">
        <v>5.8280871135963147E-3</v>
      </c>
      <c r="BO110" s="250" t="s">
        <v>674</v>
      </c>
      <c r="BP110" s="254">
        <v>2.7234096046198624E-2</v>
      </c>
      <c r="BQ110" s="250" t="s">
        <v>674</v>
      </c>
      <c r="BR110" s="254">
        <v>5.4103133536238059E-2</v>
      </c>
      <c r="BS110" s="250" t="s">
        <v>674</v>
      </c>
      <c r="BT110" s="254">
        <v>5.2918455306786419E-2</v>
      </c>
      <c r="BU110" s="250" t="s">
        <v>674</v>
      </c>
      <c r="BV110" s="254">
        <v>0</v>
      </c>
      <c r="BW110" s="250" t="s">
        <v>674</v>
      </c>
      <c r="BX110" s="254">
        <v>0</v>
      </c>
      <c r="BY110" s="250" t="s">
        <v>674</v>
      </c>
      <c r="BZ110" s="254">
        <v>0</v>
      </c>
      <c r="CA110" s="250" t="s">
        <v>674</v>
      </c>
      <c r="CB110" s="254">
        <v>0</v>
      </c>
      <c r="CC110" s="250" t="s">
        <v>674</v>
      </c>
      <c r="CD110" s="254">
        <v>0</v>
      </c>
      <c r="CE110" s="250" t="s">
        <v>674</v>
      </c>
      <c r="CF110" s="254">
        <v>0</v>
      </c>
      <c r="CG110" s="250" t="s">
        <v>674</v>
      </c>
      <c r="CH110" s="254">
        <v>0</v>
      </c>
      <c r="CI110" s="250" t="s">
        <v>674</v>
      </c>
      <c r="CJ110" s="254">
        <v>0</v>
      </c>
      <c r="CK110" s="250" t="s">
        <v>674</v>
      </c>
      <c r="CL110" s="254">
        <v>0</v>
      </c>
      <c r="CM110" s="250" t="s">
        <v>674</v>
      </c>
      <c r="CN110" s="254">
        <v>0</v>
      </c>
      <c r="CO110" s="250" t="s">
        <v>674</v>
      </c>
      <c r="CP110" s="254">
        <v>0</v>
      </c>
      <c r="CQ110" s="250" t="s">
        <v>674</v>
      </c>
      <c r="CR110" s="254">
        <v>0</v>
      </c>
      <c r="CS110" s="250" t="s">
        <v>674</v>
      </c>
      <c r="CT110" s="254">
        <v>0</v>
      </c>
      <c r="CU110" s="250" t="s">
        <v>674</v>
      </c>
      <c r="CV110" s="254">
        <v>0</v>
      </c>
      <c r="CW110" s="250" t="s">
        <v>674</v>
      </c>
      <c r="CX110" s="254">
        <v>0</v>
      </c>
      <c r="CY110" s="250" t="s">
        <v>674</v>
      </c>
      <c r="CZ110" s="254">
        <v>0</v>
      </c>
      <c r="DA110" s="250" t="s">
        <v>674</v>
      </c>
      <c r="DB110" s="254">
        <v>0</v>
      </c>
      <c r="DC110" s="250" t="s">
        <v>674</v>
      </c>
      <c r="DD110" s="254">
        <v>0</v>
      </c>
      <c r="DE110" s="250" t="s">
        <v>674</v>
      </c>
      <c r="DF110" s="254">
        <v>0</v>
      </c>
      <c r="DG110" s="250" t="s">
        <v>674</v>
      </c>
      <c r="DH110" s="254">
        <v>0.44255201171324443</v>
      </c>
      <c r="DI110" s="250" t="s">
        <v>674</v>
      </c>
      <c r="DJ110" s="254">
        <v>0.59320532568558615</v>
      </c>
      <c r="DK110" s="250" t="s">
        <v>674</v>
      </c>
      <c r="DL110" s="254">
        <v>0.44255201171324443</v>
      </c>
      <c r="DM110" s="250" t="s">
        <v>674</v>
      </c>
      <c r="DN110" s="254">
        <v>8.9025933262478398E-3</v>
      </c>
      <c r="DO110" s="250" t="s">
        <v>674</v>
      </c>
      <c r="DP110" s="254">
        <v>2.0108578383730997E-2</v>
      </c>
      <c r="DQ110" s="250" t="s">
        <v>674</v>
      </c>
      <c r="DR110" s="254">
        <v>2.0108578383730997E-2</v>
      </c>
      <c r="DS110" s="109"/>
      <c r="DT110" s="109"/>
      <c r="DU110" s="109"/>
      <c r="DV110" s="109"/>
      <c r="DW110" s="109"/>
      <c r="DX110" s="109"/>
      <c r="DY110" s="109"/>
      <c r="DZ110" s="109"/>
      <c r="EA110" s="109"/>
      <c r="EB110" s="109"/>
      <c r="EC110" s="109"/>
      <c r="ED110" s="109"/>
      <c r="EE110" s="109"/>
      <c r="EF110" s="109"/>
      <c r="EG110" s="109"/>
      <c r="EH110" s="109"/>
      <c r="EI110" s="109"/>
      <c r="EJ110" s="109"/>
      <c r="EK110" s="109"/>
      <c r="EL110" s="109"/>
      <c r="EM110" s="109"/>
      <c r="EN110" s="109"/>
      <c r="EO110" s="109"/>
      <c r="EP110" s="109"/>
      <c r="EQ110" s="109"/>
      <c r="ER110" s="109"/>
      <c r="ES110" s="109"/>
      <c r="ET110" s="109"/>
      <c r="EU110" s="109"/>
      <c r="EV110" s="109"/>
      <c r="EW110" s="109"/>
      <c r="EX110" s="109"/>
      <c r="EY110" s="109"/>
      <c r="EZ110" s="109"/>
      <c r="FA110" s="109"/>
      <c r="FB110" s="109"/>
      <c r="FC110" s="109"/>
      <c r="FD110" s="109"/>
      <c r="FE110" s="109"/>
      <c r="FF110" s="109"/>
      <c r="FG110" s="109"/>
      <c r="FH110" s="109"/>
      <c r="FI110" s="109"/>
      <c r="FJ110" s="109"/>
      <c r="FK110" s="109"/>
      <c r="FL110" s="109"/>
      <c r="FM110" s="109"/>
      <c r="FN110" s="109"/>
      <c r="FO110" s="109"/>
      <c r="FP110" s="109"/>
      <c r="FQ110" s="109"/>
      <c r="FR110" s="109"/>
      <c r="FS110" s="109"/>
      <c r="FT110" s="109"/>
      <c r="FU110" s="109"/>
      <c r="FV110" s="109"/>
      <c r="FW110" s="109"/>
      <c r="FX110" s="109"/>
      <c r="FY110" s="109"/>
      <c r="FZ110" s="109"/>
      <c r="GA110" s="109"/>
      <c r="GB110" s="109"/>
      <c r="GC110" s="109"/>
      <c r="GD110" s="109"/>
      <c r="GE110" s="109"/>
      <c r="GF110" s="109"/>
      <c r="GG110" s="109"/>
      <c r="GH110" s="109"/>
      <c r="GI110" s="109"/>
      <c r="GJ110" s="109"/>
      <c r="GK110" s="109"/>
      <c r="GL110" s="109"/>
      <c r="GM110" s="109"/>
      <c r="GN110" s="109"/>
      <c r="GO110" s="109"/>
      <c r="GP110" s="109"/>
      <c r="GQ110" s="109"/>
      <c r="GR110" s="109"/>
      <c r="GS110" s="109"/>
      <c r="GT110" s="109"/>
      <c r="GU110" s="109"/>
      <c r="GV110" s="109"/>
      <c r="GW110" s="109"/>
      <c r="GX110" s="109"/>
      <c r="GY110" s="109"/>
      <c r="GZ110" s="109"/>
      <c r="HA110" s="109"/>
      <c r="HB110" s="109"/>
      <c r="HC110" s="109"/>
      <c r="HD110" s="109"/>
      <c r="HE110" s="109"/>
      <c r="HF110" s="109"/>
      <c r="HG110" s="109"/>
      <c r="HH110" s="109"/>
      <c r="HI110" s="109"/>
      <c r="HJ110" s="109"/>
      <c r="HK110" s="109"/>
      <c r="HL110" s="109"/>
      <c r="HM110" s="109"/>
      <c r="HN110" s="109"/>
      <c r="HO110" s="109"/>
      <c r="HP110" s="109"/>
      <c r="HQ110" s="109"/>
      <c r="HR110" s="109"/>
      <c r="HS110" s="109"/>
      <c r="HT110" s="109"/>
      <c r="HU110" s="109"/>
      <c r="HV110" s="109"/>
      <c r="HW110" s="109"/>
      <c r="HX110" s="109"/>
      <c r="HY110" s="109"/>
      <c r="HZ110" s="109"/>
      <c r="IA110" s="109"/>
      <c r="IB110" s="109"/>
      <c r="IC110" s="109"/>
      <c r="ID110" s="109"/>
      <c r="IE110" s="109"/>
      <c r="IF110" s="109"/>
      <c r="IG110" s="109"/>
      <c r="IH110" s="109"/>
      <c r="II110" s="109"/>
      <c r="IJ110" s="109"/>
      <c r="IK110" s="109"/>
      <c r="IL110" s="109"/>
      <c r="IM110" s="109"/>
      <c r="IN110" s="109"/>
      <c r="IO110" s="109"/>
      <c r="IP110" s="109"/>
      <c r="IQ110" s="109"/>
      <c r="IR110" s="109"/>
      <c r="IS110" s="109"/>
      <c r="IT110" s="109"/>
      <c r="IU110" s="109"/>
      <c r="IV110" s="109"/>
      <c r="IW110" s="109"/>
      <c r="IX110" s="109"/>
      <c r="IY110" s="109"/>
      <c r="IZ110" s="109"/>
      <c r="JA110" s="109"/>
      <c r="JB110" s="109"/>
      <c r="JC110" s="109"/>
      <c r="JD110" s="109"/>
      <c r="JE110" s="109"/>
      <c r="JF110" s="109"/>
      <c r="JG110" s="109"/>
      <c r="JH110" s="109"/>
      <c r="JI110" s="109"/>
      <c r="JJ110" s="109"/>
      <c r="JK110" s="109"/>
      <c r="JL110" s="109"/>
      <c r="JM110" s="109"/>
      <c r="JN110" s="109"/>
      <c r="JO110" s="109"/>
      <c r="JP110" s="109"/>
      <c r="JQ110" s="109"/>
      <c r="JR110" s="109"/>
      <c r="JS110" s="109"/>
      <c r="JT110" s="109"/>
      <c r="JU110" s="109"/>
      <c r="JV110" s="109"/>
      <c r="JW110" s="109"/>
      <c r="JX110" s="109"/>
      <c r="JY110" s="109"/>
      <c r="JZ110" s="109"/>
      <c r="KA110" s="109"/>
      <c r="KB110" s="109"/>
      <c r="KC110" s="109"/>
      <c r="KD110" s="109"/>
      <c r="KE110" s="109"/>
      <c r="KF110" s="109"/>
      <c r="KG110" s="109"/>
      <c r="KH110" s="109"/>
      <c r="KI110" s="109"/>
      <c r="KJ110" s="109"/>
      <c r="KK110" s="109"/>
      <c r="KL110" s="109"/>
      <c r="KM110" s="109"/>
      <c r="KN110" s="109"/>
      <c r="KO110" s="109"/>
      <c r="KP110" s="109"/>
      <c r="KQ110" s="109"/>
      <c r="KR110" s="109"/>
      <c r="KS110" s="109"/>
      <c r="KT110" s="109"/>
      <c r="KU110" s="109"/>
      <c r="KV110" s="109"/>
      <c r="KW110" s="109"/>
      <c r="KX110" s="109"/>
      <c r="KY110" s="109"/>
      <c r="KZ110" s="109"/>
      <c r="LA110" s="109"/>
      <c r="LB110" s="109"/>
      <c r="LC110" s="109"/>
      <c r="LD110" s="109"/>
      <c r="LE110" s="109"/>
      <c r="LF110" s="109"/>
      <c r="LG110" s="109"/>
      <c r="LH110" s="109"/>
      <c r="LI110" s="109"/>
      <c r="LJ110" s="109"/>
      <c r="LK110" s="109"/>
      <c r="LL110" s="109"/>
      <c r="LM110" s="109"/>
      <c r="LN110" s="109"/>
      <c r="LO110" s="109"/>
      <c r="LP110" s="109"/>
      <c r="LQ110" s="109"/>
      <c r="LR110" s="109"/>
      <c r="LS110" s="109"/>
      <c r="LT110" s="109"/>
      <c r="LU110" s="109"/>
      <c r="LV110" s="109"/>
      <c r="LW110" s="109"/>
      <c r="LX110" s="109"/>
      <c r="LY110" s="109"/>
      <c r="LZ110" s="109"/>
      <c r="MA110" s="109"/>
      <c r="MB110" s="109"/>
      <c r="MC110" s="109"/>
      <c r="MD110" s="109"/>
      <c r="ME110" s="109"/>
      <c r="MF110" s="109"/>
      <c r="MG110" s="109"/>
      <c r="MH110" s="150"/>
      <c r="MI110" s="109"/>
      <c r="MJ110" s="109"/>
      <c r="MK110" s="109"/>
      <c r="ML110" s="109"/>
      <c r="MM110" s="109"/>
      <c r="MN110" s="109"/>
      <c r="MO110" s="109"/>
      <c r="MP110" s="109"/>
      <c r="MQ110" s="109"/>
      <c r="MR110" s="109"/>
      <c r="MS110" s="109"/>
      <c r="MT110" s="109"/>
      <c r="MU110" s="109"/>
      <c r="MV110" s="109"/>
      <c r="MW110" s="109"/>
      <c r="MX110" s="109"/>
      <c r="MY110" s="109"/>
      <c r="MZ110" s="109"/>
      <c r="NA110" s="109"/>
      <c r="NB110" s="109"/>
    </row>
    <row r="111" spans="1:366" s="261" customFormat="1" ht="13" x14ac:dyDescent="0.3">
      <c r="A111"/>
      <c r="B111" s="122" t="s">
        <v>410</v>
      </c>
      <c r="C111" s="208"/>
      <c r="D111" s="208">
        <f t="shared" ref="D111" si="4">SUM(D71:D110)</f>
        <v>6</v>
      </c>
      <c r="E111" s="208"/>
      <c r="F111" s="208">
        <f t="shared" ref="F111" si="5">SUM(F71:F110)</f>
        <v>9</v>
      </c>
      <c r="G111" s="208"/>
      <c r="H111" s="208">
        <f>SUM(H71:H110)</f>
        <v>11</v>
      </c>
      <c r="I111" s="208"/>
      <c r="J111" s="208">
        <f t="shared" ref="J111" si="6">SUM(J71:J110)</f>
        <v>9</v>
      </c>
      <c r="K111" s="208"/>
      <c r="L111" s="208">
        <f t="shared" ref="L111" si="7">SUM(L71:L110)</f>
        <v>8</v>
      </c>
      <c r="M111" s="208"/>
      <c r="N111" s="208">
        <f t="shared" ref="N111" si="8">SUM(N71:N110)</f>
        <v>5</v>
      </c>
      <c r="O111" s="208"/>
      <c r="P111" s="208">
        <f t="shared" ref="P111" si="9">SUM(P71:P110)</f>
        <v>5</v>
      </c>
      <c r="Q111" s="208"/>
      <c r="R111" s="208">
        <f t="shared" ref="R111" si="10">SUM(R71:R110)</f>
        <v>5</v>
      </c>
      <c r="S111" s="208"/>
      <c r="T111" s="208">
        <f t="shared" ref="T111" si="11">SUM(T71:T110)</f>
        <v>3</v>
      </c>
      <c r="U111" s="208"/>
      <c r="V111" s="208">
        <f>SUM(V71:V110)</f>
        <v>11.000000000000004</v>
      </c>
      <c r="W111" s="208"/>
      <c r="X111" s="208">
        <f>SUM(X71:X110)</f>
        <v>11</v>
      </c>
      <c r="Y111" s="208"/>
      <c r="Z111" s="208">
        <f>SUM(Z71:Z110)</f>
        <v>12.000000000000002</v>
      </c>
      <c r="AA111" s="208"/>
      <c r="AB111" s="208">
        <f>SUM(AB71:AB110)</f>
        <v>5</v>
      </c>
      <c r="AC111" s="208"/>
      <c r="AD111" s="208">
        <f>SUM(AD71:AD110)</f>
        <v>5</v>
      </c>
      <c r="AE111" s="208"/>
      <c r="AF111" s="208">
        <f>SUM(AF71:AF110)</f>
        <v>7</v>
      </c>
      <c r="AG111" s="208"/>
      <c r="AH111" s="208">
        <f>SUM(AH71:AH110)</f>
        <v>7</v>
      </c>
      <c r="AI111" s="208"/>
      <c r="AJ111" s="208">
        <f>SUM(AJ71:AJ110)</f>
        <v>5</v>
      </c>
      <c r="AK111" s="208"/>
      <c r="AL111" s="208">
        <f>SUM(AL71:AL110)</f>
        <v>5</v>
      </c>
      <c r="AM111" s="208"/>
      <c r="AN111" s="208">
        <f>SUM(AN71:AN110)</f>
        <v>5</v>
      </c>
      <c r="AO111" s="208"/>
      <c r="AP111" s="208">
        <f>SUM(AP71:AP110)</f>
        <v>3</v>
      </c>
      <c r="AQ111" s="208"/>
      <c r="AR111" s="208">
        <f>SUM(AR71:AR110)</f>
        <v>3</v>
      </c>
      <c r="AS111" s="208"/>
      <c r="AT111" s="208">
        <f>SUM(AT71:AT110)</f>
        <v>9.0000000000000018</v>
      </c>
      <c r="AU111" s="208"/>
      <c r="AV111" s="208">
        <f>SUM(AV71:AV110)</f>
        <v>11</v>
      </c>
      <c r="AW111" s="208"/>
      <c r="AX111" s="208">
        <f>SUM(AX71:AX110)</f>
        <v>13</v>
      </c>
      <c r="AY111" s="208"/>
      <c r="AZ111" s="208">
        <f>SUM(AZ71:AZ110)</f>
        <v>10</v>
      </c>
      <c r="BA111" s="208"/>
      <c r="BB111" s="208">
        <f>SUM(BB71:BB110)</f>
        <v>11</v>
      </c>
      <c r="BC111" s="208"/>
      <c r="BD111" s="208">
        <f>SUM(BD71:BD110)</f>
        <v>11.000000000000004</v>
      </c>
      <c r="BE111" s="208"/>
      <c r="BF111" s="208">
        <f>SUM(BF71:BF110)</f>
        <v>12</v>
      </c>
      <c r="BG111" s="208"/>
      <c r="BH111" s="208">
        <f>SUM(BH71:BH110)</f>
        <v>11.000000000000002</v>
      </c>
      <c r="BI111" s="208"/>
      <c r="BJ111" s="208">
        <f>SUM(BJ71:BJ110)</f>
        <v>8</v>
      </c>
      <c r="BK111" s="208"/>
      <c r="BL111" s="208">
        <f>SUM(BL71:BL110)</f>
        <v>12</v>
      </c>
      <c r="BM111" s="208"/>
      <c r="BN111" s="208">
        <f>SUM(BN71:BN110)</f>
        <v>13.000000000000002</v>
      </c>
      <c r="BO111" s="208"/>
      <c r="BP111" s="208">
        <f>SUM(BP71:BP110)</f>
        <v>12.999999999999998</v>
      </c>
      <c r="BQ111" s="208"/>
      <c r="BR111" s="208">
        <f>SUM(BR71:BR110)</f>
        <v>12.999999999999998</v>
      </c>
      <c r="BS111" s="208"/>
      <c r="BT111" s="208">
        <f>SUM(BT71:BT110)</f>
        <v>13</v>
      </c>
      <c r="BU111" s="208"/>
      <c r="BV111" s="208">
        <f>SUM(BV71:BV110)</f>
        <v>9</v>
      </c>
      <c r="BW111" s="208"/>
      <c r="BX111" s="208">
        <f>SUM(BX71:BX110)</f>
        <v>11.000000000000002</v>
      </c>
      <c r="BY111" s="208"/>
      <c r="BZ111" s="208">
        <f>SUM(BZ71:BZ110)</f>
        <v>11</v>
      </c>
      <c r="CA111" s="208"/>
      <c r="CB111" s="208">
        <f>SUM(CB71:CB110)</f>
        <v>9</v>
      </c>
      <c r="CC111" s="208"/>
      <c r="CD111" s="208">
        <f>SUM(CD71:CD110)</f>
        <v>11.000000000000002</v>
      </c>
      <c r="CE111" s="208"/>
      <c r="CF111" s="208">
        <f>SUM(CF71:CF110)</f>
        <v>11</v>
      </c>
      <c r="CG111" s="208"/>
      <c r="CH111" s="208">
        <f>SUM(CH71:CH110)</f>
        <v>9</v>
      </c>
      <c r="CI111" s="208"/>
      <c r="CJ111" s="208">
        <f>SUM(CJ71:CJ110)</f>
        <v>11.000000000000002</v>
      </c>
      <c r="CK111" s="208"/>
      <c r="CL111" s="208">
        <f>SUM(CL71:CL110)</f>
        <v>11</v>
      </c>
      <c r="CM111" s="208"/>
      <c r="CN111" s="208">
        <f>SUM(CN71:CN110)</f>
        <v>0</v>
      </c>
      <c r="CO111" s="208"/>
      <c r="CP111" s="208">
        <f>SUM(CP71:CP110)</f>
        <v>0</v>
      </c>
      <c r="CQ111" s="208"/>
      <c r="CR111" s="208">
        <f>SUM(CR71:CR110)</f>
        <v>0</v>
      </c>
      <c r="CS111" s="208"/>
      <c r="CT111" s="208">
        <f>SUM(CT71:CT110)</f>
        <v>0</v>
      </c>
      <c r="CU111" s="208"/>
      <c r="CV111" s="208">
        <f>SUM(CV71:CV110)</f>
        <v>0</v>
      </c>
      <c r="CW111" s="208"/>
      <c r="CX111" s="208">
        <f>SUM(CX71:CX110)</f>
        <v>0</v>
      </c>
      <c r="CY111" s="208"/>
      <c r="CZ111" s="208">
        <f>SUM(CZ71:CZ110)</f>
        <v>0</v>
      </c>
      <c r="DA111" s="208"/>
      <c r="DB111" s="208">
        <f>SUM(DB71:DB110)</f>
        <v>0</v>
      </c>
      <c r="DC111" s="208"/>
      <c r="DD111" s="208">
        <f>SUM(DD71:DD110)</f>
        <v>0</v>
      </c>
      <c r="DE111" s="208"/>
      <c r="DF111" s="208">
        <f>SUM(DF71:DF110)</f>
        <v>0</v>
      </c>
      <c r="DG111" s="208"/>
      <c r="DH111" s="208">
        <f>SUM(DH71:DH110)</f>
        <v>7</v>
      </c>
      <c r="DI111" s="208"/>
      <c r="DJ111" s="208">
        <f>SUM(DJ71:DJ110)</f>
        <v>6</v>
      </c>
      <c r="DK111" s="208"/>
      <c r="DL111" s="208">
        <f>SUM(DL71:DL110)</f>
        <v>7</v>
      </c>
      <c r="DM111" s="208"/>
      <c r="DN111" s="208">
        <f>SUM(DN71:DN110)</f>
        <v>13</v>
      </c>
      <c r="DO111" s="208"/>
      <c r="DP111" s="208">
        <f>SUM(DP71:DP110)</f>
        <v>8</v>
      </c>
      <c r="DQ111" s="208"/>
      <c r="DR111" s="208">
        <f>SUM(DR71:DR110)</f>
        <v>8</v>
      </c>
      <c r="DS111" s="109"/>
      <c r="DT111" s="109"/>
      <c r="DU111" s="109"/>
      <c r="DV111" s="109"/>
      <c r="DW111" s="109"/>
      <c r="DX111" s="109"/>
      <c r="DY111" s="109"/>
      <c r="DZ111" s="109"/>
      <c r="EA111" s="109"/>
      <c r="EB111" s="109"/>
      <c r="EC111" s="109"/>
      <c r="ED111" s="109"/>
      <c r="EE111" s="109"/>
      <c r="EF111" s="109"/>
      <c r="EG111" s="109"/>
      <c r="EH111" s="109"/>
      <c r="EI111" s="109"/>
      <c r="EJ111" s="109"/>
      <c r="EK111" s="109"/>
      <c r="EL111" s="109"/>
      <c r="EM111" s="109"/>
      <c r="EN111" s="109"/>
      <c r="EO111" s="109"/>
      <c r="EP111" s="109"/>
      <c r="EQ111" s="109"/>
      <c r="ER111" s="109"/>
      <c r="ES111" s="109"/>
      <c r="ET111" s="109"/>
      <c r="EU111" s="109"/>
      <c r="EV111" s="109"/>
      <c r="EW111" s="109"/>
      <c r="EX111" s="109"/>
      <c r="EY111" s="109"/>
      <c r="EZ111" s="109"/>
      <c r="FA111" s="109"/>
      <c r="FB111" s="109"/>
      <c r="FC111" s="109"/>
      <c r="FD111" s="109"/>
      <c r="FE111" s="109"/>
      <c r="FF111" s="109"/>
      <c r="FG111" s="109"/>
      <c r="FH111" s="109"/>
      <c r="FI111" s="109"/>
      <c r="FJ111" s="109"/>
      <c r="FK111" s="109"/>
      <c r="FL111" s="109"/>
      <c r="FM111" s="109"/>
      <c r="FN111" s="109"/>
      <c r="FO111" s="109"/>
      <c r="FP111" s="109"/>
      <c r="FQ111" s="109"/>
      <c r="FR111" s="109"/>
      <c r="FS111" s="109"/>
      <c r="FT111" s="109"/>
      <c r="FU111" s="109"/>
      <c r="FV111" s="109"/>
      <c r="FW111" s="109"/>
      <c r="FX111" s="109"/>
      <c r="FY111" s="109"/>
      <c r="FZ111" s="109"/>
      <c r="GA111" s="109"/>
      <c r="GB111" s="109"/>
      <c r="GC111" s="109"/>
      <c r="GD111" s="109"/>
      <c r="GE111" s="109"/>
      <c r="GF111" s="109"/>
      <c r="GG111" s="109"/>
      <c r="GH111" s="109"/>
      <c r="GI111" s="109"/>
      <c r="GJ111" s="109"/>
      <c r="GK111" s="109"/>
      <c r="GL111" s="109"/>
      <c r="GM111" s="109"/>
      <c r="GN111" s="109"/>
      <c r="GO111" s="109"/>
      <c r="GP111" s="109"/>
      <c r="GQ111" s="109"/>
      <c r="GR111" s="109"/>
      <c r="GS111" s="109"/>
      <c r="GT111" s="109"/>
      <c r="GU111" s="109"/>
      <c r="GV111" s="109"/>
      <c r="GW111" s="109"/>
      <c r="GX111" s="109"/>
      <c r="GY111" s="109"/>
      <c r="GZ111" s="109"/>
      <c r="HA111" s="109"/>
      <c r="HB111" s="109"/>
      <c r="HC111" s="109"/>
      <c r="HD111" s="109"/>
      <c r="HE111" s="109"/>
      <c r="HF111" s="109"/>
      <c r="HG111" s="109"/>
      <c r="HH111" s="109"/>
      <c r="HI111" s="109"/>
      <c r="HJ111" s="109"/>
      <c r="HK111" s="109"/>
      <c r="HL111" s="109"/>
      <c r="HM111" s="109"/>
      <c r="HN111" s="109"/>
    </row>
    <row r="112" spans="1:366" x14ac:dyDescent="0.25">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11"/>
      <c r="IP112" s="11"/>
      <c r="IQ112" s="11"/>
      <c r="IR112" s="11"/>
      <c r="IS112" s="11"/>
      <c r="IT112" s="11"/>
      <c r="IU112" s="11"/>
      <c r="IV112" s="11"/>
      <c r="IW112" s="11"/>
      <c r="IX112" s="11"/>
      <c r="IY112" s="11"/>
      <c r="IZ112" s="11"/>
      <c r="JA112" s="11"/>
      <c r="JB112" s="11"/>
      <c r="JC112" s="11"/>
      <c r="JD112" s="11"/>
      <c r="JE112" s="11"/>
      <c r="JF112" s="11"/>
      <c r="JG112" s="11"/>
      <c r="JH112" s="11"/>
      <c r="JI112" s="11"/>
      <c r="JJ112" s="11"/>
      <c r="JK112" s="11"/>
      <c r="JL112" s="11"/>
      <c r="JM112" s="11"/>
      <c r="JN112" s="11"/>
      <c r="JO112" s="11"/>
      <c r="JP112" s="11"/>
      <c r="JQ112" s="11"/>
      <c r="JR112" s="11"/>
      <c r="JS112" s="11"/>
      <c r="JT112" s="11"/>
    </row>
    <row r="113" spans="1:88" ht="13" x14ac:dyDescent="0.25">
      <c r="A113" s="13" t="s">
        <v>9</v>
      </c>
      <c r="B113" s="17" t="str">
        <f ca="1">GetNameRange(B114)</f>
        <v>InvStratEconomic</v>
      </c>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row>
    <row r="114" spans="1:88" ht="13" x14ac:dyDescent="0.25">
      <c r="A114" s="32" t="s">
        <v>404</v>
      </c>
      <c r="B114" s="53" t="s">
        <v>291</v>
      </c>
      <c r="C114" s="42" t="s">
        <v>8</v>
      </c>
      <c r="D114" s="11"/>
      <c r="E114" s="11"/>
      <c r="F114" s="219"/>
      <c r="G114" s="11"/>
      <c r="H114" s="11"/>
      <c r="I114" s="11"/>
      <c r="J114" s="21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49"/>
      <c r="AN114" s="49"/>
      <c r="AO114" s="49"/>
      <c r="AP114" s="49"/>
      <c r="AQ114" s="49"/>
      <c r="AR114" s="49"/>
      <c r="AS114" s="49"/>
      <c r="AT114" s="49"/>
      <c r="AU114" s="49"/>
      <c r="AV114" s="49"/>
      <c r="AW114" s="49"/>
      <c r="AX114" s="49"/>
      <c r="AY114" s="49"/>
      <c r="AZ114" s="49"/>
      <c r="BA114" s="49"/>
      <c r="BB114" s="49"/>
      <c r="BC114" s="49"/>
      <c r="BD114" s="49"/>
      <c r="BE114" s="49"/>
      <c r="BF114" s="49"/>
      <c r="BG114" s="49"/>
      <c r="BH114" s="49"/>
      <c r="BI114" s="49"/>
      <c r="BJ114" s="49"/>
      <c r="BK114" s="49"/>
      <c r="BL114" s="49"/>
      <c r="BM114" s="49"/>
      <c r="BN114" s="49"/>
      <c r="BO114" s="49"/>
      <c r="BP114" s="49"/>
      <c r="BQ114" s="49"/>
      <c r="BR114" s="49"/>
      <c r="BS114" s="49"/>
      <c r="BT114" s="49"/>
      <c r="BU114" s="49"/>
      <c r="BV114" s="49"/>
      <c r="BW114" s="49"/>
      <c r="BX114" s="49"/>
      <c r="BY114" s="49"/>
      <c r="BZ114" s="49"/>
      <c r="CA114" s="49"/>
      <c r="CB114" s="49"/>
      <c r="CC114" s="49"/>
      <c r="CD114" s="49"/>
      <c r="CE114" s="49"/>
      <c r="CF114" s="43"/>
      <c r="CG114" s="43"/>
      <c r="CH114" s="43"/>
      <c r="CI114" s="43"/>
      <c r="CJ114" s="43"/>
    </row>
    <row r="115" spans="1:88" ht="13" x14ac:dyDescent="0.25">
      <c r="A115" s="20"/>
      <c r="B115" s="36" t="s">
        <v>0</v>
      </c>
      <c r="C115" s="171"/>
      <c r="D115" s="11"/>
      <c r="E115" s="11"/>
      <c r="F115" s="219"/>
      <c r="G115" s="11"/>
      <c r="H115" s="11"/>
      <c r="I115" s="11"/>
      <c r="J115" s="21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row>
    <row r="116" spans="1:88" x14ac:dyDescent="0.25">
      <c r="A116" s="66" t="s">
        <v>304</v>
      </c>
      <c r="B116" s="39" t="s">
        <v>292</v>
      </c>
      <c r="C116" s="27" t="s">
        <v>304</v>
      </c>
      <c r="D116" s="11"/>
      <c r="E116" s="11"/>
      <c r="F116" s="219"/>
      <c r="G116" s="11"/>
      <c r="H116" s="11"/>
      <c r="I116" s="11"/>
      <c r="J116" s="21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48"/>
      <c r="CE116" s="25"/>
      <c r="CF116" s="48"/>
      <c r="CG116" s="25"/>
      <c r="CH116" s="48"/>
    </row>
    <row r="117" spans="1:88" x14ac:dyDescent="0.25">
      <c r="A117" s="66">
        <v>1</v>
      </c>
      <c r="B117" s="39" t="s">
        <v>293</v>
      </c>
      <c r="C117" s="27">
        <v>1</v>
      </c>
      <c r="D117" s="11"/>
      <c r="E117" s="11"/>
      <c r="F117" s="219"/>
      <c r="G117" s="11"/>
      <c r="H117" s="11"/>
      <c r="I117" s="11"/>
      <c r="J117" s="21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48"/>
      <c r="CE117" s="25"/>
      <c r="CF117" s="48"/>
      <c r="CG117" s="25"/>
      <c r="CH117" s="48"/>
    </row>
    <row r="118" spans="1:88" x14ac:dyDescent="0.25">
      <c r="A118" s="66" t="s">
        <v>305</v>
      </c>
      <c r="B118" s="39" t="s">
        <v>294</v>
      </c>
      <c r="C118" s="27" t="s">
        <v>305</v>
      </c>
      <c r="D118" s="11"/>
      <c r="E118" s="11"/>
      <c r="F118" s="219"/>
      <c r="G118" s="11"/>
      <c r="H118" s="11"/>
      <c r="I118" s="11"/>
      <c r="J118" s="21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row>
    <row r="119" spans="1:88" x14ac:dyDescent="0.25">
      <c r="A119" s="66">
        <v>0.25</v>
      </c>
      <c r="B119" s="39" t="s">
        <v>295</v>
      </c>
      <c r="C119" s="27">
        <v>0.25</v>
      </c>
      <c r="D119" s="11"/>
      <c r="E119" s="11"/>
      <c r="F119" s="219"/>
      <c r="G119" s="11"/>
      <c r="H119" s="11"/>
      <c r="I119" s="11"/>
      <c r="J119" s="21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row>
    <row r="120" spans="1:88" x14ac:dyDescent="0.25">
      <c r="A120" s="66">
        <v>0</v>
      </c>
      <c r="B120" s="39" t="s">
        <v>296</v>
      </c>
      <c r="C120" s="27">
        <v>0</v>
      </c>
      <c r="D120" s="11"/>
      <c r="E120" s="11"/>
      <c r="F120" s="219"/>
      <c r="G120" s="11"/>
      <c r="H120" s="11"/>
      <c r="I120" s="11"/>
      <c r="J120" s="21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row>
    <row r="121" spans="1:88" x14ac:dyDescent="0.25">
      <c r="A121" s="66">
        <v>0</v>
      </c>
      <c r="B121" s="39" t="s">
        <v>297</v>
      </c>
      <c r="C121" s="27">
        <v>0</v>
      </c>
      <c r="D121" s="11"/>
      <c r="E121" s="11"/>
      <c r="F121" s="219"/>
      <c r="G121" s="11"/>
      <c r="H121" s="11"/>
      <c r="I121" s="11"/>
      <c r="J121" s="21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row>
    <row r="122" spans="1:88" x14ac:dyDescent="0.25">
      <c r="A122" s="66" t="s">
        <v>306</v>
      </c>
      <c r="B122" s="39" t="s">
        <v>298</v>
      </c>
      <c r="C122" s="27" t="s">
        <v>306</v>
      </c>
      <c r="D122" s="11"/>
      <c r="E122" s="11"/>
      <c r="F122" s="219"/>
      <c r="G122" s="11"/>
      <c r="H122" s="11"/>
      <c r="I122" s="11"/>
      <c r="J122" s="21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row>
    <row r="123" spans="1:88" x14ac:dyDescent="0.25">
      <c r="A123" s="66">
        <v>1</v>
      </c>
      <c r="B123" s="39" t="s">
        <v>313</v>
      </c>
      <c r="C123" s="27">
        <v>1</v>
      </c>
      <c r="D123" s="11"/>
      <c r="E123" s="11"/>
      <c r="F123" s="219"/>
      <c r="G123" s="11"/>
      <c r="H123" s="11"/>
      <c r="I123" s="11"/>
      <c r="J123" s="21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row>
    <row r="124" spans="1:88" x14ac:dyDescent="0.25">
      <c r="A124" s="66" t="s">
        <v>6</v>
      </c>
      <c r="B124" s="39" t="s">
        <v>299</v>
      </c>
      <c r="C124" s="27" t="s">
        <v>6</v>
      </c>
      <c r="D124" s="11"/>
      <c r="E124" s="11"/>
      <c r="F124" s="219"/>
      <c r="G124" s="11"/>
      <c r="H124" s="11"/>
      <c r="I124" s="11"/>
      <c r="J124" s="21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row>
    <row r="125" spans="1:88" x14ac:dyDescent="0.25">
      <c r="A125" s="67">
        <v>0</v>
      </c>
      <c r="B125" s="39" t="s">
        <v>314</v>
      </c>
      <c r="C125" s="62">
        <v>0</v>
      </c>
      <c r="D125" s="11"/>
      <c r="E125" s="11"/>
      <c r="F125" s="219"/>
      <c r="G125" s="11"/>
      <c r="H125" s="11"/>
      <c r="I125" s="11"/>
      <c r="J125" s="21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row>
    <row r="126" spans="1:88" x14ac:dyDescent="0.25">
      <c r="A126" s="67">
        <v>0</v>
      </c>
      <c r="B126" s="39" t="s">
        <v>315</v>
      </c>
      <c r="C126" s="62">
        <v>0</v>
      </c>
      <c r="D126" s="11"/>
      <c r="E126" s="11"/>
      <c r="F126" s="219"/>
      <c r="G126" s="11"/>
      <c r="H126" s="11"/>
      <c r="I126" s="11"/>
      <c r="J126" s="21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row>
    <row r="127" spans="1:88" x14ac:dyDescent="0.25">
      <c r="A127" s="66" t="s">
        <v>6</v>
      </c>
      <c r="B127" s="39" t="s">
        <v>300</v>
      </c>
      <c r="C127" s="27" t="s">
        <v>6</v>
      </c>
      <c r="D127" s="11"/>
      <c r="E127" s="11"/>
      <c r="F127" s="219"/>
      <c r="G127" s="11"/>
      <c r="H127" s="11"/>
      <c r="I127" s="11"/>
      <c r="J127" s="21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row>
    <row r="128" spans="1:88" x14ac:dyDescent="0.25">
      <c r="A128" s="66" t="s">
        <v>6</v>
      </c>
      <c r="B128" s="39" t="s">
        <v>301</v>
      </c>
      <c r="C128" s="27" t="s">
        <v>6</v>
      </c>
      <c r="D128" s="11"/>
      <c r="E128" s="11"/>
      <c r="F128" s="219"/>
      <c r="G128" s="11"/>
      <c r="H128" s="11"/>
      <c r="I128" s="11"/>
      <c r="J128" s="21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row>
    <row r="129" spans="1:288" x14ac:dyDescent="0.25">
      <c r="A129" s="66" t="s">
        <v>6</v>
      </c>
      <c r="B129" s="39" t="s">
        <v>302</v>
      </c>
      <c r="C129" s="27" t="s">
        <v>6</v>
      </c>
      <c r="D129" s="11"/>
      <c r="E129" s="11"/>
      <c r="F129" s="219"/>
      <c r="G129" s="11"/>
      <c r="H129" s="11"/>
      <c r="I129" s="11"/>
      <c r="J129" s="21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row>
    <row r="130" spans="1:288" x14ac:dyDescent="0.25">
      <c r="A130" s="66" t="s">
        <v>6</v>
      </c>
      <c r="B130" s="40" t="s">
        <v>303</v>
      </c>
      <c r="C130" s="29" t="s">
        <v>6</v>
      </c>
      <c r="D130" s="11"/>
      <c r="E130" s="11"/>
      <c r="F130" s="219"/>
      <c r="G130" s="11"/>
      <c r="H130" s="11"/>
      <c r="I130" s="11"/>
      <c r="J130" s="21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row>
    <row r="131" spans="1:288" x14ac:dyDescent="0.25">
      <c r="F131" s="219"/>
      <c r="H131" s="11"/>
      <c r="I131" s="11"/>
      <c r="J131" s="21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row>
    <row r="132" spans="1:288" ht="13" x14ac:dyDescent="0.25">
      <c r="A132" s="13" t="s">
        <v>9</v>
      </c>
      <c r="B132" s="17" t="str">
        <f ca="1">GetNameRange(B133)</f>
        <v>InvStratCashPctDistribnDefnInforceMixPtp</v>
      </c>
      <c r="C132" s="25"/>
      <c r="D132" s="25"/>
      <c r="E132" s="11"/>
      <c r="F132" s="219"/>
      <c r="G132" s="11"/>
      <c r="H132" s="11"/>
      <c r="I132" s="11"/>
      <c r="J132" s="21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row>
    <row r="133" spans="1:288" ht="13" x14ac:dyDescent="0.25">
      <c r="A133" s="32" t="s">
        <v>404</v>
      </c>
      <c r="B133" s="53" t="s">
        <v>282</v>
      </c>
      <c r="C133" s="54" t="s">
        <v>8</v>
      </c>
      <c r="D133" s="25"/>
      <c r="E133" s="25"/>
      <c r="F133" s="219"/>
      <c r="G133" s="25"/>
      <c r="H133" s="25"/>
      <c r="I133" s="25"/>
      <c r="J133" s="219"/>
      <c r="K133" s="25"/>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row>
    <row r="134" spans="1:288" ht="13" x14ac:dyDescent="0.25">
      <c r="A134" s="20"/>
      <c r="B134" s="36" t="s">
        <v>0</v>
      </c>
      <c r="C134" s="209"/>
      <c r="D134" s="25"/>
      <c r="E134" s="25"/>
      <c r="F134" s="219"/>
      <c r="G134" s="25"/>
      <c r="H134" s="25"/>
      <c r="I134" s="25"/>
      <c r="J134" s="219"/>
      <c r="K134" s="25"/>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row>
    <row r="135" spans="1:288" x14ac:dyDescent="0.25">
      <c r="A135" s="113">
        <v>0</v>
      </c>
      <c r="B135" s="37" t="s">
        <v>283</v>
      </c>
      <c r="C135" s="65">
        <v>0</v>
      </c>
      <c r="D135" s="25"/>
      <c r="E135" s="25"/>
      <c r="F135" s="219"/>
      <c r="G135" s="25"/>
      <c r="H135" s="25"/>
      <c r="I135" s="25"/>
      <c r="J135" s="219"/>
      <c r="K135" s="25"/>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row>
    <row r="136" spans="1:288" x14ac:dyDescent="0.25">
      <c r="A136" s="14" t="s">
        <v>285</v>
      </c>
      <c r="B136" s="38" t="s">
        <v>284</v>
      </c>
      <c r="C136" s="29" t="s">
        <v>285</v>
      </c>
      <c r="D136" s="25"/>
      <c r="E136" s="25"/>
      <c r="F136" s="219"/>
      <c r="G136" s="25"/>
      <c r="H136" s="25"/>
      <c r="I136" s="25"/>
      <c r="J136" s="219"/>
      <c r="K136" s="25"/>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row>
    <row r="137" spans="1:288" ht="13" x14ac:dyDescent="0.25">
      <c r="A137" s="20"/>
      <c r="C137" s="111"/>
      <c r="D137" s="25"/>
      <c r="E137" s="25"/>
      <c r="F137" s="219"/>
      <c r="G137" s="25"/>
      <c r="H137" s="25"/>
      <c r="I137" s="25"/>
      <c r="J137" s="219"/>
      <c r="K137" s="25"/>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row>
    <row r="138" spans="1:288" ht="13" x14ac:dyDescent="0.25">
      <c r="A138" s="13" t="s">
        <v>9</v>
      </c>
      <c r="B138" s="17" t="str">
        <f ca="1">GetNameRange(B139)</f>
        <v>InvStratAssetSubPortInvTgtPctInforceMixPtp</v>
      </c>
      <c r="C138" s="33"/>
      <c r="D138" s="33"/>
      <c r="E138" s="33"/>
      <c r="F138" s="219"/>
      <c r="G138" s="33"/>
      <c r="H138" s="33"/>
      <c r="I138" s="11"/>
      <c r="J138" s="21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row>
    <row r="139" spans="1:288" ht="13" x14ac:dyDescent="0.25">
      <c r="A139" s="32" t="s">
        <v>404</v>
      </c>
      <c r="B139" s="53" t="s">
        <v>282</v>
      </c>
      <c r="C139" s="54" t="s">
        <v>8</v>
      </c>
      <c r="D139" s="33"/>
      <c r="E139" s="33"/>
      <c r="F139" s="219"/>
      <c r="G139" s="33"/>
      <c r="H139" s="33"/>
      <c r="I139" s="33"/>
      <c r="J139" s="219"/>
      <c r="K139" s="33"/>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row>
    <row r="140" spans="1:288" ht="13" x14ac:dyDescent="0.25">
      <c r="B140" s="36" t="s">
        <v>496</v>
      </c>
      <c r="C140" s="209"/>
      <c r="D140" s="33"/>
      <c r="E140" s="33"/>
      <c r="F140" s="219"/>
      <c r="G140" s="33"/>
      <c r="H140" s="33"/>
      <c r="I140" s="33"/>
      <c r="J140" s="219"/>
      <c r="K140" s="33"/>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row>
    <row r="141" spans="1:288" x14ac:dyDescent="0.25">
      <c r="A141" s="113">
        <v>0</v>
      </c>
      <c r="B141" s="114" t="s">
        <v>8</v>
      </c>
      <c r="C141" s="116">
        <v>0</v>
      </c>
      <c r="D141" s="33"/>
      <c r="E141" s="33"/>
      <c r="F141" s="219"/>
      <c r="G141" s="33"/>
      <c r="H141" s="33"/>
      <c r="I141" s="33"/>
      <c r="J141" s="219"/>
      <c r="K141" s="33"/>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row>
    <row r="142" spans="1:288" x14ac:dyDescent="0.25">
      <c r="C142" s="33"/>
      <c r="D142" s="33"/>
      <c r="E142" s="33"/>
      <c r="F142" s="219"/>
      <c r="G142" s="33"/>
      <c r="H142" s="33"/>
      <c r="I142" s="33"/>
      <c r="J142" s="219"/>
      <c r="K142" s="33"/>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11"/>
      <c r="IP142" s="11"/>
      <c r="IQ142" s="11"/>
      <c r="IR142" s="11"/>
      <c r="IS142" s="11"/>
      <c r="IT142" s="11"/>
      <c r="IU142" s="11"/>
      <c r="IV142" s="11"/>
      <c r="IW142" s="11"/>
      <c r="IX142" s="11"/>
      <c r="IY142" s="11"/>
      <c r="IZ142" s="11"/>
      <c r="JA142" s="11"/>
      <c r="JB142" s="11"/>
      <c r="JC142" s="11"/>
      <c r="JD142" s="11"/>
      <c r="JE142" s="11"/>
      <c r="JF142" s="11"/>
      <c r="JG142" s="11"/>
      <c r="JH142" s="11"/>
      <c r="JI142" s="11"/>
      <c r="JJ142" s="11"/>
      <c r="JK142" s="11"/>
      <c r="JL142" s="11"/>
      <c r="JM142" s="11"/>
      <c r="JN142" s="11"/>
      <c r="JO142" s="11"/>
      <c r="JP142" s="11"/>
      <c r="JQ142" s="11"/>
      <c r="JR142" s="11"/>
      <c r="JS142" s="11"/>
      <c r="JT142" s="11"/>
    </row>
    <row r="143" spans="1:288" ht="13" x14ac:dyDescent="0.25">
      <c r="A143" s="13" t="s">
        <v>9</v>
      </c>
      <c r="B143" s="17" t="str">
        <f ca="1">GetNameRange(B144)</f>
        <v>InvStratPurchAssetSubPortIdAndWghtInforceMixPtp</v>
      </c>
      <c r="C143" s="11"/>
      <c r="D143" s="11"/>
      <c r="E143" s="33"/>
      <c r="F143" s="219"/>
      <c r="G143" s="33"/>
      <c r="H143" s="33"/>
      <c r="I143" s="33"/>
      <c r="J143" s="219"/>
      <c r="K143" s="33"/>
      <c r="L143" s="33"/>
      <c r="M143" s="33"/>
      <c r="N143" s="33"/>
      <c r="O143" s="33"/>
      <c r="P143" s="33"/>
      <c r="Q143" s="33"/>
      <c r="R143" s="33"/>
      <c r="S143" s="33"/>
      <c r="T143" s="33"/>
      <c r="U143" s="33"/>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11"/>
      <c r="IP143" s="11"/>
      <c r="IQ143" s="11"/>
      <c r="IR143" s="11"/>
      <c r="IS143" s="11"/>
      <c r="IT143" s="11"/>
      <c r="IU143" s="11"/>
      <c r="IV143" s="11"/>
      <c r="IW143" s="11"/>
      <c r="IX143" s="11"/>
      <c r="IY143" s="11"/>
      <c r="IZ143" s="11"/>
      <c r="JA143" s="11"/>
      <c r="JB143" s="11"/>
      <c r="JC143" s="11"/>
      <c r="JD143" s="11"/>
      <c r="JE143" s="11"/>
      <c r="JF143" s="11"/>
      <c r="JG143" s="11"/>
      <c r="JH143" s="11"/>
      <c r="JI143" s="11"/>
      <c r="JJ143" s="11"/>
      <c r="JK143" s="11"/>
      <c r="JL143" s="11"/>
      <c r="JM143" s="11"/>
      <c r="JN143" s="11"/>
      <c r="JO143" s="11"/>
      <c r="JP143" s="11"/>
      <c r="JQ143" s="11"/>
      <c r="JR143" s="11"/>
      <c r="JS143" s="11"/>
      <c r="JT143" s="11"/>
    </row>
    <row r="144" spans="1:288" ht="13" x14ac:dyDescent="0.25">
      <c r="A144" s="32" t="s">
        <v>404</v>
      </c>
      <c r="B144" s="53" t="s">
        <v>282</v>
      </c>
      <c r="C144" s="51" t="s">
        <v>8</v>
      </c>
      <c r="D144" s="54" t="s">
        <v>8</v>
      </c>
      <c r="E144" s="33"/>
      <c r="F144" s="219"/>
      <c r="G144" s="33"/>
      <c r="H144" s="33"/>
      <c r="I144" s="33"/>
      <c r="J144" s="219"/>
      <c r="K144" s="33"/>
      <c r="L144" s="33"/>
      <c r="M144" s="33"/>
      <c r="N144" s="33"/>
      <c r="O144" s="33"/>
      <c r="P144" s="33"/>
      <c r="Q144" s="33"/>
      <c r="R144" s="33"/>
      <c r="S144" s="33"/>
      <c r="T144" s="33"/>
      <c r="U144" s="33"/>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11"/>
      <c r="IP144" s="11"/>
      <c r="IQ144" s="11"/>
      <c r="IR144" s="11"/>
      <c r="IS144" s="11"/>
      <c r="IT144" s="11"/>
      <c r="IU144" s="11"/>
      <c r="IV144" s="11"/>
      <c r="IW144" s="11"/>
      <c r="IX144" s="11"/>
      <c r="IY144" s="11"/>
      <c r="IZ144" s="11"/>
      <c r="JA144" s="11"/>
      <c r="JB144" s="11"/>
      <c r="JC144" s="11"/>
      <c r="JD144" s="11"/>
      <c r="JE144" s="11"/>
      <c r="JF144" s="11"/>
      <c r="JG144" s="11"/>
      <c r="JH144" s="11"/>
      <c r="JI144" s="11"/>
      <c r="JJ144" s="11"/>
      <c r="JK144" s="11"/>
      <c r="JL144" s="11"/>
      <c r="JM144" s="11"/>
      <c r="JN144" s="11"/>
      <c r="JO144" s="11"/>
      <c r="JP144" s="11"/>
      <c r="JQ144" s="11"/>
      <c r="JR144" s="11"/>
      <c r="JS144" s="11"/>
      <c r="JT144" s="11"/>
      <c r="JU144" s="11"/>
      <c r="JV144" s="11"/>
      <c r="JW144" s="11"/>
      <c r="JX144" s="11"/>
      <c r="JY144" s="11"/>
      <c r="JZ144" s="11"/>
      <c r="KA144" s="11"/>
      <c r="KB144" s="11"/>
    </row>
    <row r="145" spans="1:288" ht="13" x14ac:dyDescent="0.3">
      <c r="B145" s="170" t="s">
        <v>405</v>
      </c>
      <c r="C145" s="46" t="s">
        <v>514</v>
      </c>
      <c r="D145" s="209" t="s">
        <v>515</v>
      </c>
      <c r="E145" s="33"/>
      <c r="F145" s="33"/>
      <c r="G145" s="33"/>
      <c r="H145" s="33"/>
      <c r="I145" s="33"/>
      <c r="J145" s="33"/>
      <c r="K145" s="33"/>
      <c r="L145" s="33"/>
      <c r="M145" s="33"/>
      <c r="N145" s="33"/>
      <c r="O145" s="33"/>
      <c r="P145" s="33"/>
      <c r="Q145" s="33"/>
      <c r="R145" s="33"/>
      <c r="S145" s="33"/>
      <c r="T145" s="33"/>
      <c r="U145" s="33"/>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11"/>
      <c r="IP145" s="11"/>
      <c r="IQ145" s="11"/>
      <c r="IR145" s="11"/>
      <c r="IS145" s="11"/>
      <c r="IT145" s="11"/>
      <c r="IU145" s="11"/>
      <c r="IV145" s="11"/>
      <c r="IW145" s="11"/>
      <c r="IX145" s="11"/>
      <c r="IY145" s="11"/>
      <c r="IZ145" s="11"/>
      <c r="JA145" s="11"/>
      <c r="JB145" s="11"/>
      <c r="JC145" s="11"/>
      <c r="JD145" s="11"/>
      <c r="JE145" s="11"/>
      <c r="JF145" s="11"/>
      <c r="JG145" s="11"/>
      <c r="JH145" s="11"/>
      <c r="JI145" s="11"/>
      <c r="JJ145" s="11"/>
      <c r="JK145" s="11"/>
      <c r="JL145" s="11"/>
      <c r="JM145" s="11"/>
      <c r="JN145" s="11"/>
      <c r="JO145" s="11"/>
      <c r="JP145" s="11"/>
      <c r="JQ145" s="11"/>
      <c r="JR145" s="11"/>
      <c r="JS145" s="11"/>
      <c r="JT145" s="11"/>
      <c r="JU145" s="11"/>
      <c r="JV145" s="11"/>
      <c r="JW145" s="11"/>
      <c r="JX145" s="11"/>
      <c r="JY145" s="11"/>
      <c r="JZ145" s="11"/>
      <c r="KA145" s="11"/>
      <c r="KB145" s="11"/>
    </row>
    <row r="146" spans="1:288" ht="13" x14ac:dyDescent="0.3">
      <c r="B146" s="172" t="s">
        <v>89</v>
      </c>
      <c r="C146" s="50"/>
      <c r="D146" s="44"/>
      <c r="E146" s="33"/>
      <c r="F146" s="33"/>
      <c r="G146" s="33"/>
      <c r="H146" s="33"/>
      <c r="I146" s="33"/>
      <c r="J146" s="33"/>
      <c r="K146" s="33"/>
      <c r="L146" s="33"/>
      <c r="M146" s="33"/>
      <c r="N146" s="33"/>
      <c r="O146" s="33"/>
      <c r="P146" s="33"/>
      <c r="Q146" s="33"/>
      <c r="R146" s="33"/>
      <c r="S146" s="33"/>
      <c r="T146" s="33"/>
      <c r="U146" s="33"/>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11"/>
      <c r="IP146" s="11"/>
      <c r="IQ146" s="11"/>
      <c r="IR146" s="11"/>
      <c r="IS146" s="11"/>
      <c r="IT146" s="11"/>
      <c r="IU146" s="11"/>
      <c r="IV146" s="11"/>
      <c r="IW146" s="11"/>
      <c r="IX146" s="11"/>
      <c r="IY146" s="11"/>
      <c r="IZ146" s="11"/>
      <c r="JA146" s="11"/>
      <c r="JB146" s="11"/>
      <c r="JC146" s="11"/>
      <c r="JD146" s="11"/>
      <c r="JE146" s="11"/>
      <c r="JF146" s="11"/>
      <c r="JG146" s="11"/>
      <c r="JH146" s="11"/>
      <c r="JI146" s="11"/>
      <c r="JJ146" s="11"/>
      <c r="JK146" s="11"/>
      <c r="JL146" s="11"/>
      <c r="JM146" s="11"/>
      <c r="JN146" s="11"/>
      <c r="JO146" s="11"/>
      <c r="JP146" s="11"/>
      <c r="JQ146" s="11"/>
      <c r="JR146" s="11"/>
      <c r="JS146" s="11"/>
      <c r="JT146" s="11"/>
      <c r="JU146" s="11"/>
      <c r="JV146" s="11"/>
      <c r="JW146" s="11"/>
      <c r="JX146" s="11"/>
      <c r="JY146" s="11"/>
      <c r="JZ146" s="11"/>
      <c r="KA146" s="11"/>
      <c r="KB146" s="11"/>
    </row>
    <row r="147" spans="1:288" x14ac:dyDescent="0.25">
      <c r="A147" s="113">
        <v>0</v>
      </c>
      <c r="B147" s="38" t="s">
        <v>8</v>
      </c>
      <c r="C147" s="28" t="s">
        <v>8</v>
      </c>
      <c r="D147" s="116">
        <v>0</v>
      </c>
      <c r="E147" s="33"/>
      <c r="F147" s="33"/>
      <c r="G147" s="33"/>
      <c r="H147" s="33"/>
      <c r="I147" s="33"/>
      <c r="J147" s="33"/>
      <c r="K147" s="33"/>
      <c r="L147" s="33"/>
      <c r="M147" s="33"/>
      <c r="N147" s="33"/>
      <c r="O147" s="33"/>
      <c r="P147" s="33"/>
      <c r="Q147" s="33"/>
      <c r="R147" s="33"/>
      <c r="S147" s="33"/>
      <c r="T147" s="33"/>
      <c r="U147" s="33"/>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11"/>
      <c r="IP147" s="11"/>
      <c r="IQ147" s="11"/>
      <c r="IR147" s="11"/>
      <c r="IS147" s="11"/>
      <c r="IT147" s="11"/>
      <c r="IU147" s="11"/>
      <c r="IV147" s="11"/>
      <c r="IW147" s="11"/>
      <c r="IX147" s="11"/>
      <c r="IY147" s="11"/>
      <c r="IZ147" s="11"/>
      <c r="JA147" s="11"/>
      <c r="JB147" s="11"/>
      <c r="JC147" s="11"/>
      <c r="JD147" s="11"/>
      <c r="JE147" s="11"/>
      <c r="JF147" s="11"/>
      <c r="JG147" s="11"/>
      <c r="JH147" s="11"/>
      <c r="JI147" s="11"/>
      <c r="JJ147" s="11"/>
      <c r="JK147" s="11"/>
      <c r="JL147" s="11"/>
      <c r="JM147" s="11"/>
      <c r="JN147" s="11"/>
      <c r="JO147" s="11"/>
      <c r="JP147" s="11"/>
      <c r="JQ147" s="11"/>
      <c r="JR147" s="11"/>
      <c r="JS147" s="11"/>
      <c r="JT147" s="11"/>
      <c r="JU147" s="11"/>
      <c r="JV147" s="11"/>
      <c r="JW147" s="11"/>
      <c r="JX147" s="11"/>
      <c r="JY147" s="11"/>
      <c r="JZ147" s="11"/>
      <c r="KA147" s="11"/>
      <c r="KB147" s="11"/>
    </row>
    <row r="148" spans="1:288" x14ac:dyDescent="0.25">
      <c r="E148" s="33"/>
      <c r="F148" s="33"/>
      <c r="G148" s="33"/>
      <c r="H148" s="33"/>
      <c r="I148" s="33"/>
      <c r="J148" s="33"/>
      <c r="K148" s="33"/>
      <c r="L148" s="33"/>
      <c r="M148" s="33"/>
      <c r="N148" s="33"/>
      <c r="O148" s="33"/>
      <c r="P148" s="33"/>
      <c r="Q148" s="33"/>
      <c r="R148" s="33"/>
      <c r="S148" s="33"/>
      <c r="T148" s="33"/>
      <c r="U148" s="33"/>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row>
    <row r="149" spans="1:288" ht="13" x14ac:dyDescent="0.25">
      <c r="A149" s="13" t="s">
        <v>9</v>
      </c>
      <c r="B149" s="17" t="str">
        <f ca="1">GetNameRange(B150)</f>
        <v>InvStratPlannedInforceMixPtp</v>
      </c>
      <c r="C149" s="25" t="s">
        <v>6</v>
      </c>
      <c r="D149" s="25" t="s">
        <v>6</v>
      </c>
      <c r="E149" s="25" t="s">
        <v>6</v>
      </c>
      <c r="F149" s="25" t="s">
        <v>6</v>
      </c>
      <c r="G149" s="25" t="s">
        <v>6</v>
      </c>
      <c r="H149" s="124">
        <v>0</v>
      </c>
      <c r="I149" s="124">
        <v>999.99</v>
      </c>
      <c r="K149" s="33"/>
      <c r="L149" s="33"/>
      <c r="M149" s="33"/>
      <c r="N149" s="33"/>
      <c r="O149" s="33"/>
      <c r="P149" s="33"/>
      <c r="Q149" s="33"/>
      <c r="R149" s="33"/>
      <c r="S149" s="33"/>
      <c r="T149" s="33"/>
      <c r="U149" s="33"/>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row>
    <row r="150" spans="1:288" ht="13" x14ac:dyDescent="0.3">
      <c r="A150" s="32" t="s">
        <v>404</v>
      </c>
      <c r="B150" s="97" t="s">
        <v>0</v>
      </c>
      <c r="C150" s="41" t="s">
        <v>286</v>
      </c>
      <c r="D150" s="41" t="s">
        <v>287</v>
      </c>
      <c r="E150" s="41" t="s">
        <v>288</v>
      </c>
      <c r="F150" s="41" t="s">
        <v>289</v>
      </c>
      <c r="G150" s="41" t="s">
        <v>290</v>
      </c>
      <c r="H150" s="41" t="s">
        <v>316</v>
      </c>
      <c r="I150" s="42" t="s">
        <v>445</v>
      </c>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row>
    <row r="151" spans="1:288" ht="13" x14ac:dyDescent="0.3">
      <c r="B151" s="170" t="s">
        <v>239</v>
      </c>
      <c r="C151" s="50"/>
      <c r="D151" s="50"/>
      <c r="E151" s="50"/>
      <c r="F151" s="50"/>
      <c r="G151" s="50"/>
      <c r="H151" s="50"/>
      <c r="I151" s="44"/>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row>
    <row r="152" spans="1:288" x14ac:dyDescent="0.25">
      <c r="B152" s="125">
        <v>2958101</v>
      </c>
      <c r="C152" s="210" t="s">
        <v>6</v>
      </c>
      <c r="D152" s="210" t="s">
        <v>6</v>
      </c>
      <c r="E152" s="210" t="s">
        <v>6</v>
      </c>
      <c r="F152" s="210" t="s">
        <v>6</v>
      </c>
      <c r="G152" s="210" t="s">
        <v>6</v>
      </c>
      <c r="H152" s="211">
        <v>0</v>
      </c>
      <c r="I152" s="212">
        <v>999.99</v>
      </c>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row>
    <row r="153" spans="1:288" x14ac:dyDescent="0.25">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row>
    <row r="154" spans="1:288" ht="13" x14ac:dyDescent="0.25">
      <c r="A154" s="13" t="s">
        <v>9</v>
      </c>
      <c r="B154" s="17" t="str">
        <f ca="1">GetNameRange(B155)</f>
        <v>InvStratEconomicInforceMixPtp</v>
      </c>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row>
    <row r="155" spans="1:288" ht="13" x14ac:dyDescent="0.25">
      <c r="A155" s="32" t="s">
        <v>404</v>
      </c>
      <c r="B155" s="53" t="s">
        <v>291</v>
      </c>
      <c r="C155" s="42" t="s">
        <v>8</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3"/>
      <c r="CH155" s="43"/>
      <c r="CI155" s="43"/>
      <c r="CJ155" s="43"/>
      <c r="CK155" s="43"/>
    </row>
    <row r="156" spans="1:288" ht="13" x14ac:dyDescent="0.25">
      <c r="A156" s="20"/>
      <c r="B156" s="36" t="s">
        <v>0</v>
      </c>
      <c r="C156" s="17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row>
    <row r="157" spans="1:288" x14ac:dyDescent="0.25">
      <c r="A157" s="66" t="s">
        <v>304</v>
      </c>
      <c r="B157" s="39" t="s">
        <v>292</v>
      </c>
      <c r="C157" s="27" t="s">
        <v>304</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48"/>
      <c r="CJ157" s="25"/>
      <c r="CK157" s="48"/>
      <c r="CL157" s="25"/>
      <c r="CM157" s="48"/>
    </row>
    <row r="158" spans="1:288" x14ac:dyDescent="0.25">
      <c r="A158" s="66">
        <v>1</v>
      </c>
      <c r="B158" s="39" t="s">
        <v>293</v>
      </c>
      <c r="C158" s="27">
        <v>1</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48"/>
      <c r="CJ158" s="25"/>
      <c r="CK158" s="48"/>
      <c r="CL158" s="25"/>
      <c r="CM158" s="48"/>
    </row>
    <row r="159" spans="1:288" x14ac:dyDescent="0.25">
      <c r="A159" s="66" t="s">
        <v>305</v>
      </c>
      <c r="B159" s="39" t="s">
        <v>294</v>
      </c>
      <c r="C159" s="27" t="s">
        <v>305</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row>
    <row r="160" spans="1:288" x14ac:dyDescent="0.25">
      <c r="A160" s="66">
        <v>0.25</v>
      </c>
      <c r="B160" s="39" t="s">
        <v>295</v>
      </c>
      <c r="C160" s="27">
        <v>0.25</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row>
    <row r="161" spans="1:151" x14ac:dyDescent="0.25">
      <c r="A161" s="66">
        <v>0</v>
      </c>
      <c r="B161" s="39" t="s">
        <v>296</v>
      </c>
      <c r="C161" s="27">
        <v>0</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row>
    <row r="162" spans="1:151" x14ac:dyDescent="0.25">
      <c r="A162" s="66">
        <v>0</v>
      </c>
      <c r="B162" s="39" t="s">
        <v>297</v>
      </c>
      <c r="C162" s="27">
        <v>0</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row>
    <row r="163" spans="1:151" x14ac:dyDescent="0.25">
      <c r="A163" s="66" t="s">
        <v>306</v>
      </c>
      <c r="B163" s="39" t="s">
        <v>298</v>
      </c>
      <c r="C163" s="27" t="s">
        <v>306</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row>
    <row r="164" spans="1:151" x14ac:dyDescent="0.25">
      <c r="A164" s="66">
        <v>1</v>
      </c>
      <c r="B164" s="39" t="s">
        <v>313</v>
      </c>
      <c r="C164" s="27">
        <v>1</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row>
    <row r="165" spans="1:151" x14ac:dyDescent="0.25">
      <c r="A165" s="66" t="s">
        <v>6</v>
      </c>
      <c r="B165" s="39" t="s">
        <v>299</v>
      </c>
      <c r="C165" s="27" t="s">
        <v>6</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row>
    <row r="166" spans="1:151" x14ac:dyDescent="0.25">
      <c r="A166" s="67">
        <v>0</v>
      </c>
      <c r="B166" s="39" t="s">
        <v>314</v>
      </c>
      <c r="C166" s="62">
        <v>0</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row>
    <row r="167" spans="1:151" x14ac:dyDescent="0.25">
      <c r="A167" s="67">
        <v>0</v>
      </c>
      <c r="B167" s="39" t="s">
        <v>315</v>
      </c>
      <c r="C167" s="62">
        <v>0</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row>
    <row r="168" spans="1:151" x14ac:dyDescent="0.25">
      <c r="A168" s="66" t="s">
        <v>6</v>
      </c>
      <c r="B168" s="39" t="s">
        <v>300</v>
      </c>
      <c r="C168" s="27" t="s">
        <v>6</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row>
    <row r="169" spans="1:151" x14ac:dyDescent="0.25">
      <c r="A169" s="66" t="s">
        <v>6</v>
      </c>
      <c r="B169" s="39" t="s">
        <v>301</v>
      </c>
      <c r="C169" s="27" t="s">
        <v>6</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row>
    <row r="170" spans="1:151" x14ac:dyDescent="0.25">
      <c r="A170" s="66" t="s">
        <v>6</v>
      </c>
      <c r="B170" s="39" t="s">
        <v>302</v>
      </c>
      <c r="C170" s="27" t="s">
        <v>6</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row>
    <row r="171" spans="1:151" x14ac:dyDescent="0.25">
      <c r="A171" s="66" t="s">
        <v>6</v>
      </c>
      <c r="B171" s="40" t="s">
        <v>303</v>
      </c>
      <c r="C171" s="29" t="s">
        <v>6</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row>
    <row r="172" spans="1:151" x14ac:dyDescent="0.25">
      <c r="D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row>
    <row r="173" spans="1:151" ht="13" x14ac:dyDescent="0.25">
      <c r="A173" s="13" t="s">
        <v>9</v>
      </c>
      <c r="B173" s="17" t="str">
        <f ca="1">GetNameRange(B174)</f>
        <v>InvStratCashPctDistribnDefnPbaGaap</v>
      </c>
      <c r="C173" s="25"/>
      <c r="D173" s="25"/>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row>
    <row r="174" spans="1:151" ht="13" x14ac:dyDescent="0.25">
      <c r="A174" s="32" t="s">
        <v>404</v>
      </c>
      <c r="B174" s="53" t="s">
        <v>282</v>
      </c>
      <c r="C174" s="54" t="s">
        <v>8</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row>
    <row r="175" spans="1:151" ht="13" x14ac:dyDescent="0.25">
      <c r="A175" s="20"/>
      <c r="B175" s="36" t="s">
        <v>0</v>
      </c>
      <c r="C175" s="209"/>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row>
    <row r="176" spans="1:151" x14ac:dyDescent="0.25">
      <c r="A176" s="113">
        <v>0</v>
      </c>
      <c r="B176" s="37" t="s">
        <v>283</v>
      </c>
      <c r="C176" s="65">
        <v>0</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row>
    <row r="177" spans="1:282" x14ac:dyDescent="0.25">
      <c r="A177" s="14" t="s">
        <v>285</v>
      </c>
      <c r="B177" s="38" t="s">
        <v>284</v>
      </c>
      <c r="C177" s="29" t="s">
        <v>285</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row>
    <row r="178" spans="1:282" x14ac:dyDescent="0.25">
      <c r="F178" s="11"/>
      <c r="G178" s="11"/>
      <c r="H178" s="11"/>
      <c r="I178" s="11"/>
      <c r="J178" s="11"/>
    </row>
    <row r="179" spans="1:282" ht="13" x14ac:dyDescent="0.25">
      <c r="A179" s="13" t="s">
        <v>9</v>
      </c>
      <c r="B179" s="17" t="str">
        <f ca="1">GetNameRange(B180)</f>
        <v>InvStratPlannedPbaGaap</v>
      </c>
      <c r="C179" s="25" t="s">
        <v>6</v>
      </c>
      <c r="D179" s="25" t="s">
        <v>6</v>
      </c>
      <c r="E179" s="25" t="s">
        <v>6</v>
      </c>
      <c r="F179" s="25" t="s">
        <v>6</v>
      </c>
      <c r="G179" s="25" t="s">
        <v>6</v>
      </c>
      <c r="H179" s="124">
        <v>0</v>
      </c>
      <c r="I179" s="124">
        <v>999.99</v>
      </c>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11"/>
      <c r="FJ179" s="11"/>
      <c r="FK179" s="11"/>
      <c r="FL179" s="11"/>
      <c r="FM179" s="11"/>
      <c r="FN179" s="11"/>
      <c r="FO179" s="11"/>
      <c r="FP179" s="11"/>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c r="HH179" s="11"/>
      <c r="HI179" s="11"/>
      <c r="HJ179" s="11"/>
      <c r="HK179" s="11"/>
      <c r="HL179" s="11"/>
      <c r="HM179" s="11"/>
      <c r="HN179" s="11"/>
      <c r="HO179" s="11"/>
      <c r="HP179" s="11"/>
      <c r="HQ179" s="11"/>
      <c r="HR179" s="11"/>
      <c r="HS179" s="11"/>
      <c r="HT179" s="11"/>
      <c r="HU179" s="11"/>
      <c r="HV179" s="11"/>
      <c r="HW179" s="11"/>
      <c r="HX179" s="11"/>
      <c r="HY179" s="11"/>
      <c r="HZ179" s="11"/>
      <c r="IA179" s="11"/>
      <c r="IB179" s="11"/>
      <c r="IC179" s="11"/>
      <c r="ID179" s="11"/>
      <c r="IE179" s="11"/>
      <c r="IF179" s="11"/>
      <c r="IG179" s="11"/>
      <c r="IH179" s="11"/>
      <c r="II179" s="11"/>
      <c r="IJ179" s="11"/>
      <c r="IK179" s="11"/>
      <c r="IL179" s="11"/>
      <c r="IM179" s="11"/>
      <c r="IN179" s="11"/>
      <c r="IO179" s="11"/>
      <c r="IP179" s="11"/>
      <c r="IQ179" s="11"/>
      <c r="IR179" s="11"/>
      <c r="IS179" s="11"/>
      <c r="IT179" s="11"/>
      <c r="IU179" s="11"/>
      <c r="IV179" s="11"/>
      <c r="IW179" s="11"/>
      <c r="IX179" s="11"/>
      <c r="IY179" s="11"/>
      <c r="IZ179" s="11"/>
      <c r="JA179" s="11"/>
      <c r="JB179" s="11"/>
      <c r="JC179" s="11"/>
      <c r="JD179" s="11"/>
      <c r="JE179" s="11"/>
      <c r="JF179" s="11"/>
      <c r="JG179" s="11"/>
      <c r="JH179" s="11"/>
      <c r="JI179" s="11"/>
      <c r="JJ179" s="11"/>
      <c r="JK179" s="11"/>
      <c r="JL179" s="11"/>
      <c r="JM179" s="11"/>
      <c r="JN179" s="11"/>
      <c r="JO179" s="11"/>
      <c r="JP179" s="11"/>
      <c r="JQ179" s="11"/>
      <c r="JR179" s="11"/>
      <c r="JS179" s="11"/>
      <c r="JT179" s="11"/>
    </row>
    <row r="180" spans="1:282" ht="13" x14ac:dyDescent="0.3">
      <c r="A180" s="32" t="s">
        <v>404</v>
      </c>
      <c r="B180" s="97" t="s">
        <v>0</v>
      </c>
      <c r="C180" s="41" t="s">
        <v>286</v>
      </c>
      <c r="D180" s="41" t="s">
        <v>287</v>
      </c>
      <c r="E180" s="41" t="s">
        <v>288</v>
      </c>
      <c r="F180" s="41" t="s">
        <v>289</v>
      </c>
      <c r="G180" s="41" t="s">
        <v>290</v>
      </c>
      <c r="H180" s="41" t="s">
        <v>316</v>
      </c>
      <c r="I180" s="42" t="s">
        <v>445</v>
      </c>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c r="DG180" s="11"/>
      <c r="DH180" s="11"/>
      <c r="DI180" s="11"/>
      <c r="DJ180" s="11"/>
      <c r="DK180" s="11"/>
      <c r="DL180" s="11"/>
      <c r="DM180" s="11"/>
      <c r="DN180" s="11"/>
      <c r="DO180" s="11"/>
      <c r="DP180" s="11"/>
      <c r="DQ180" s="11"/>
      <c r="DR180" s="11"/>
      <c r="DS180" s="11"/>
      <c r="DT180" s="11"/>
      <c r="DU180" s="11"/>
      <c r="DV180" s="11"/>
      <c r="DW180" s="11"/>
      <c r="DX180" s="11"/>
      <c r="DY180" s="11"/>
      <c r="DZ180" s="11"/>
      <c r="EA180" s="11"/>
      <c r="EB180" s="11"/>
      <c r="EC180" s="11"/>
      <c r="ED180" s="11"/>
      <c r="EE180" s="11"/>
      <c r="EF180" s="11"/>
      <c r="EG180" s="11"/>
      <c r="EH180" s="11"/>
      <c r="EI180" s="11"/>
      <c r="EJ180" s="11"/>
      <c r="EK180" s="11"/>
      <c r="EL180" s="11"/>
      <c r="EM180" s="11"/>
      <c r="EN180" s="11"/>
      <c r="EO180" s="11"/>
      <c r="EP180" s="11"/>
      <c r="EQ180" s="11"/>
      <c r="ER180" s="11"/>
      <c r="ES180" s="11"/>
      <c r="ET180" s="11"/>
      <c r="EU180" s="11"/>
      <c r="EV180" s="11"/>
      <c r="EW180" s="11"/>
      <c r="EX180" s="11"/>
      <c r="EY180" s="11"/>
      <c r="EZ180" s="11"/>
      <c r="FA180" s="11"/>
      <c r="FB180" s="11"/>
      <c r="FC180" s="11"/>
      <c r="FD180" s="11"/>
      <c r="FE180" s="11"/>
      <c r="FF180" s="11"/>
      <c r="FG180" s="11"/>
      <c r="FH180" s="11"/>
      <c r="FI180" s="11"/>
      <c r="FJ180" s="11"/>
      <c r="FK180" s="11"/>
      <c r="FL180" s="11"/>
      <c r="FM180" s="11"/>
      <c r="FN180" s="11"/>
      <c r="FO180" s="11"/>
      <c r="FP180" s="11"/>
      <c r="FQ180" s="11"/>
      <c r="FR180" s="11"/>
      <c r="FS180" s="11"/>
      <c r="FT180" s="11"/>
      <c r="FU180" s="11"/>
      <c r="FV180" s="11"/>
      <c r="FW180" s="11"/>
      <c r="FX180" s="11"/>
      <c r="FY180" s="11"/>
      <c r="FZ180" s="11"/>
      <c r="GA180" s="11"/>
      <c r="GB180" s="11"/>
      <c r="GC180" s="11"/>
      <c r="GD180" s="11"/>
      <c r="GE180" s="11"/>
      <c r="GF180" s="11"/>
      <c r="GG180" s="11"/>
      <c r="GH180" s="11"/>
      <c r="GI180" s="11"/>
      <c r="GJ180" s="11"/>
      <c r="GK180" s="11"/>
      <c r="GL180" s="11"/>
      <c r="GM180" s="11"/>
      <c r="GN180" s="11"/>
      <c r="GO180" s="11"/>
      <c r="GP180" s="11"/>
      <c r="GQ180" s="11"/>
      <c r="GR180" s="11"/>
      <c r="GS180" s="11"/>
      <c r="GT180" s="11"/>
      <c r="GU180" s="11"/>
      <c r="GV180" s="11"/>
      <c r="GW180" s="11"/>
      <c r="GX180" s="11"/>
      <c r="GY180" s="11"/>
      <c r="GZ180" s="11"/>
      <c r="HA180" s="11"/>
      <c r="HB180" s="11"/>
      <c r="HC180" s="11"/>
      <c r="HD180" s="11"/>
      <c r="HE180" s="11"/>
      <c r="HF180" s="11"/>
      <c r="HG180" s="11"/>
      <c r="HH180" s="11"/>
      <c r="HI180" s="11"/>
      <c r="HJ180" s="11"/>
      <c r="HK180" s="11"/>
      <c r="HL180" s="11"/>
      <c r="HM180" s="11"/>
      <c r="HN180" s="11"/>
      <c r="HO180" s="11"/>
      <c r="HP180" s="11"/>
      <c r="HQ180" s="11"/>
      <c r="HR180" s="11"/>
      <c r="HS180" s="11"/>
      <c r="HT180" s="11"/>
      <c r="HU180" s="11"/>
      <c r="HV180" s="11"/>
      <c r="HW180" s="11"/>
      <c r="HX180" s="11"/>
      <c r="HY180" s="11"/>
      <c r="HZ180" s="11"/>
      <c r="IA180" s="11"/>
      <c r="IB180" s="11"/>
      <c r="IC180" s="11"/>
      <c r="ID180" s="11"/>
      <c r="IE180" s="11"/>
      <c r="IF180" s="11"/>
      <c r="IG180" s="11"/>
      <c r="IH180" s="11"/>
      <c r="II180" s="11"/>
      <c r="IJ180" s="11"/>
      <c r="IK180" s="11"/>
      <c r="IL180" s="11"/>
      <c r="IM180" s="11"/>
      <c r="IN180" s="11"/>
      <c r="IO180" s="11"/>
      <c r="IP180" s="11"/>
      <c r="IQ180" s="11"/>
      <c r="IR180" s="11"/>
      <c r="IS180" s="11"/>
      <c r="IT180" s="11"/>
      <c r="IU180" s="11"/>
      <c r="IV180" s="11"/>
      <c r="IW180" s="11"/>
      <c r="IX180" s="11"/>
      <c r="IY180" s="11"/>
      <c r="IZ180" s="11"/>
      <c r="JA180" s="11"/>
      <c r="JB180" s="11"/>
      <c r="JC180" s="11"/>
      <c r="JD180" s="11"/>
      <c r="JE180" s="11"/>
      <c r="JF180" s="11"/>
      <c r="JG180" s="11"/>
      <c r="JH180" s="11"/>
      <c r="JI180" s="11"/>
      <c r="JJ180" s="11"/>
      <c r="JK180" s="11"/>
      <c r="JL180" s="11"/>
      <c r="JM180" s="11"/>
      <c r="JN180" s="11"/>
      <c r="JO180" s="11"/>
      <c r="JP180" s="11"/>
      <c r="JQ180" s="11"/>
      <c r="JR180" s="11"/>
      <c r="JS180" s="11"/>
      <c r="JT180" s="11"/>
    </row>
    <row r="181" spans="1:282" ht="13" x14ac:dyDescent="0.3">
      <c r="B181" s="170" t="s">
        <v>239</v>
      </c>
      <c r="C181" s="50"/>
      <c r="D181" s="50"/>
      <c r="E181" s="50"/>
      <c r="F181" s="50"/>
      <c r="G181" s="50"/>
      <c r="H181" s="50"/>
      <c r="I181" s="44"/>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c r="DG181" s="11"/>
      <c r="DH181" s="11"/>
      <c r="DI181" s="11"/>
      <c r="DJ181" s="11"/>
      <c r="DK181" s="11"/>
      <c r="DL181" s="11"/>
      <c r="DM181" s="11"/>
      <c r="DN181" s="11"/>
      <c r="DO181" s="11"/>
      <c r="DP181" s="11"/>
      <c r="DQ181" s="11"/>
      <c r="DR181" s="11"/>
      <c r="DS181" s="11"/>
      <c r="DT181" s="11"/>
      <c r="DU181" s="11"/>
      <c r="DV181" s="11"/>
      <c r="DW181" s="11"/>
      <c r="DX181" s="11"/>
      <c r="DY181" s="11"/>
      <c r="DZ181" s="11"/>
      <c r="EA181" s="11"/>
      <c r="EB181" s="11"/>
      <c r="EC181" s="11"/>
      <c r="ED181" s="11"/>
      <c r="EE181" s="11"/>
      <c r="EF181" s="11"/>
      <c r="EG181" s="11"/>
      <c r="EH181" s="11"/>
      <c r="EI181" s="11"/>
      <c r="EJ181" s="11"/>
      <c r="EK181" s="11"/>
      <c r="EL181" s="11"/>
      <c r="EM181" s="11"/>
      <c r="EN181" s="11"/>
      <c r="EO181" s="11"/>
      <c r="EP181" s="11"/>
      <c r="EQ181" s="11"/>
      <c r="ER181" s="11"/>
      <c r="ES181" s="11"/>
      <c r="ET181" s="11"/>
      <c r="EU181" s="11"/>
      <c r="EV181" s="11"/>
      <c r="EW181" s="11"/>
      <c r="EX181" s="11"/>
      <c r="EY181" s="11"/>
      <c r="EZ181" s="11"/>
      <c r="FA181" s="11"/>
      <c r="FB181" s="11"/>
      <c r="FC181" s="11"/>
      <c r="FD181" s="11"/>
      <c r="FE181" s="11"/>
      <c r="FF181" s="11"/>
      <c r="FG181" s="11"/>
      <c r="FH181" s="11"/>
      <c r="FI181" s="11"/>
      <c r="FJ181" s="11"/>
      <c r="FK181" s="11"/>
      <c r="FL181" s="11"/>
      <c r="FM181" s="11"/>
      <c r="FN181" s="11"/>
      <c r="FO181" s="11"/>
      <c r="FP181" s="11"/>
      <c r="FQ181" s="11"/>
      <c r="FR181" s="11"/>
      <c r="FS181" s="11"/>
      <c r="FT181" s="11"/>
      <c r="FU181" s="11"/>
      <c r="FV181" s="11"/>
      <c r="FW181" s="11"/>
      <c r="FX181" s="11"/>
      <c r="FY181" s="11"/>
      <c r="FZ181" s="11"/>
      <c r="GA181" s="11"/>
      <c r="GB181" s="11"/>
      <c r="GC181" s="11"/>
      <c r="GD181" s="11"/>
      <c r="GE181" s="11"/>
      <c r="GF181" s="11"/>
      <c r="GG181" s="11"/>
      <c r="GH181" s="11"/>
      <c r="GI181" s="11"/>
      <c r="GJ181" s="11"/>
      <c r="GK181" s="11"/>
      <c r="GL181" s="11"/>
      <c r="GM181" s="11"/>
      <c r="GN181" s="11"/>
      <c r="GO181" s="11"/>
      <c r="GP181" s="11"/>
      <c r="GQ181" s="11"/>
      <c r="GR181" s="11"/>
      <c r="GS181" s="11"/>
      <c r="GT181" s="11"/>
      <c r="GU181" s="11"/>
      <c r="GV181" s="11"/>
      <c r="GW181" s="11"/>
      <c r="GX181" s="11"/>
      <c r="GY181" s="11"/>
      <c r="GZ181" s="11"/>
      <c r="HA181" s="11"/>
      <c r="HB181" s="11"/>
      <c r="HC181" s="11"/>
      <c r="HD181" s="11"/>
      <c r="HE181" s="11"/>
      <c r="HF181" s="11"/>
      <c r="HG181" s="11"/>
      <c r="HH181" s="11"/>
      <c r="HI181" s="11"/>
      <c r="HJ181" s="11"/>
      <c r="HK181" s="11"/>
      <c r="HL181" s="11"/>
      <c r="HM181" s="11"/>
      <c r="HN181" s="11"/>
      <c r="HO181" s="11"/>
      <c r="HP181" s="11"/>
      <c r="HQ181" s="11"/>
      <c r="HR181" s="11"/>
      <c r="HS181" s="11"/>
      <c r="HT181" s="11"/>
      <c r="HU181" s="11"/>
      <c r="HV181" s="11"/>
      <c r="HW181" s="11"/>
      <c r="HX181" s="11"/>
      <c r="HY181" s="11"/>
      <c r="HZ181" s="11"/>
      <c r="IA181" s="11"/>
      <c r="IB181" s="11"/>
      <c r="IC181" s="11"/>
      <c r="ID181" s="11"/>
      <c r="IE181" s="11"/>
      <c r="IF181" s="11"/>
      <c r="IG181" s="11"/>
      <c r="IH181" s="11"/>
      <c r="II181" s="11"/>
      <c r="IJ181" s="11"/>
      <c r="IK181" s="11"/>
      <c r="IL181" s="11"/>
      <c r="IM181" s="11"/>
      <c r="IN181" s="11"/>
      <c r="IO181" s="11"/>
      <c r="IP181" s="11"/>
      <c r="IQ181" s="11"/>
      <c r="IR181" s="11"/>
      <c r="IS181" s="11"/>
      <c r="IT181" s="11"/>
      <c r="IU181" s="11"/>
      <c r="IV181" s="11"/>
      <c r="IW181" s="11"/>
      <c r="IX181" s="11"/>
      <c r="IY181" s="11"/>
      <c r="IZ181" s="11"/>
      <c r="JA181" s="11"/>
      <c r="JB181" s="11"/>
      <c r="JC181" s="11"/>
      <c r="JD181" s="11"/>
      <c r="JE181" s="11"/>
      <c r="JF181" s="11"/>
      <c r="JG181" s="11"/>
      <c r="JH181" s="11"/>
      <c r="JI181" s="11"/>
      <c r="JJ181" s="11"/>
      <c r="JK181" s="11"/>
      <c r="JL181" s="11"/>
      <c r="JM181" s="11"/>
      <c r="JN181" s="11"/>
      <c r="JO181" s="11"/>
      <c r="JP181" s="11"/>
      <c r="JQ181" s="11"/>
      <c r="JR181" s="11"/>
      <c r="JS181" s="11"/>
      <c r="JT181" s="11"/>
    </row>
    <row r="182" spans="1:282" x14ac:dyDescent="0.25">
      <c r="B182" s="125">
        <v>2958101</v>
      </c>
      <c r="C182" s="210" t="s">
        <v>6</v>
      </c>
      <c r="D182" s="210" t="s">
        <v>6</v>
      </c>
      <c r="E182" s="210" t="s">
        <v>6</v>
      </c>
      <c r="F182" s="210" t="s">
        <v>6</v>
      </c>
      <c r="G182" s="210" t="s">
        <v>6</v>
      </c>
      <c r="H182" s="211">
        <v>0</v>
      </c>
      <c r="I182" s="212">
        <v>999.99</v>
      </c>
    </row>
    <row r="184" spans="1:282" ht="13" x14ac:dyDescent="0.25">
      <c r="A184" s="13" t="s">
        <v>9</v>
      </c>
      <c r="B184" s="17" t="str">
        <f ca="1">GetNameRange(B185)</f>
        <v>InvStratPurchAssetSubPortIdAndWghtPbaGaap</v>
      </c>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c r="CQ184" s="11"/>
      <c r="CR184" s="11"/>
      <c r="CS184" s="11"/>
      <c r="CT184" s="11"/>
      <c r="CU184" s="11"/>
      <c r="CV184" s="11"/>
      <c r="CW184" s="11"/>
      <c r="CX184" s="11"/>
      <c r="CY184" s="11"/>
      <c r="CZ184" s="11"/>
      <c r="DA184" s="11"/>
      <c r="DB184" s="11"/>
      <c r="DC184" s="11"/>
      <c r="DD184" s="11"/>
      <c r="DE184" s="11"/>
      <c r="DF184" s="11"/>
      <c r="DG184" s="11"/>
      <c r="DH184" s="11"/>
      <c r="DI184" s="11"/>
      <c r="DJ184" s="11"/>
      <c r="DK184" s="11"/>
      <c r="DL184" s="11"/>
      <c r="DM184" s="11"/>
      <c r="DN184" s="11"/>
      <c r="DO184" s="11"/>
      <c r="DP184" s="11"/>
      <c r="DQ184" s="11"/>
      <c r="DR184" s="11"/>
      <c r="DS184" s="11"/>
      <c r="DT184" s="11"/>
      <c r="DU184" s="11"/>
      <c r="DV184" s="11"/>
      <c r="DW184" s="11"/>
      <c r="DX184" s="11"/>
      <c r="DY184" s="11"/>
      <c r="DZ184" s="11"/>
      <c r="EA184" s="11"/>
      <c r="EB184" s="11"/>
      <c r="EC184" s="11"/>
      <c r="ED184" s="11"/>
      <c r="EE184" s="11"/>
      <c r="EF184" s="11"/>
      <c r="EG184" s="11"/>
      <c r="EH184" s="11"/>
      <c r="EI184" s="11"/>
      <c r="EJ184" s="11"/>
      <c r="EK184" s="11"/>
      <c r="EL184" s="11"/>
      <c r="EM184" s="11"/>
      <c r="EN184" s="11"/>
      <c r="EO184" s="11"/>
      <c r="EP184" s="11"/>
      <c r="EQ184" s="11"/>
      <c r="ER184" s="11"/>
      <c r="ES184" s="11"/>
      <c r="ET184" s="11"/>
      <c r="EU184" s="11"/>
      <c r="EV184" s="11"/>
      <c r="EW184" s="11"/>
      <c r="EX184" s="11"/>
      <c r="EY184" s="11"/>
      <c r="EZ184" s="11"/>
      <c r="FA184" s="11"/>
      <c r="FB184" s="11"/>
      <c r="FC184" s="11"/>
      <c r="FD184" s="11"/>
      <c r="FE184" s="11"/>
      <c r="FF184" s="11"/>
      <c r="FG184" s="11"/>
      <c r="FH184" s="11"/>
      <c r="FI184" s="11"/>
      <c r="FJ184" s="11"/>
      <c r="FK184" s="11"/>
      <c r="FL184" s="11"/>
      <c r="FM184" s="11"/>
      <c r="FN184" s="11"/>
      <c r="FO184" s="11"/>
      <c r="FP184" s="11"/>
      <c r="FQ184" s="11"/>
      <c r="FR184" s="11"/>
      <c r="FS184" s="11"/>
      <c r="FT184" s="11"/>
      <c r="FU184" s="11"/>
      <c r="FV184" s="11"/>
      <c r="FW184" s="11"/>
      <c r="FX184" s="11"/>
      <c r="FY184" s="11"/>
      <c r="FZ184" s="11"/>
      <c r="GA184" s="11"/>
      <c r="GB184" s="11"/>
      <c r="GC184" s="11"/>
      <c r="GD184" s="11"/>
      <c r="GE184" s="11"/>
      <c r="GF184" s="11"/>
      <c r="GG184" s="11"/>
      <c r="GH184" s="11"/>
      <c r="GI184" s="11"/>
      <c r="GJ184" s="11"/>
      <c r="GK184" s="11"/>
      <c r="GL184" s="11"/>
      <c r="GM184" s="11"/>
      <c r="GN184" s="11"/>
      <c r="GO184" s="11"/>
      <c r="GP184" s="11"/>
      <c r="GQ184" s="11"/>
      <c r="GR184" s="11"/>
      <c r="GS184" s="11"/>
      <c r="GT184" s="11"/>
      <c r="GU184" s="11"/>
      <c r="GV184" s="11"/>
      <c r="GW184" s="11"/>
      <c r="GX184" s="11"/>
      <c r="GY184" s="11"/>
      <c r="GZ184" s="11"/>
      <c r="HA184" s="11"/>
      <c r="HB184" s="11"/>
      <c r="HC184" s="11"/>
      <c r="HD184" s="11"/>
      <c r="HE184" s="11"/>
      <c r="HF184" s="11"/>
      <c r="HG184" s="11"/>
      <c r="HH184" s="11"/>
      <c r="HI184" s="11"/>
      <c r="HJ184" s="11"/>
      <c r="HK184" s="11"/>
      <c r="HL184" s="11"/>
      <c r="HM184" s="11"/>
      <c r="HN184" s="11"/>
      <c r="HO184" s="11"/>
      <c r="HP184" s="11"/>
      <c r="HQ184" s="11"/>
      <c r="HR184" s="11"/>
      <c r="HS184" s="11"/>
      <c r="HT184" s="11"/>
      <c r="HU184" s="11"/>
      <c r="HV184" s="11"/>
      <c r="HW184" s="11"/>
      <c r="HX184" s="11"/>
      <c r="HY184" s="11"/>
      <c r="HZ184" s="11"/>
      <c r="IA184" s="11"/>
      <c r="IB184" s="11"/>
      <c r="IC184" s="11"/>
      <c r="ID184" s="11"/>
      <c r="IE184" s="11"/>
      <c r="IF184" s="11"/>
      <c r="IG184" s="11"/>
      <c r="IH184" s="11"/>
      <c r="II184" s="11"/>
      <c r="IJ184" s="11"/>
      <c r="IK184" s="11"/>
      <c r="IL184" s="11"/>
      <c r="IM184" s="11"/>
      <c r="IN184" s="11"/>
      <c r="IO184" s="11"/>
      <c r="IP184" s="11"/>
      <c r="IQ184" s="11"/>
      <c r="IR184" s="11"/>
      <c r="IS184" s="11"/>
      <c r="IT184" s="11"/>
      <c r="IU184" s="11"/>
      <c r="IV184" s="11"/>
      <c r="IW184" s="11"/>
      <c r="IX184" s="11"/>
      <c r="IY184" s="11"/>
      <c r="IZ184" s="11"/>
      <c r="JA184" s="11"/>
      <c r="JB184" s="11"/>
      <c r="JC184" s="11"/>
      <c r="JD184" s="11"/>
      <c r="JE184" s="11"/>
      <c r="JF184" s="11"/>
      <c r="JG184" s="11"/>
      <c r="JH184" s="11"/>
      <c r="JI184" s="11"/>
      <c r="JJ184" s="11"/>
      <c r="JK184" s="11"/>
      <c r="JL184" s="11"/>
      <c r="JM184" s="11"/>
      <c r="JN184" s="11"/>
      <c r="JO184" s="11"/>
      <c r="JP184" s="11"/>
      <c r="JQ184" s="11"/>
      <c r="JR184" s="11"/>
      <c r="JS184" s="11"/>
      <c r="JT184" s="11"/>
    </row>
    <row r="185" spans="1:282" ht="13" x14ac:dyDescent="0.25">
      <c r="A185" s="32" t="s">
        <v>404</v>
      </c>
      <c r="B185" s="53" t="s">
        <v>282</v>
      </c>
      <c r="C185" s="51" t="s">
        <v>8</v>
      </c>
      <c r="D185" s="54" t="s">
        <v>8</v>
      </c>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1"/>
      <c r="DC185" s="11"/>
      <c r="DD185" s="11"/>
      <c r="DE185" s="11"/>
      <c r="DF185" s="11"/>
      <c r="DG185" s="11"/>
      <c r="DH185" s="11"/>
      <c r="DI185" s="11"/>
      <c r="DJ185" s="11"/>
      <c r="DK185" s="11"/>
      <c r="DL185" s="11"/>
      <c r="DM185" s="11"/>
      <c r="DN185" s="11"/>
      <c r="DO185" s="11"/>
      <c r="DP185" s="11"/>
      <c r="DQ185" s="11"/>
      <c r="DR185" s="11"/>
      <c r="DS185" s="11"/>
      <c r="DT185" s="11"/>
      <c r="DU185" s="11"/>
      <c r="DV185" s="11"/>
      <c r="DW185" s="11"/>
      <c r="DX185" s="11"/>
      <c r="DY185" s="11"/>
      <c r="DZ185" s="11"/>
      <c r="EA185" s="11"/>
      <c r="EB185" s="11"/>
      <c r="EC185" s="11"/>
      <c r="ED185" s="11"/>
      <c r="EE185" s="11"/>
      <c r="EF185" s="11"/>
      <c r="EG185" s="11"/>
      <c r="EH185" s="11"/>
      <c r="EI185" s="11"/>
      <c r="EJ185" s="11"/>
      <c r="EK185" s="11"/>
      <c r="EL185" s="11"/>
      <c r="EM185" s="11"/>
      <c r="EN185" s="11"/>
      <c r="EO185" s="11"/>
      <c r="EP185" s="11"/>
      <c r="EQ185" s="11"/>
      <c r="ER185" s="11"/>
      <c r="ES185" s="11"/>
      <c r="ET185" s="11"/>
      <c r="EU185" s="11"/>
      <c r="EV185" s="11"/>
      <c r="EW185" s="11"/>
      <c r="EX185" s="11"/>
      <c r="EY185" s="11"/>
      <c r="EZ185" s="11"/>
      <c r="FA185" s="11"/>
      <c r="FB185" s="11"/>
      <c r="FC185" s="11"/>
      <c r="FD185" s="11"/>
      <c r="FE185" s="11"/>
      <c r="FF185" s="11"/>
      <c r="FG185" s="11"/>
      <c r="FH185" s="11"/>
      <c r="FI185" s="11"/>
      <c r="FJ185" s="11"/>
      <c r="FK185" s="11"/>
      <c r="FL185" s="11"/>
      <c r="FM185" s="11"/>
      <c r="FN185" s="11"/>
      <c r="FO185" s="11"/>
      <c r="FP185" s="11"/>
      <c r="FQ185" s="11"/>
      <c r="FR185" s="11"/>
      <c r="FS185" s="11"/>
      <c r="FT185" s="11"/>
      <c r="FU185" s="11"/>
      <c r="FV185" s="11"/>
      <c r="FW185" s="11"/>
      <c r="FX185" s="11"/>
      <c r="FY185" s="11"/>
      <c r="FZ185" s="11"/>
      <c r="GA185" s="11"/>
      <c r="GB185" s="11"/>
      <c r="GC185" s="11"/>
      <c r="GD185" s="11"/>
      <c r="GE185" s="11"/>
      <c r="GF185" s="11"/>
      <c r="GG185" s="11"/>
      <c r="GH185" s="11"/>
      <c r="GI185" s="11"/>
      <c r="GJ185" s="11"/>
      <c r="GK185" s="11"/>
      <c r="GL185" s="11"/>
      <c r="GM185" s="11"/>
      <c r="GN185" s="11"/>
      <c r="GO185" s="11"/>
      <c r="GP185" s="11"/>
      <c r="GQ185" s="11"/>
      <c r="GR185" s="11"/>
      <c r="GS185" s="11"/>
      <c r="GT185" s="11"/>
      <c r="GU185" s="11"/>
      <c r="GV185" s="11"/>
      <c r="GW185" s="11"/>
      <c r="GX185" s="11"/>
      <c r="GY185" s="11"/>
      <c r="GZ185" s="11"/>
      <c r="HA185" s="11"/>
      <c r="HB185" s="11"/>
      <c r="HC185" s="11"/>
      <c r="HD185" s="11"/>
      <c r="HE185" s="11"/>
      <c r="HF185" s="11"/>
      <c r="HG185" s="11"/>
      <c r="HH185" s="11"/>
      <c r="HI185" s="11"/>
      <c r="HJ185" s="11"/>
      <c r="HK185" s="11"/>
      <c r="HL185" s="11"/>
      <c r="HM185" s="11"/>
      <c r="HN185" s="11"/>
      <c r="HO185" s="11"/>
      <c r="HP185" s="11"/>
      <c r="HQ185" s="11"/>
      <c r="HR185" s="11"/>
      <c r="HS185" s="11"/>
      <c r="HT185" s="11"/>
      <c r="HU185" s="11"/>
      <c r="HV185" s="11"/>
      <c r="HW185" s="11"/>
      <c r="HX185" s="11"/>
      <c r="HY185" s="11"/>
      <c r="HZ185" s="11"/>
      <c r="IA185" s="11"/>
      <c r="IB185" s="11"/>
      <c r="IC185" s="11"/>
      <c r="ID185" s="11"/>
      <c r="IE185" s="11"/>
      <c r="IF185" s="11"/>
      <c r="IG185" s="11"/>
      <c r="IH185" s="11"/>
      <c r="II185" s="11"/>
      <c r="IJ185" s="11"/>
      <c r="IK185" s="11"/>
      <c r="IL185" s="11"/>
      <c r="IM185" s="11"/>
      <c r="IN185" s="11"/>
      <c r="IO185" s="11"/>
      <c r="IP185" s="11"/>
      <c r="IQ185" s="11"/>
      <c r="IR185" s="11"/>
      <c r="IS185" s="11"/>
      <c r="IT185" s="11"/>
      <c r="IU185" s="11"/>
      <c r="IV185" s="11"/>
      <c r="IW185" s="11"/>
      <c r="IX185" s="11"/>
      <c r="IY185" s="11"/>
      <c r="IZ185" s="11"/>
      <c r="JA185" s="11"/>
      <c r="JB185" s="11"/>
      <c r="JC185" s="11"/>
      <c r="JD185" s="11"/>
      <c r="JE185" s="11"/>
      <c r="JF185" s="11"/>
      <c r="JG185" s="11"/>
      <c r="JH185" s="11"/>
      <c r="JI185" s="11"/>
      <c r="JJ185" s="11"/>
      <c r="JK185" s="11"/>
      <c r="JL185" s="11"/>
      <c r="JM185" s="11"/>
      <c r="JN185" s="11"/>
      <c r="JO185" s="11"/>
      <c r="JP185" s="11"/>
      <c r="JQ185" s="11"/>
      <c r="JR185" s="11"/>
      <c r="JS185" s="11"/>
      <c r="JT185" s="11"/>
      <c r="JU185" s="11"/>
      <c r="JV185" s="11"/>
    </row>
    <row r="186" spans="1:282" ht="13" x14ac:dyDescent="0.3">
      <c r="B186" s="170" t="s">
        <v>405</v>
      </c>
      <c r="C186" s="46" t="s">
        <v>514</v>
      </c>
      <c r="D186" s="209" t="s">
        <v>515</v>
      </c>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1"/>
      <c r="DC186" s="11"/>
      <c r="DD186" s="11"/>
      <c r="DE186" s="11"/>
      <c r="DF186" s="11"/>
      <c r="DG186" s="11"/>
      <c r="DH186" s="11"/>
      <c r="DI186" s="11"/>
      <c r="DJ186" s="11"/>
      <c r="DK186" s="11"/>
      <c r="DL186" s="11"/>
      <c r="DM186" s="11"/>
      <c r="DN186" s="11"/>
      <c r="DO186" s="11"/>
      <c r="DP186" s="11"/>
      <c r="DQ186" s="11"/>
      <c r="DR186" s="11"/>
      <c r="DS186" s="11"/>
      <c r="DT186" s="11"/>
      <c r="DU186" s="11"/>
      <c r="DV186" s="11"/>
      <c r="DW186" s="11"/>
      <c r="DX186" s="11"/>
      <c r="DY186" s="11"/>
      <c r="DZ186" s="11"/>
      <c r="EA186" s="11"/>
      <c r="EB186" s="11"/>
      <c r="EC186" s="11"/>
      <c r="ED186" s="11"/>
      <c r="EE186" s="11"/>
      <c r="EF186" s="11"/>
      <c r="EG186" s="11"/>
      <c r="EH186" s="11"/>
      <c r="EI186" s="11"/>
      <c r="EJ186" s="11"/>
      <c r="EK186" s="11"/>
      <c r="EL186" s="11"/>
      <c r="EM186" s="11"/>
      <c r="EN186" s="11"/>
      <c r="EO186" s="11"/>
      <c r="EP186" s="11"/>
      <c r="EQ186" s="11"/>
      <c r="ER186" s="11"/>
      <c r="ES186" s="11"/>
      <c r="ET186" s="11"/>
      <c r="EU186" s="11"/>
      <c r="EV186" s="11"/>
      <c r="EW186" s="11"/>
      <c r="EX186" s="11"/>
      <c r="EY186" s="11"/>
      <c r="EZ186" s="11"/>
      <c r="FA186" s="11"/>
      <c r="FB186" s="11"/>
      <c r="FC186" s="11"/>
      <c r="FD186" s="11"/>
      <c r="FE186" s="11"/>
      <c r="FF186" s="11"/>
      <c r="FG186" s="11"/>
      <c r="FH186" s="11"/>
      <c r="FI186" s="11"/>
      <c r="FJ186" s="11"/>
      <c r="FK186" s="11"/>
      <c r="FL186" s="11"/>
      <c r="FM186" s="11"/>
      <c r="FN186" s="11"/>
      <c r="FO186" s="11"/>
      <c r="FP186" s="11"/>
      <c r="FQ186" s="11"/>
      <c r="FR186" s="11"/>
      <c r="FS186" s="11"/>
      <c r="FT186" s="11"/>
      <c r="FU186" s="11"/>
      <c r="FV186" s="11"/>
      <c r="FW186" s="11"/>
      <c r="FX186" s="11"/>
      <c r="FY186" s="11"/>
      <c r="FZ186" s="11"/>
      <c r="GA186" s="11"/>
      <c r="GB186" s="11"/>
      <c r="GC186" s="11"/>
      <c r="GD186" s="11"/>
      <c r="GE186" s="11"/>
      <c r="GF186" s="11"/>
      <c r="GG186" s="11"/>
      <c r="GH186" s="11"/>
      <c r="GI186" s="11"/>
      <c r="GJ186" s="11"/>
      <c r="GK186" s="11"/>
      <c r="GL186" s="11"/>
      <c r="GM186" s="11"/>
      <c r="GN186" s="11"/>
      <c r="GO186" s="11"/>
      <c r="GP186" s="11"/>
      <c r="GQ186" s="11"/>
      <c r="GR186" s="11"/>
      <c r="GS186" s="11"/>
      <c r="GT186" s="11"/>
      <c r="GU186" s="11"/>
      <c r="GV186" s="11"/>
      <c r="GW186" s="11"/>
      <c r="GX186" s="11"/>
      <c r="GY186" s="11"/>
      <c r="GZ186" s="11"/>
      <c r="HA186" s="11"/>
      <c r="HB186" s="11"/>
      <c r="HC186" s="11"/>
      <c r="HD186" s="11"/>
      <c r="HE186" s="11"/>
      <c r="HF186" s="11"/>
      <c r="HG186" s="11"/>
      <c r="HH186" s="11"/>
      <c r="HI186" s="11"/>
      <c r="HJ186" s="11"/>
      <c r="HK186" s="11"/>
      <c r="HL186" s="11"/>
      <c r="HM186" s="11"/>
      <c r="HN186" s="11"/>
      <c r="HO186" s="11"/>
      <c r="HP186" s="11"/>
      <c r="HQ186" s="11"/>
      <c r="HR186" s="11"/>
      <c r="HS186" s="11"/>
      <c r="HT186" s="11"/>
      <c r="HU186" s="11"/>
      <c r="HV186" s="11"/>
      <c r="HW186" s="11"/>
      <c r="HX186" s="11"/>
      <c r="HY186" s="11"/>
      <c r="HZ186" s="11"/>
      <c r="IA186" s="11"/>
      <c r="IB186" s="11"/>
      <c r="IC186" s="11"/>
      <c r="ID186" s="11"/>
      <c r="IE186" s="11"/>
      <c r="IF186" s="11"/>
      <c r="IG186" s="11"/>
      <c r="IH186" s="11"/>
      <c r="II186" s="11"/>
      <c r="IJ186" s="11"/>
      <c r="IK186" s="11"/>
      <c r="IL186" s="11"/>
      <c r="IM186" s="11"/>
      <c r="IN186" s="11"/>
      <c r="IO186" s="11"/>
      <c r="IP186" s="11"/>
      <c r="IQ186" s="11"/>
      <c r="IR186" s="11"/>
      <c r="IS186" s="11"/>
      <c r="IT186" s="11"/>
      <c r="IU186" s="11"/>
      <c r="IV186" s="11"/>
      <c r="IW186" s="11"/>
      <c r="IX186" s="11"/>
      <c r="IY186" s="11"/>
      <c r="IZ186" s="11"/>
      <c r="JA186" s="11"/>
      <c r="JB186" s="11"/>
      <c r="JC186" s="11"/>
      <c r="JD186" s="11"/>
      <c r="JE186" s="11"/>
      <c r="JF186" s="11"/>
      <c r="JG186" s="11"/>
      <c r="JH186" s="11"/>
      <c r="JI186" s="11"/>
      <c r="JJ186" s="11"/>
      <c r="JK186" s="11"/>
      <c r="JL186" s="11"/>
      <c r="JM186" s="11"/>
      <c r="JN186" s="11"/>
      <c r="JO186" s="11"/>
      <c r="JP186" s="11"/>
      <c r="JQ186" s="11"/>
      <c r="JR186" s="11"/>
      <c r="JS186" s="11"/>
      <c r="JT186" s="11"/>
      <c r="JU186" s="11"/>
      <c r="JV186" s="11"/>
    </row>
    <row r="187" spans="1:282" ht="13" x14ac:dyDescent="0.3">
      <c r="B187" s="172" t="s">
        <v>89</v>
      </c>
      <c r="C187" s="50"/>
      <c r="D187" s="44"/>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1"/>
      <c r="DC187" s="11"/>
      <c r="DD187" s="11"/>
      <c r="DE187" s="11"/>
      <c r="DF187" s="11"/>
      <c r="DG187" s="11"/>
      <c r="DH187" s="11"/>
      <c r="DI187" s="11"/>
      <c r="DJ187" s="11"/>
      <c r="DK187" s="11"/>
      <c r="DL187" s="11"/>
      <c r="DM187" s="11"/>
      <c r="DN187" s="11"/>
      <c r="DO187" s="11"/>
      <c r="DP187" s="11"/>
      <c r="DQ187" s="11"/>
      <c r="DR187" s="11"/>
      <c r="DS187" s="11"/>
      <c r="DT187" s="11"/>
      <c r="DU187" s="11"/>
      <c r="DV187" s="11"/>
      <c r="DW187" s="11"/>
      <c r="DX187" s="11"/>
      <c r="DY187" s="11"/>
      <c r="DZ187" s="11"/>
      <c r="EA187" s="11"/>
      <c r="EB187" s="11"/>
      <c r="EC187" s="11"/>
      <c r="ED187" s="11"/>
      <c r="EE187" s="11"/>
      <c r="EF187" s="11"/>
      <c r="EG187" s="11"/>
      <c r="EH187" s="11"/>
      <c r="EI187" s="11"/>
      <c r="EJ187" s="11"/>
      <c r="EK187" s="11"/>
      <c r="EL187" s="11"/>
      <c r="EM187" s="11"/>
      <c r="EN187" s="11"/>
      <c r="EO187" s="11"/>
      <c r="EP187" s="11"/>
      <c r="EQ187" s="11"/>
      <c r="ER187" s="11"/>
      <c r="ES187" s="11"/>
      <c r="ET187" s="11"/>
      <c r="EU187" s="11"/>
      <c r="EV187" s="11"/>
      <c r="EW187" s="11"/>
      <c r="EX187" s="11"/>
      <c r="EY187" s="11"/>
      <c r="EZ187" s="11"/>
      <c r="FA187" s="11"/>
      <c r="FB187" s="11"/>
      <c r="FC187" s="11"/>
      <c r="FD187" s="11"/>
      <c r="FE187" s="11"/>
      <c r="FF187" s="11"/>
      <c r="FG187" s="11"/>
      <c r="FH187" s="11"/>
      <c r="FI187" s="11"/>
      <c r="FJ187" s="11"/>
      <c r="FK187" s="11"/>
      <c r="FL187" s="11"/>
      <c r="FM187" s="11"/>
      <c r="FN187" s="11"/>
      <c r="FO187" s="11"/>
      <c r="FP187" s="11"/>
      <c r="FQ187" s="11"/>
      <c r="FR187" s="11"/>
      <c r="FS187" s="11"/>
      <c r="FT187" s="11"/>
      <c r="FU187" s="11"/>
      <c r="FV187" s="11"/>
      <c r="FW187" s="11"/>
      <c r="FX187" s="11"/>
      <c r="FY187" s="11"/>
      <c r="FZ187" s="11"/>
      <c r="GA187" s="11"/>
      <c r="GB187" s="11"/>
      <c r="GC187" s="11"/>
      <c r="GD187" s="11"/>
      <c r="GE187" s="11"/>
      <c r="GF187" s="11"/>
      <c r="GG187" s="11"/>
      <c r="GH187" s="11"/>
      <c r="GI187" s="11"/>
      <c r="GJ187" s="11"/>
      <c r="GK187" s="11"/>
      <c r="GL187" s="11"/>
      <c r="GM187" s="11"/>
      <c r="GN187" s="11"/>
      <c r="GO187" s="11"/>
      <c r="GP187" s="11"/>
      <c r="GQ187" s="11"/>
      <c r="GR187" s="11"/>
      <c r="GS187" s="11"/>
      <c r="GT187" s="11"/>
      <c r="GU187" s="11"/>
      <c r="GV187" s="11"/>
      <c r="GW187" s="11"/>
      <c r="GX187" s="11"/>
      <c r="GY187" s="11"/>
      <c r="GZ187" s="11"/>
      <c r="HA187" s="11"/>
      <c r="HB187" s="11"/>
      <c r="HC187" s="11"/>
      <c r="HD187" s="11"/>
      <c r="HE187" s="11"/>
      <c r="HF187" s="11"/>
      <c r="HG187" s="11"/>
      <c r="HH187" s="11"/>
      <c r="HI187" s="11"/>
      <c r="HJ187" s="11"/>
      <c r="HK187" s="11"/>
      <c r="HL187" s="11"/>
      <c r="HM187" s="11"/>
      <c r="HN187" s="11"/>
      <c r="HO187" s="11"/>
      <c r="HP187" s="11"/>
      <c r="HQ187" s="11"/>
      <c r="HR187" s="11"/>
      <c r="HS187" s="11"/>
      <c r="HT187" s="11"/>
      <c r="HU187" s="11"/>
      <c r="HV187" s="11"/>
      <c r="HW187" s="11"/>
      <c r="HX187" s="11"/>
      <c r="HY187" s="11"/>
      <c r="HZ187" s="11"/>
      <c r="IA187" s="11"/>
      <c r="IB187" s="11"/>
      <c r="IC187" s="11"/>
      <c r="ID187" s="11"/>
      <c r="IE187" s="11"/>
      <c r="IF187" s="11"/>
      <c r="IG187" s="11"/>
      <c r="IH187" s="11"/>
      <c r="II187" s="11"/>
      <c r="IJ187" s="11"/>
      <c r="IK187" s="11"/>
      <c r="IL187" s="11"/>
      <c r="IM187" s="11"/>
      <c r="IN187" s="11"/>
      <c r="IO187" s="11"/>
      <c r="IP187" s="11"/>
      <c r="IQ187" s="11"/>
      <c r="IR187" s="11"/>
      <c r="IS187" s="11"/>
      <c r="IT187" s="11"/>
      <c r="IU187" s="11"/>
      <c r="IV187" s="11"/>
      <c r="IW187" s="11"/>
      <c r="IX187" s="11"/>
      <c r="IY187" s="11"/>
      <c r="IZ187" s="11"/>
      <c r="JA187" s="11"/>
      <c r="JB187" s="11"/>
      <c r="JC187" s="11"/>
      <c r="JD187" s="11"/>
      <c r="JE187" s="11"/>
      <c r="JF187" s="11"/>
      <c r="JG187" s="11"/>
      <c r="JH187" s="11"/>
      <c r="JI187" s="11"/>
      <c r="JJ187" s="11"/>
      <c r="JK187" s="11"/>
      <c r="JL187" s="11"/>
      <c r="JM187" s="11"/>
      <c r="JN187" s="11"/>
      <c r="JO187" s="11"/>
      <c r="JP187" s="11"/>
      <c r="JQ187" s="11"/>
      <c r="JR187" s="11"/>
      <c r="JS187" s="11"/>
      <c r="JT187" s="11"/>
      <c r="JU187" s="11"/>
      <c r="JV187" s="11"/>
    </row>
    <row r="188" spans="1:282" x14ac:dyDescent="0.25">
      <c r="A188" s="113">
        <v>0</v>
      </c>
      <c r="B188" s="38" t="s">
        <v>8</v>
      </c>
      <c r="C188" s="28" t="s">
        <v>485</v>
      </c>
      <c r="D188" s="116">
        <v>0</v>
      </c>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1"/>
      <c r="DC188" s="11"/>
      <c r="DD188" s="11"/>
      <c r="DE188" s="11"/>
      <c r="DF188" s="11"/>
      <c r="DG188" s="11"/>
      <c r="DH188" s="11"/>
      <c r="DI188" s="11"/>
      <c r="DJ188" s="11"/>
      <c r="DK188" s="11"/>
      <c r="DL188" s="11"/>
      <c r="DM188" s="11"/>
      <c r="DN188" s="11"/>
      <c r="DO188" s="11"/>
      <c r="DP188" s="11"/>
      <c r="DQ188" s="11"/>
      <c r="DR188" s="11"/>
      <c r="DS188" s="11"/>
      <c r="DT188" s="11"/>
      <c r="DU188" s="11"/>
      <c r="DV188" s="11"/>
      <c r="DW188" s="11"/>
      <c r="DX188" s="11"/>
      <c r="DY188" s="11"/>
      <c r="DZ188" s="11"/>
      <c r="EA188" s="11"/>
      <c r="EB188" s="11"/>
      <c r="EC188" s="11"/>
      <c r="ED188" s="11"/>
      <c r="EE188" s="11"/>
      <c r="EF188" s="11"/>
      <c r="EG188" s="11"/>
      <c r="EH188" s="11"/>
      <c r="EI188" s="11"/>
      <c r="EJ188" s="11"/>
      <c r="EK188" s="11"/>
      <c r="EL188" s="11"/>
      <c r="EM188" s="11"/>
      <c r="EN188" s="11"/>
      <c r="EO188" s="11"/>
      <c r="EP188" s="11"/>
      <c r="EQ188" s="11"/>
      <c r="ER188" s="11"/>
      <c r="ES188" s="11"/>
      <c r="ET188" s="11"/>
      <c r="EU188" s="11"/>
      <c r="EV188" s="11"/>
      <c r="EW188" s="11"/>
      <c r="EX188" s="11"/>
      <c r="EY188" s="11"/>
      <c r="EZ188" s="11"/>
      <c r="FA188" s="11"/>
      <c r="FB188" s="11"/>
      <c r="FC188" s="11"/>
      <c r="FD188" s="11"/>
      <c r="FE188" s="11"/>
      <c r="FF188" s="11"/>
      <c r="FG188" s="11"/>
      <c r="FH188" s="11"/>
      <c r="FI188" s="11"/>
      <c r="FJ188" s="11"/>
      <c r="FK188" s="11"/>
      <c r="FL188" s="11"/>
      <c r="FM188" s="11"/>
      <c r="FN188" s="11"/>
      <c r="FO188" s="11"/>
      <c r="FP188" s="11"/>
      <c r="FQ188" s="11"/>
      <c r="FR188" s="11"/>
      <c r="FS188" s="11"/>
      <c r="FT188" s="11"/>
      <c r="FU188" s="11"/>
      <c r="FV188" s="11"/>
      <c r="FW188" s="11"/>
      <c r="FX188" s="11"/>
      <c r="FY188" s="11"/>
      <c r="FZ188" s="11"/>
      <c r="GA188" s="11"/>
      <c r="GB188" s="11"/>
      <c r="GC188" s="11"/>
      <c r="GD188" s="11"/>
      <c r="GE188" s="11"/>
      <c r="GF188" s="11"/>
      <c r="GG188" s="11"/>
      <c r="GH188" s="11"/>
      <c r="GI188" s="11"/>
      <c r="GJ188" s="11"/>
      <c r="GK188" s="11"/>
      <c r="GL188" s="11"/>
      <c r="GM188" s="11"/>
      <c r="GN188" s="11"/>
      <c r="GO188" s="11"/>
      <c r="GP188" s="11"/>
      <c r="GQ188" s="11"/>
      <c r="GR188" s="11"/>
      <c r="GS188" s="11"/>
      <c r="GT188" s="11"/>
      <c r="GU188" s="11"/>
      <c r="GV188" s="11"/>
      <c r="GW188" s="11"/>
      <c r="GX188" s="11"/>
      <c r="GY188" s="11"/>
      <c r="GZ188" s="11"/>
      <c r="HA188" s="11"/>
      <c r="HB188" s="11"/>
      <c r="HC188" s="11"/>
      <c r="HD188" s="11"/>
      <c r="HE188" s="11"/>
      <c r="HF188" s="11"/>
      <c r="HG188" s="11"/>
      <c r="HH188" s="11"/>
      <c r="HI188" s="11"/>
      <c r="HJ188" s="11"/>
      <c r="HK188" s="11"/>
      <c r="HL188" s="11"/>
      <c r="HM188" s="11"/>
      <c r="HN188" s="11"/>
      <c r="HO188" s="11"/>
      <c r="HP188" s="11"/>
      <c r="HQ188" s="11"/>
      <c r="HR188" s="11"/>
      <c r="HS188" s="11"/>
      <c r="HT188" s="11"/>
      <c r="HU188" s="11"/>
      <c r="HV188" s="11"/>
      <c r="HW188" s="11"/>
      <c r="HX188" s="11"/>
      <c r="HY188" s="11"/>
      <c r="HZ188" s="11"/>
      <c r="IA188" s="11"/>
      <c r="IB188" s="11"/>
      <c r="IC188" s="11"/>
      <c r="ID188" s="11"/>
      <c r="IE188" s="11"/>
      <c r="IF188" s="11"/>
      <c r="IG188" s="11"/>
      <c r="IH188" s="11"/>
      <c r="II188" s="11"/>
      <c r="IJ188" s="11"/>
      <c r="IK188" s="11"/>
      <c r="IL188" s="11"/>
      <c r="IM188" s="11"/>
      <c r="IN188" s="11"/>
      <c r="IO188" s="11"/>
      <c r="IP188" s="11"/>
      <c r="IQ188" s="11"/>
      <c r="IR188" s="11"/>
      <c r="IS188" s="11"/>
      <c r="IT188" s="11"/>
      <c r="IU188" s="11"/>
      <c r="IV188" s="11"/>
      <c r="IW188" s="11"/>
      <c r="IX188" s="11"/>
      <c r="IY188" s="11"/>
      <c r="IZ188" s="11"/>
      <c r="JA188" s="11"/>
      <c r="JB188" s="11"/>
      <c r="JC188" s="11"/>
      <c r="JD188" s="11"/>
      <c r="JE188" s="11"/>
      <c r="JF188" s="11"/>
      <c r="JG188" s="11"/>
      <c r="JH188" s="11"/>
      <c r="JI188" s="11"/>
      <c r="JJ188" s="11"/>
      <c r="JK188" s="11"/>
      <c r="JL188" s="11"/>
      <c r="JM188" s="11"/>
      <c r="JN188" s="11"/>
      <c r="JO188" s="11"/>
      <c r="JP188" s="11"/>
      <c r="JQ188" s="11"/>
      <c r="JR188" s="11"/>
      <c r="JS188" s="11"/>
      <c r="JT188" s="11"/>
      <c r="JU188" s="11"/>
      <c r="JV188" s="11"/>
    </row>
    <row r="189" spans="1:282" x14ac:dyDescent="0.25">
      <c r="G189" s="11"/>
      <c r="H189" s="11"/>
      <c r="I189" s="11"/>
      <c r="J189" s="11"/>
      <c r="K189" s="11"/>
      <c r="L189" s="11"/>
      <c r="M189" s="11"/>
      <c r="N189" s="11"/>
      <c r="O189" s="11"/>
      <c r="P189" s="11"/>
      <c r="Q189" s="11"/>
      <c r="R189" s="11"/>
      <c r="S189" s="11"/>
      <c r="T189" s="11"/>
      <c r="U189" s="11"/>
      <c r="V189" s="11"/>
    </row>
    <row r="190" spans="1:282" ht="13" x14ac:dyDescent="0.25">
      <c r="A190" s="13" t="s">
        <v>9</v>
      </c>
      <c r="B190" s="17" t="str">
        <f ca="1">GetNameRange(B191)</f>
        <v>InvStratAssetSubPortInvTgtPctPbaGaap</v>
      </c>
      <c r="C190" s="33"/>
      <c r="D190" s="33"/>
      <c r="E190" s="33"/>
      <c r="F190" s="33"/>
      <c r="G190" s="33"/>
      <c r="H190" s="33"/>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c r="CQ190" s="11"/>
      <c r="CR190" s="11"/>
      <c r="CS190" s="11"/>
      <c r="CT190" s="11"/>
      <c r="CU190" s="11"/>
      <c r="CV190" s="11"/>
      <c r="CW190" s="11"/>
      <c r="CX190" s="11"/>
      <c r="CY190" s="11"/>
      <c r="CZ190" s="11"/>
      <c r="DA190" s="11"/>
      <c r="DB190" s="11"/>
      <c r="DC190" s="11"/>
      <c r="DD190" s="11"/>
      <c r="DE190" s="11"/>
      <c r="DF190" s="11"/>
      <c r="DG190" s="11"/>
      <c r="DH190" s="11"/>
      <c r="DI190" s="11"/>
      <c r="DJ190" s="11"/>
      <c r="DK190" s="11"/>
      <c r="DL190" s="11"/>
      <c r="DM190" s="11"/>
      <c r="DN190" s="11"/>
      <c r="DO190" s="11"/>
      <c r="DP190" s="11"/>
      <c r="DQ190" s="11"/>
      <c r="DR190" s="11"/>
      <c r="DS190" s="11"/>
      <c r="DT190" s="11"/>
      <c r="DU190" s="11"/>
      <c r="DV190" s="11"/>
      <c r="DW190" s="11"/>
      <c r="DX190" s="11"/>
      <c r="DY190" s="11"/>
      <c r="DZ190" s="11"/>
      <c r="EA190" s="11"/>
      <c r="EB190" s="11"/>
      <c r="EC190" s="11"/>
      <c r="ED190" s="11"/>
      <c r="EE190" s="11"/>
      <c r="EF190" s="11"/>
      <c r="EG190" s="11"/>
      <c r="EH190" s="11"/>
      <c r="EI190" s="11"/>
      <c r="EJ190" s="11"/>
      <c r="EK190" s="11"/>
      <c r="EL190" s="11"/>
      <c r="EM190" s="11"/>
      <c r="EN190" s="11"/>
      <c r="EO190" s="11"/>
      <c r="EP190" s="11"/>
      <c r="EQ190" s="11"/>
      <c r="ER190" s="11"/>
      <c r="ES190" s="11"/>
      <c r="ET190" s="11"/>
      <c r="EU190" s="11"/>
      <c r="EV190" s="11"/>
      <c r="EW190" s="11"/>
      <c r="EX190" s="11"/>
    </row>
    <row r="191" spans="1:282" ht="13" x14ac:dyDescent="0.25">
      <c r="A191" s="32" t="s">
        <v>404</v>
      </c>
      <c r="B191" s="53" t="s">
        <v>282</v>
      </c>
      <c r="C191" s="54" t="s">
        <v>8</v>
      </c>
      <c r="D191" s="33"/>
      <c r="E191" s="33"/>
      <c r="F191" s="33"/>
      <c r="G191" s="33"/>
      <c r="H191" s="33"/>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c r="CQ191" s="11"/>
      <c r="CR191" s="11"/>
      <c r="CS191" s="11"/>
      <c r="CT191" s="11"/>
      <c r="CU191" s="11"/>
      <c r="CV191" s="11"/>
      <c r="CW191" s="11"/>
      <c r="CX191" s="11"/>
      <c r="CY191" s="11"/>
      <c r="CZ191" s="11"/>
      <c r="DA191" s="11"/>
      <c r="DB191" s="11"/>
      <c r="DC191" s="11"/>
      <c r="DD191" s="11"/>
      <c r="DE191" s="11"/>
      <c r="DF191" s="11"/>
      <c r="DG191" s="11"/>
      <c r="DH191" s="11"/>
      <c r="DI191" s="11"/>
      <c r="DJ191" s="11"/>
      <c r="DK191" s="11"/>
      <c r="DL191" s="11"/>
      <c r="DM191" s="11"/>
      <c r="DN191" s="11"/>
      <c r="DO191" s="11"/>
      <c r="DP191" s="11"/>
      <c r="DQ191" s="11"/>
      <c r="DR191" s="11"/>
      <c r="DS191" s="11"/>
      <c r="DT191" s="11"/>
      <c r="DU191" s="11"/>
      <c r="DV191" s="11"/>
      <c r="DW191" s="11"/>
      <c r="DX191" s="11"/>
      <c r="DY191" s="11"/>
      <c r="DZ191" s="11"/>
      <c r="EA191" s="11"/>
      <c r="EB191" s="11"/>
      <c r="EC191" s="11"/>
      <c r="ED191" s="11"/>
      <c r="EE191" s="11"/>
      <c r="EF191" s="11"/>
      <c r="EG191" s="11"/>
      <c r="EH191" s="11"/>
      <c r="EI191" s="11"/>
      <c r="EJ191" s="11"/>
      <c r="EK191" s="11"/>
      <c r="EL191" s="11"/>
      <c r="EM191" s="11"/>
      <c r="EN191" s="11"/>
      <c r="EO191" s="11"/>
      <c r="EP191" s="11"/>
      <c r="EQ191" s="11"/>
      <c r="ER191" s="11"/>
      <c r="ES191" s="11"/>
      <c r="ET191" s="11"/>
      <c r="EU191" s="11"/>
    </row>
    <row r="192" spans="1:282" ht="13" x14ac:dyDescent="0.25">
      <c r="B192" s="36" t="s">
        <v>496</v>
      </c>
      <c r="C192" s="209"/>
      <c r="D192" s="33"/>
      <c r="E192" s="33"/>
      <c r="F192" s="33"/>
      <c r="G192" s="33"/>
      <c r="H192" s="33"/>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c r="CQ192" s="11"/>
      <c r="CR192" s="11"/>
      <c r="CS192" s="11"/>
      <c r="CT192" s="11"/>
      <c r="CU192" s="11"/>
      <c r="CV192" s="11"/>
      <c r="CW192" s="11"/>
      <c r="CX192" s="11"/>
      <c r="CY192" s="11"/>
      <c r="CZ192" s="11"/>
      <c r="DA192" s="11"/>
      <c r="DB192" s="11"/>
      <c r="DC192" s="11"/>
      <c r="DD192" s="11"/>
      <c r="DE192" s="11"/>
      <c r="DF192" s="11"/>
      <c r="DG192" s="11"/>
      <c r="DH192" s="11"/>
      <c r="DI192" s="11"/>
      <c r="DJ192" s="11"/>
      <c r="DK192" s="11"/>
      <c r="DL192" s="11"/>
      <c r="DM192" s="11"/>
      <c r="DN192" s="11"/>
      <c r="DO192" s="11"/>
      <c r="DP192" s="11"/>
      <c r="DQ192" s="11"/>
      <c r="DR192" s="11"/>
      <c r="DS192" s="11"/>
      <c r="DT192" s="11"/>
      <c r="DU192" s="11"/>
      <c r="DV192" s="11"/>
      <c r="DW192" s="11"/>
      <c r="DX192" s="11"/>
      <c r="DY192" s="11"/>
      <c r="DZ192" s="11"/>
      <c r="EA192" s="11"/>
      <c r="EB192" s="11"/>
      <c r="EC192" s="11"/>
      <c r="ED192" s="11"/>
      <c r="EE192" s="11"/>
      <c r="EF192" s="11"/>
      <c r="EG192" s="11"/>
      <c r="EH192" s="11"/>
      <c r="EI192" s="11"/>
      <c r="EJ192" s="11"/>
      <c r="EK192" s="11"/>
      <c r="EL192" s="11"/>
      <c r="EM192" s="11"/>
      <c r="EN192" s="11"/>
      <c r="EO192" s="11"/>
      <c r="EP192" s="11"/>
      <c r="EQ192" s="11"/>
      <c r="ER192" s="11"/>
      <c r="ES192" s="11"/>
      <c r="ET192" s="11"/>
      <c r="EU192" s="11"/>
    </row>
    <row r="193" spans="1:151" x14ac:dyDescent="0.25">
      <c r="A193" s="113">
        <v>0</v>
      </c>
      <c r="B193" s="38" t="s">
        <v>485</v>
      </c>
      <c r="C193" s="116">
        <v>0</v>
      </c>
      <c r="D193" s="33"/>
      <c r="E193" s="33"/>
      <c r="F193" s="33"/>
      <c r="G193" s="33"/>
      <c r="H193" s="33"/>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c r="BC193" s="11"/>
      <c r="BD193" s="11"/>
      <c r="BE193" s="11"/>
      <c r="BF193" s="11"/>
      <c r="BG193" s="11"/>
      <c r="BH193" s="11"/>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c r="CQ193" s="11"/>
      <c r="CR193" s="11"/>
      <c r="CS193" s="11"/>
      <c r="CT193" s="11"/>
      <c r="CU193" s="11"/>
      <c r="CV193" s="11"/>
      <c r="CW193" s="11"/>
      <c r="CX193" s="11"/>
      <c r="CY193" s="11"/>
      <c r="CZ193" s="11"/>
      <c r="DA193" s="11"/>
      <c r="DB193" s="11"/>
      <c r="DC193" s="11"/>
      <c r="DD193" s="11"/>
      <c r="DE193" s="11"/>
      <c r="DF193" s="11"/>
      <c r="DG193" s="11"/>
      <c r="DH193" s="11"/>
      <c r="DI193" s="11"/>
      <c r="DJ193" s="11"/>
      <c r="DK193" s="11"/>
      <c r="DL193" s="11"/>
      <c r="DM193" s="11"/>
      <c r="DN193" s="11"/>
      <c r="DO193" s="11"/>
      <c r="DP193" s="11"/>
      <c r="DQ193" s="11"/>
      <c r="DR193" s="11"/>
      <c r="DS193" s="11"/>
      <c r="DT193" s="11"/>
      <c r="DU193" s="11"/>
      <c r="DV193" s="11"/>
      <c r="DW193" s="11"/>
      <c r="DX193" s="11"/>
      <c r="DY193" s="11"/>
      <c r="DZ193" s="11"/>
      <c r="EA193" s="11"/>
      <c r="EB193" s="11"/>
      <c r="EC193" s="11"/>
      <c r="ED193" s="11"/>
      <c r="EE193" s="11"/>
      <c r="EF193" s="11"/>
      <c r="EG193" s="11"/>
      <c r="EH193" s="11"/>
      <c r="EI193" s="11"/>
      <c r="EJ193" s="11"/>
      <c r="EK193" s="11"/>
      <c r="EL193" s="11"/>
      <c r="EM193" s="11"/>
      <c r="EN193" s="11"/>
      <c r="EO193" s="11"/>
      <c r="EP193" s="11"/>
      <c r="EQ193" s="11"/>
      <c r="ER193" s="11"/>
      <c r="ES193" s="11"/>
      <c r="ET193" s="11"/>
      <c r="EU193" s="11"/>
    </row>
    <row r="194" spans="1:151" x14ac:dyDescent="0.25">
      <c r="F194" s="33"/>
      <c r="G194" s="33"/>
      <c r="H194" s="33"/>
      <c r="I194" s="33"/>
      <c r="J194" s="33"/>
    </row>
    <row r="195" spans="1:151" ht="13" x14ac:dyDescent="0.25">
      <c r="A195" s="13" t="s">
        <v>9</v>
      </c>
      <c r="B195" s="17" t="str">
        <f ca="1">GetNameRange(B196)</f>
        <v>InvStratEconomicPbaGaap</v>
      </c>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row>
    <row r="196" spans="1:151" ht="13" x14ac:dyDescent="0.25">
      <c r="A196" s="32" t="s">
        <v>404</v>
      </c>
      <c r="B196" s="53" t="s">
        <v>291</v>
      </c>
      <c r="C196" s="42" t="s">
        <v>8</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49"/>
      <c r="AO196" s="49"/>
      <c r="AP196" s="49"/>
      <c r="AQ196" s="49"/>
      <c r="AR196" s="49"/>
      <c r="AS196" s="49"/>
      <c r="AT196" s="49"/>
      <c r="AU196" s="49"/>
      <c r="AV196" s="49"/>
      <c r="AW196" s="49"/>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c r="CD196" s="49"/>
      <c r="CE196" s="49"/>
      <c r="CF196" s="49"/>
      <c r="CG196" s="43"/>
      <c r="CH196" s="43"/>
      <c r="CI196" s="43"/>
      <c r="CJ196" s="43"/>
      <c r="CK196" s="43"/>
    </row>
    <row r="197" spans="1:151" ht="13" x14ac:dyDescent="0.25">
      <c r="A197" s="20"/>
      <c r="B197" s="36" t="s">
        <v>0</v>
      </c>
      <c r="C197" s="17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row>
    <row r="198" spans="1:151" x14ac:dyDescent="0.25">
      <c r="A198" s="66" t="s">
        <v>304</v>
      </c>
      <c r="B198" s="39" t="s">
        <v>292</v>
      </c>
      <c r="C198" s="213" t="s">
        <v>304</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48"/>
      <c r="CJ198" s="25"/>
      <c r="CK198" s="48"/>
      <c r="CL198" s="25"/>
      <c r="CM198" s="48"/>
    </row>
    <row r="199" spans="1:151" x14ac:dyDescent="0.25">
      <c r="A199" s="66">
        <v>1</v>
      </c>
      <c r="B199" s="39" t="s">
        <v>293</v>
      </c>
      <c r="C199" s="213">
        <v>1</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48"/>
      <c r="CJ199" s="25"/>
      <c r="CK199" s="48"/>
      <c r="CL199" s="25"/>
      <c r="CM199" s="48"/>
    </row>
    <row r="200" spans="1:151" x14ac:dyDescent="0.25">
      <c r="A200" s="66" t="s">
        <v>305</v>
      </c>
      <c r="B200" s="39" t="s">
        <v>294</v>
      </c>
      <c r="C200" s="213" t="s">
        <v>305</v>
      </c>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row>
    <row r="201" spans="1:151" x14ac:dyDescent="0.25">
      <c r="A201" s="66">
        <v>0.25</v>
      </c>
      <c r="B201" s="39" t="s">
        <v>295</v>
      </c>
      <c r="C201" s="213">
        <v>0.25</v>
      </c>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row>
    <row r="202" spans="1:151" x14ac:dyDescent="0.25">
      <c r="A202" s="66">
        <v>0</v>
      </c>
      <c r="B202" s="39" t="s">
        <v>296</v>
      </c>
      <c r="C202" s="213">
        <v>0</v>
      </c>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row>
    <row r="203" spans="1:151" x14ac:dyDescent="0.25">
      <c r="A203" s="66">
        <v>0</v>
      </c>
      <c r="B203" s="39" t="s">
        <v>297</v>
      </c>
      <c r="C203" s="213">
        <v>0</v>
      </c>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row>
    <row r="204" spans="1:151" x14ac:dyDescent="0.25">
      <c r="A204" s="66" t="s">
        <v>306</v>
      </c>
      <c r="B204" s="39" t="s">
        <v>298</v>
      </c>
      <c r="C204" s="213" t="s">
        <v>306</v>
      </c>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row>
    <row r="205" spans="1:151" x14ac:dyDescent="0.25">
      <c r="A205" s="66">
        <v>1</v>
      </c>
      <c r="B205" s="39" t="s">
        <v>313</v>
      </c>
      <c r="C205" s="213">
        <v>1</v>
      </c>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row>
    <row r="206" spans="1:151" x14ac:dyDescent="0.25">
      <c r="A206" s="66" t="s">
        <v>6</v>
      </c>
      <c r="B206" s="39" t="s">
        <v>299</v>
      </c>
      <c r="C206" s="213" t="s">
        <v>6</v>
      </c>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row>
    <row r="207" spans="1:151" x14ac:dyDescent="0.25">
      <c r="A207" s="67">
        <v>0</v>
      </c>
      <c r="B207" s="39" t="s">
        <v>314</v>
      </c>
      <c r="C207" s="214">
        <v>0</v>
      </c>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row>
    <row r="208" spans="1:151" x14ac:dyDescent="0.25">
      <c r="A208" s="67">
        <v>0</v>
      </c>
      <c r="B208" s="39" t="s">
        <v>315</v>
      </c>
      <c r="C208" s="214">
        <v>0</v>
      </c>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row>
    <row r="209" spans="1:280" x14ac:dyDescent="0.25">
      <c r="A209" s="66" t="s">
        <v>6</v>
      </c>
      <c r="B209" s="39" t="s">
        <v>300</v>
      </c>
      <c r="C209" s="213" t="s">
        <v>6</v>
      </c>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row>
    <row r="210" spans="1:280" x14ac:dyDescent="0.25">
      <c r="A210" s="66" t="s">
        <v>6</v>
      </c>
      <c r="B210" s="39" t="s">
        <v>301</v>
      </c>
      <c r="C210" s="213" t="s">
        <v>6</v>
      </c>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row>
    <row r="211" spans="1:280" x14ac:dyDescent="0.25">
      <c r="A211" s="66" t="s">
        <v>6</v>
      </c>
      <c r="B211" s="39" t="s">
        <v>302</v>
      </c>
      <c r="C211" s="213" t="s">
        <v>6</v>
      </c>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row>
    <row r="212" spans="1:280" x14ac:dyDescent="0.25">
      <c r="A212" s="66" t="s">
        <v>6</v>
      </c>
      <c r="B212" s="40" t="s">
        <v>303</v>
      </c>
      <c r="C212" s="215" t="s">
        <v>6</v>
      </c>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row>
    <row r="213" spans="1:280" x14ac:dyDescent="0.25">
      <c r="D213" s="11"/>
    </row>
    <row r="214" spans="1:280" ht="13" x14ac:dyDescent="0.25">
      <c r="A214" s="13" t="s">
        <v>9</v>
      </c>
      <c r="B214" s="17" t="str">
        <f ca="1">GetNameRange(B215)</f>
        <v>NegCashFlowStratPlanned</v>
      </c>
      <c r="C214" s="25" t="s">
        <v>311</v>
      </c>
      <c r="D214" s="25" t="s">
        <v>312</v>
      </c>
      <c r="E214" s="188">
        <v>0</v>
      </c>
      <c r="F214" s="33">
        <v>0</v>
      </c>
      <c r="G214" s="25" t="s">
        <v>6</v>
      </c>
      <c r="H214" s="25" t="s">
        <v>309</v>
      </c>
      <c r="I214" s="110">
        <v>1</v>
      </c>
      <c r="J214" s="189">
        <v>1</v>
      </c>
      <c r="K214" s="189">
        <v>0</v>
      </c>
      <c r="L214" s="189">
        <v>1</v>
      </c>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11"/>
      <c r="AU214" s="11"/>
      <c r="AV214" s="11"/>
      <c r="AW214" s="11"/>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c r="CQ214" s="11"/>
      <c r="CR214" s="11"/>
      <c r="CS214" s="11"/>
      <c r="CT214" s="11"/>
      <c r="CU214" s="11"/>
      <c r="CV214" s="11"/>
      <c r="CW214" s="11"/>
      <c r="CX214" s="11"/>
      <c r="CY214" s="11"/>
      <c r="CZ214" s="11"/>
      <c r="DA214" s="11"/>
      <c r="DB214" s="11"/>
      <c r="DC214" s="11"/>
      <c r="DD214" s="11"/>
      <c r="DE214" s="11"/>
      <c r="DF214" s="11"/>
      <c r="DG214" s="11"/>
      <c r="DH214" s="11"/>
      <c r="DI214" s="11"/>
      <c r="DJ214" s="11"/>
      <c r="DK214" s="11"/>
      <c r="DL214" s="11"/>
      <c r="DM214" s="11"/>
      <c r="DN214" s="11"/>
      <c r="DO214" s="11"/>
      <c r="DP214" s="11"/>
      <c r="DQ214" s="11"/>
      <c r="DR214" s="11"/>
      <c r="DS214" s="11"/>
      <c r="DT214" s="11"/>
      <c r="DU214" s="11"/>
      <c r="DV214" s="11"/>
      <c r="DW214" s="11"/>
      <c r="DX214" s="11"/>
      <c r="DY214" s="11"/>
      <c r="DZ214" s="11"/>
      <c r="EA214" s="11"/>
      <c r="EB214" s="11"/>
      <c r="EC214" s="11"/>
      <c r="ED214" s="11"/>
      <c r="EE214" s="11"/>
      <c r="EF214" s="11"/>
      <c r="EG214" s="11"/>
      <c r="EH214" s="11"/>
      <c r="EI214" s="11"/>
      <c r="EJ214" s="11"/>
      <c r="EK214" s="11"/>
      <c r="EL214" s="11"/>
      <c r="EM214" s="11"/>
      <c r="EN214" s="11"/>
      <c r="EO214" s="11"/>
      <c r="EP214" s="11"/>
      <c r="EQ214" s="11"/>
      <c r="ER214" s="11"/>
      <c r="ES214" s="11"/>
      <c r="ET214" s="11"/>
      <c r="EU214" s="11"/>
      <c r="EV214" s="11"/>
      <c r="EW214" s="11"/>
      <c r="EX214" s="11"/>
      <c r="EY214" s="11"/>
      <c r="EZ214" s="11"/>
      <c r="FA214" s="11"/>
      <c r="FB214" s="11"/>
      <c r="FC214" s="11"/>
      <c r="FD214" s="11"/>
      <c r="FE214" s="11"/>
      <c r="FF214" s="11"/>
      <c r="FG214" s="11"/>
      <c r="FH214" s="11"/>
      <c r="FI214" s="11"/>
      <c r="FJ214" s="11"/>
      <c r="FK214" s="11"/>
      <c r="FL214" s="11"/>
      <c r="FM214" s="11"/>
      <c r="FN214" s="11"/>
      <c r="FO214" s="11"/>
      <c r="FP214" s="11"/>
      <c r="FQ214" s="11"/>
      <c r="FR214" s="11"/>
      <c r="FS214" s="11"/>
      <c r="FT214" s="11"/>
      <c r="FU214" s="11"/>
      <c r="FV214" s="11"/>
      <c r="FW214" s="11"/>
      <c r="FX214" s="11"/>
      <c r="FY214" s="11"/>
      <c r="FZ214" s="11"/>
      <c r="GA214" s="11"/>
      <c r="GB214" s="11"/>
      <c r="GC214" s="11"/>
      <c r="GD214" s="11"/>
      <c r="GE214" s="11"/>
      <c r="GF214" s="11"/>
      <c r="GG214" s="11"/>
      <c r="GH214" s="11"/>
      <c r="GI214" s="11"/>
      <c r="GJ214" s="11"/>
      <c r="GK214" s="11"/>
      <c r="GL214" s="11"/>
      <c r="GM214" s="11"/>
      <c r="GN214" s="11"/>
      <c r="GO214" s="11"/>
      <c r="GP214" s="11"/>
      <c r="GQ214" s="11"/>
      <c r="GR214" s="11"/>
      <c r="GS214" s="11"/>
      <c r="GT214" s="11"/>
      <c r="GU214" s="11"/>
      <c r="GV214" s="11"/>
      <c r="GW214" s="11"/>
      <c r="GX214" s="11"/>
      <c r="GY214" s="11"/>
      <c r="GZ214" s="11"/>
      <c r="HA214" s="11"/>
      <c r="HB214" s="11"/>
      <c r="HC214" s="11"/>
      <c r="HD214" s="11"/>
      <c r="HE214" s="11"/>
      <c r="HF214" s="11"/>
      <c r="HG214" s="11"/>
      <c r="HH214" s="11"/>
      <c r="HI214" s="11"/>
      <c r="HJ214" s="11"/>
      <c r="HK214" s="11"/>
      <c r="HL214" s="11"/>
      <c r="HM214" s="11"/>
      <c r="HN214" s="11"/>
      <c r="HO214" s="11"/>
      <c r="HP214" s="11"/>
      <c r="HQ214" s="11"/>
      <c r="HR214" s="11"/>
      <c r="HS214" s="11"/>
      <c r="HT214" s="11"/>
      <c r="HU214" s="11"/>
      <c r="HV214" s="11"/>
      <c r="HW214" s="11"/>
      <c r="HX214" s="11"/>
      <c r="HY214" s="11"/>
      <c r="HZ214" s="11"/>
      <c r="IA214" s="11"/>
      <c r="IB214" s="11"/>
      <c r="IC214" s="11"/>
      <c r="ID214" s="11"/>
      <c r="IE214" s="11"/>
      <c r="IF214" s="11"/>
      <c r="IG214" s="11"/>
      <c r="IH214" s="11"/>
      <c r="II214" s="11"/>
      <c r="IJ214" s="11"/>
      <c r="IK214" s="11"/>
      <c r="IL214" s="11"/>
      <c r="IM214" s="11"/>
      <c r="IN214" s="11"/>
      <c r="IO214" s="11"/>
      <c r="IP214" s="11"/>
      <c r="IQ214" s="11"/>
      <c r="IR214" s="11"/>
      <c r="IS214" s="11"/>
      <c r="IT214" s="11"/>
      <c r="IU214" s="11"/>
      <c r="IV214" s="11"/>
      <c r="IW214" s="11"/>
      <c r="IX214" s="11"/>
      <c r="IY214" s="11"/>
      <c r="IZ214" s="11"/>
      <c r="JA214" s="11"/>
      <c r="JB214" s="11"/>
      <c r="JC214" s="11"/>
      <c r="JD214" s="11"/>
      <c r="JE214" s="11"/>
      <c r="JF214" s="11"/>
      <c r="JG214" s="11"/>
      <c r="JH214" s="11"/>
      <c r="JI214" s="11"/>
      <c r="JJ214" s="11"/>
      <c r="JK214" s="11"/>
      <c r="JL214" s="11"/>
      <c r="JM214" s="11"/>
      <c r="JN214" s="11"/>
      <c r="JO214" s="11"/>
      <c r="JP214" s="11"/>
      <c r="JQ214" s="11"/>
      <c r="JR214" s="11"/>
      <c r="JS214" s="11"/>
      <c r="JT214" s="11"/>
    </row>
    <row r="215" spans="1:280" ht="13" x14ac:dyDescent="0.3">
      <c r="A215" s="32" t="s">
        <v>404</v>
      </c>
      <c r="B215" s="97" t="s">
        <v>0</v>
      </c>
      <c r="C215" s="41" t="s">
        <v>564</v>
      </c>
      <c r="D215" s="41" t="s">
        <v>573</v>
      </c>
      <c r="E215" s="41" t="s">
        <v>574</v>
      </c>
      <c r="F215" s="41" t="s">
        <v>575</v>
      </c>
      <c r="G215" s="41" t="s">
        <v>576</v>
      </c>
      <c r="H215" s="41" t="s">
        <v>577</v>
      </c>
      <c r="I215" s="41" t="s">
        <v>578</v>
      </c>
      <c r="J215" s="41" t="s">
        <v>579</v>
      </c>
      <c r="K215" s="41" t="s">
        <v>580</v>
      </c>
      <c r="L215" s="42" t="s">
        <v>581</v>
      </c>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c r="CQ215" s="11"/>
      <c r="CR215" s="11"/>
      <c r="CS215" s="11"/>
      <c r="CT215" s="11"/>
      <c r="CU215" s="11"/>
      <c r="CV215" s="11"/>
      <c r="CW215" s="11"/>
      <c r="CX215" s="11"/>
      <c r="CY215" s="11"/>
      <c r="CZ215" s="11"/>
      <c r="DA215" s="11"/>
      <c r="DB215" s="11"/>
      <c r="DC215" s="11"/>
      <c r="DD215" s="11"/>
      <c r="DE215" s="11"/>
      <c r="DF215" s="11"/>
      <c r="DG215" s="11"/>
      <c r="DH215" s="11"/>
      <c r="DI215" s="11"/>
      <c r="DJ215" s="11"/>
      <c r="DK215" s="11"/>
      <c r="DL215" s="11"/>
      <c r="DM215" s="11"/>
      <c r="DN215" s="11"/>
      <c r="DO215" s="11"/>
      <c r="DP215" s="11"/>
      <c r="DQ215" s="11"/>
      <c r="DR215" s="11"/>
      <c r="DS215" s="11"/>
      <c r="DT215" s="11"/>
      <c r="DU215" s="11"/>
      <c r="DV215" s="11"/>
      <c r="DW215" s="11"/>
      <c r="DX215" s="11"/>
      <c r="DY215" s="11"/>
      <c r="DZ215" s="11"/>
      <c r="EA215" s="11"/>
      <c r="EB215" s="11"/>
      <c r="EC215" s="11"/>
      <c r="ED215" s="11"/>
      <c r="EE215" s="11"/>
      <c r="EF215" s="11"/>
      <c r="EG215" s="11"/>
      <c r="EH215" s="11"/>
      <c r="EI215" s="11"/>
      <c r="EJ215" s="11"/>
      <c r="EK215" s="11"/>
      <c r="EL215" s="11"/>
      <c r="EM215" s="11"/>
      <c r="EN215" s="11"/>
      <c r="EO215" s="11"/>
      <c r="EP215" s="11"/>
      <c r="EQ215" s="11"/>
      <c r="ER215" s="11"/>
      <c r="ES215" s="11"/>
      <c r="ET215" s="11"/>
      <c r="EU215" s="11"/>
      <c r="EV215" s="11"/>
      <c r="EW215" s="11"/>
      <c r="EX215" s="11"/>
      <c r="EY215" s="11"/>
      <c r="EZ215" s="11"/>
      <c r="FA215" s="11"/>
      <c r="FB215" s="11"/>
      <c r="FC215" s="11"/>
      <c r="FD215" s="11"/>
      <c r="FE215" s="11"/>
      <c r="FF215" s="11"/>
      <c r="FG215" s="11"/>
      <c r="FH215" s="11"/>
      <c r="FI215" s="11"/>
      <c r="FJ215" s="11"/>
      <c r="FK215" s="11"/>
      <c r="FL215" s="11"/>
      <c r="FM215" s="11"/>
      <c r="FN215" s="11"/>
      <c r="FO215" s="11"/>
      <c r="FP215" s="11"/>
      <c r="FQ215" s="11"/>
      <c r="FR215" s="11"/>
      <c r="FS215" s="11"/>
      <c r="FT215" s="11"/>
      <c r="FU215" s="11"/>
      <c r="FV215" s="11"/>
      <c r="FW215" s="11"/>
      <c r="FX215" s="11"/>
      <c r="FY215" s="11"/>
      <c r="FZ215" s="11"/>
      <c r="GA215" s="11"/>
      <c r="GB215" s="11"/>
      <c r="GC215" s="11"/>
      <c r="GD215" s="11"/>
      <c r="GE215" s="11"/>
      <c r="GF215" s="11"/>
      <c r="GG215" s="11"/>
      <c r="GH215" s="11"/>
      <c r="GI215" s="11"/>
      <c r="GJ215" s="11"/>
      <c r="GK215" s="11"/>
      <c r="GL215" s="11"/>
      <c r="GM215" s="11"/>
      <c r="GN215" s="11"/>
      <c r="GO215" s="11"/>
      <c r="GP215" s="11"/>
      <c r="GQ215" s="11"/>
      <c r="GR215" s="11"/>
      <c r="GS215" s="11"/>
      <c r="GT215" s="11"/>
      <c r="GU215" s="11"/>
      <c r="GV215" s="11"/>
      <c r="GW215" s="11"/>
      <c r="GX215" s="11"/>
      <c r="GY215" s="11"/>
      <c r="GZ215" s="11"/>
      <c r="HA215" s="11"/>
      <c r="HB215" s="11"/>
      <c r="HC215" s="11"/>
      <c r="HD215" s="11"/>
      <c r="HE215" s="11"/>
      <c r="HF215" s="11"/>
      <c r="HG215" s="11"/>
      <c r="HH215" s="11"/>
      <c r="HI215" s="11"/>
      <c r="HJ215" s="11"/>
      <c r="HK215" s="11"/>
      <c r="HL215" s="11"/>
      <c r="HM215" s="11"/>
      <c r="HN215" s="11"/>
      <c r="HO215" s="11"/>
      <c r="HP215" s="11"/>
      <c r="HQ215" s="11"/>
      <c r="HR215" s="11"/>
      <c r="HS215" s="11"/>
      <c r="HT215" s="11"/>
      <c r="HU215" s="11"/>
      <c r="HV215" s="11"/>
      <c r="HW215" s="11"/>
      <c r="HX215" s="11"/>
      <c r="HY215" s="11"/>
      <c r="HZ215" s="11"/>
      <c r="IA215" s="11"/>
      <c r="IB215" s="11"/>
      <c r="IC215" s="11"/>
      <c r="ID215" s="11"/>
      <c r="IE215" s="11"/>
      <c r="IF215" s="11"/>
      <c r="IG215" s="11"/>
      <c r="IH215" s="11"/>
      <c r="II215" s="11"/>
      <c r="IJ215" s="11"/>
      <c r="IK215" s="11"/>
      <c r="IL215" s="11"/>
      <c r="IM215" s="11"/>
      <c r="IN215" s="11"/>
      <c r="IO215" s="11"/>
      <c r="IP215" s="11"/>
      <c r="IQ215" s="11"/>
      <c r="IR215" s="11"/>
      <c r="IS215" s="11"/>
      <c r="IT215" s="11"/>
      <c r="IU215" s="11"/>
      <c r="IV215" s="11"/>
      <c r="IW215" s="11"/>
      <c r="IX215" s="11"/>
      <c r="IY215" s="11"/>
      <c r="IZ215" s="11"/>
      <c r="JA215" s="11"/>
      <c r="JB215" s="11"/>
      <c r="JC215" s="11"/>
      <c r="JD215" s="11"/>
      <c r="JE215" s="11"/>
      <c r="JF215" s="11"/>
      <c r="JG215" s="11"/>
      <c r="JH215" s="11"/>
      <c r="JI215" s="11"/>
      <c r="JJ215" s="11"/>
      <c r="JK215" s="11"/>
      <c r="JL215" s="11"/>
      <c r="JM215" s="11"/>
      <c r="JN215" s="11"/>
      <c r="JO215" s="11"/>
      <c r="JP215" s="11"/>
      <c r="JQ215" s="11"/>
      <c r="JR215" s="11"/>
      <c r="JS215" s="11"/>
      <c r="JT215" s="11"/>
    </row>
    <row r="216" spans="1:280" ht="13" x14ac:dyDescent="0.25">
      <c r="B216" s="36" t="s">
        <v>239</v>
      </c>
      <c r="C216" s="50"/>
      <c r="D216" s="50"/>
      <c r="E216" s="50"/>
      <c r="F216" s="50"/>
      <c r="G216" s="50"/>
      <c r="H216" s="50"/>
      <c r="I216" s="50"/>
      <c r="J216" s="50"/>
      <c r="K216" s="50"/>
      <c r="L216" s="44"/>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11"/>
      <c r="AU216" s="11"/>
      <c r="AV216" s="11"/>
      <c r="AW216" s="11"/>
      <c r="AX216" s="11"/>
      <c r="AY216" s="11"/>
      <c r="AZ216" s="11"/>
      <c r="BA216" s="11"/>
      <c r="BB216" s="11"/>
      <c r="BC216" s="11"/>
      <c r="BD216" s="11"/>
      <c r="BE216" s="11"/>
      <c r="BF216" s="11"/>
      <c r="BG216" s="11"/>
      <c r="BH216" s="11"/>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c r="CQ216" s="11"/>
      <c r="CR216" s="11"/>
      <c r="CS216" s="11"/>
      <c r="CT216" s="11"/>
      <c r="CU216" s="11"/>
      <c r="CV216" s="11"/>
      <c r="CW216" s="11"/>
      <c r="CX216" s="11"/>
      <c r="CY216" s="11"/>
      <c r="CZ216" s="11"/>
      <c r="DA216" s="11"/>
      <c r="DB216" s="11"/>
      <c r="DC216" s="11"/>
      <c r="DD216" s="11"/>
      <c r="DE216" s="11"/>
      <c r="DF216" s="11"/>
      <c r="DG216" s="11"/>
      <c r="DH216" s="11"/>
      <c r="DI216" s="11"/>
      <c r="DJ216" s="11"/>
      <c r="DK216" s="11"/>
      <c r="DL216" s="11"/>
      <c r="DM216" s="11"/>
      <c r="DN216" s="11"/>
      <c r="DO216" s="11"/>
      <c r="DP216" s="11"/>
      <c r="DQ216" s="11"/>
      <c r="DR216" s="11"/>
      <c r="DS216" s="11"/>
      <c r="DT216" s="11"/>
      <c r="DU216" s="11"/>
      <c r="DV216" s="11"/>
      <c r="DW216" s="11"/>
      <c r="DX216" s="11"/>
      <c r="DY216" s="11"/>
      <c r="DZ216" s="11"/>
      <c r="EA216" s="11"/>
      <c r="EB216" s="11"/>
      <c r="EC216" s="11"/>
      <c r="ED216" s="11"/>
      <c r="EE216" s="11"/>
      <c r="EF216" s="11"/>
      <c r="EG216" s="11"/>
      <c r="EH216" s="11"/>
      <c r="EI216" s="11"/>
      <c r="EJ216" s="11"/>
      <c r="EK216" s="11"/>
      <c r="EL216" s="11"/>
      <c r="EM216" s="11"/>
      <c r="EN216" s="11"/>
      <c r="EO216" s="11"/>
      <c r="EP216" s="11"/>
      <c r="EQ216" s="11"/>
      <c r="ER216" s="11"/>
      <c r="ES216" s="11"/>
      <c r="ET216" s="11"/>
      <c r="EU216" s="11"/>
      <c r="EV216" s="11"/>
      <c r="EW216" s="11"/>
      <c r="EX216" s="11"/>
      <c r="EY216" s="11"/>
      <c r="EZ216" s="11"/>
      <c r="FA216" s="11"/>
      <c r="FB216" s="11"/>
      <c r="FC216" s="11"/>
      <c r="FD216" s="11"/>
      <c r="FE216" s="11"/>
      <c r="FF216" s="11"/>
      <c r="FG216" s="11"/>
      <c r="FH216" s="11"/>
      <c r="FI216" s="11"/>
      <c r="FJ216" s="11"/>
      <c r="FK216" s="11"/>
      <c r="FL216" s="11"/>
      <c r="FM216" s="11"/>
      <c r="FN216" s="11"/>
      <c r="FO216" s="11"/>
      <c r="FP216" s="11"/>
      <c r="FQ216" s="11"/>
      <c r="FR216" s="11"/>
      <c r="FS216" s="11"/>
      <c r="FT216" s="11"/>
      <c r="FU216" s="11"/>
      <c r="FV216" s="11"/>
      <c r="FW216" s="11"/>
      <c r="FX216" s="11"/>
      <c r="FY216" s="11"/>
      <c r="FZ216" s="11"/>
      <c r="GA216" s="11"/>
      <c r="GB216" s="11"/>
      <c r="GC216" s="11"/>
      <c r="GD216" s="11"/>
      <c r="GE216" s="11"/>
      <c r="GF216" s="11"/>
      <c r="GG216" s="11"/>
      <c r="GH216" s="11"/>
      <c r="GI216" s="11"/>
      <c r="GJ216" s="11"/>
      <c r="GK216" s="11"/>
      <c r="GL216" s="11"/>
      <c r="GM216" s="11"/>
      <c r="GN216" s="11"/>
      <c r="GO216" s="11"/>
      <c r="GP216" s="11"/>
      <c r="GQ216" s="11"/>
      <c r="GR216" s="11"/>
      <c r="GS216" s="11"/>
      <c r="GT216" s="11"/>
      <c r="GU216" s="11"/>
      <c r="GV216" s="11"/>
      <c r="GW216" s="11"/>
      <c r="GX216" s="11"/>
      <c r="GY216" s="11"/>
      <c r="GZ216" s="11"/>
      <c r="HA216" s="11"/>
      <c r="HB216" s="11"/>
      <c r="HC216" s="11"/>
      <c r="HD216" s="11"/>
      <c r="HE216" s="11"/>
      <c r="HF216" s="11"/>
      <c r="HG216" s="11"/>
      <c r="HH216" s="11"/>
      <c r="HI216" s="11"/>
      <c r="HJ216" s="11"/>
      <c r="HK216" s="11"/>
      <c r="HL216" s="11"/>
      <c r="HM216" s="11"/>
      <c r="HN216" s="11"/>
      <c r="HO216" s="11"/>
      <c r="HP216" s="11"/>
      <c r="HQ216" s="11"/>
      <c r="HR216" s="11"/>
      <c r="HS216" s="11"/>
      <c r="HT216" s="11"/>
      <c r="HU216" s="11"/>
      <c r="HV216" s="11"/>
      <c r="HW216" s="11"/>
      <c r="HX216" s="11"/>
      <c r="HY216" s="11"/>
      <c r="HZ216" s="11"/>
      <c r="IA216" s="11"/>
      <c r="IB216" s="11"/>
      <c r="IC216" s="11"/>
      <c r="ID216" s="11"/>
      <c r="IE216" s="11"/>
      <c r="IF216" s="11"/>
      <c r="IG216" s="11"/>
      <c r="IH216" s="11"/>
      <c r="II216" s="11"/>
      <c r="IJ216" s="11"/>
      <c r="IK216" s="11"/>
      <c r="IL216" s="11"/>
      <c r="IM216" s="11"/>
      <c r="IN216" s="11"/>
      <c r="IO216" s="11"/>
      <c r="IP216" s="11"/>
      <c r="IQ216" s="11"/>
      <c r="IR216" s="11"/>
      <c r="IS216" s="11"/>
      <c r="IT216" s="11"/>
      <c r="IU216" s="11"/>
      <c r="IV216" s="11"/>
      <c r="IW216" s="11"/>
      <c r="IX216" s="11"/>
      <c r="IY216" s="11"/>
      <c r="IZ216" s="11"/>
      <c r="JA216" s="11"/>
      <c r="JB216" s="11"/>
      <c r="JC216" s="11"/>
      <c r="JD216" s="11"/>
      <c r="JE216" s="11"/>
      <c r="JF216" s="11"/>
      <c r="JG216" s="11"/>
      <c r="JH216" s="11"/>
      <c r="JI216" s="11"/>
      <c r="JJ216" s="11"/>
      <c r="JK216" s="11"/>
      <c r="JL216" s="11"/>
      <c r="JM216" s="11"/>
      <c r="JN216" s="11"/>
      <c r="JO216" s="11"/>
      <c r="JP216" s="11"/>
      <c r="JQ216" s="11"/>
      <c r="JR216" s="11"/>
      <c r="JS216" s="11"/>
      <c r="JT216" s="11"/>
    </row>
    <row r="217" spans="1:280" x14ac:dyDescent="0.25">
      <c r="B217" s="125">
        <v>1</v>
      </c>
      <c r="C217" s="28" t="s">
        <v>659</v>
      </c>
      <c r="D217" s="234" t="s">
        <v>663</v>
      </c>
      <c r="E217" s="232">
        <v>0.01</v>
      </c>
      <c r="F217" s="126">
        <v>0</v>
      </c>
      <c r="G217" s="126" t="s">
        <v>6</v>
      </c>
      <c r="H217" s="28" t="s">
        <v>309</v>
      </c>
      <c r="I217" s="28">
        <v>1</v>
      </c>
      <c r="J217" s="28">
        <v>1</v>
      </c>
      <c r="K217" s="28">
        <v>0</v>
      </c>
      <c r="L217" s="29">
        <v>1</v>
      </c>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c r="BC217" s="11"/>
      <c r="BD217" s="11"/>
      <c r="BE217" s="11"/>
      <c r="BF217" s="11"/>
      <c r="BG217" s="11"/>
      <c r="BH217" s="11"/>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c r="CQ217" s="11"/>
      <c r="CR217" s="11"/>
      <c r="CS217" s="11"/>
      <c r="CT217" s="11"/>
      <c r="CU217" s="11"/>
      <c r="CV217" s="11"/>
      <c r="CW217" s="11"/>
      <c r="CX217" s="11"/>
      <c r="CY217" s="11"/>
      <c r="CZ217" s="11"/>
      <c r="DA217" s="11"/>
      <c r="DB217" s="11"/>
      <c r="DC217" s="11"/>
      <c r="DD217" s="11"/>
      <c r="DE217" s="11"/>
      <c r="DF217" s="11"/>
      <c r="DG217" s="11"/>
      <c r="DH217" s="11"/>
      <c r="DI217" s="11"/>
      <c r="DJ217" s="11"/>
      <c r="DK217" s="11"/>
      <c r="DL217" s="11"/>
      <c r="DM217" s="11"/>
      <c r="DN217" s="11"/>
      <c r="DO217" s="11"/>
      <c r="DP217" s="11"/>
      <c r="DQ217" s="11"/>
      <c r="DR217" s="11"/>
      <c r="DS217" s="11"/>
      <c r="DT217" s="11"/>
      <c r="DU217" s="11"/>
      <c r="DV217" s="11"/>
      <c r="DW217" s="11"/>
      <c r="DX217" s="11"/>
      <c r="DY217" s="11"/>
      <c r="DZ217" s="11"/>
      <c r="EA217" s="11"/>
      <c r="EB217" s="11"/>
      <c r="EC217" s="11"/>
      <c r="ED217" s="11"/>
      <c r="EE217" s="11"/>
      <c r="EF217" s="11"/>
      <c r="EG217" s="11"/>
      <c r="EH217" s="11"/>
      <c r="EI217" s="11"/>
      <c r="EJ217" s="11"/>
      <c r="EK217" s="11"/>
      <c r="EL217" s="11"/>
      <c r="EM217" s="11"/>
      <c r="EN217" s="11"/>
      <c r="EO217" s="11"/>
      <c r="EP217" s="11"/>
      <c r="EQ217" s="11"/>
      <c r="ER217" s="11"/>
      <c r="ES217" s="11"/>
      <c r="ET217" s="11"/>
      <c r="EU217" s="11"/>
      <c r="EV217" s="11"/>
      <c r="EW217" s="11"/>
      <c r="EX217" s="11"/>
      <c r="EY217" s="11"/>
      <c r="EZ217" s="11"/>
      <c r="FA217" s="11"/>
      <c r="FB217" s="11"/>
      <c r="FC217" s="11"/>
      <c r="FD217" s="11"/>
      <c r="FE217" s="11"/>
      <c r="FF217" s="11"/>
      <c r="FG217" s="11"/>
      <c r="FH217" s="11"/>
      <c r="FI217" s="11"/>
      <c r="FJ217" s="11"/>
      <c r="FK217" s="11"/>
      <c r="FL217" s="11"/>
      <c r="FM217" s="11"/>
      <c r="FN217" s="11"/>
      <c r="FO217" s="11"/>
      <c r="FP217" s="11"/>
      <c r="FQ217" s="11"/>
      <c r="FR217" s="11"/>
      <c r="FS217" s="11"/>
      <c r="FT217" s="11"/>
      <c r="FU217" s="11"/>
      <c r="FV217" s="11"/>
      <c r="FW217" s="11"/>
      <c r="FX217" s="11"/>
      <c r="FY217" s="11"/>
      <c r="FZ217" s="11"/>
      <c r="GA217" s="11"/>
      <c r="GB217" s="11"/>
      <c r="GC217" s="11"/>
      <c r="GD217" s="11"/>
      <c r="GE217" s="11"/>
      <c r="GF217" s="11"/>
      <c r="GG217" s="11"/>
      <c r="GH217" s="11"/>
      <c r="GI217" s="11"/>
      <c r="GJ217" s="11"/>
      <c r="GK217" s="11"/>
      <c r="GL217" s="11"/>
      <c r="GM217" s="11"/>
      <c r="GN217" s="11"/>
      <c r="GO217" s="11"/>
      <c r="GP217" s="11"/>
      <c r="GQ217" s="11"/>
      <c r="GR217" s="11"/>
      <c r="GS217" s="11"/>
      <c r="GT217" s="11"/>
      <c r="GU217" s="11"/>
      <c r="GV217" s="11"/>
      <c r="GW217" s="11"/>
      <c r="GX217" s="11"/>
      <c r="GY217" s="11"/>
      <c r="GZ217" s="11"/>
      <c r="HA217" s="11"/>
      <c r="HB217" s="11"/>
      <c r="HC217" s="11"/>
      <c r="HD217" s="11"/>
      <c r="HE217" s="11"/>
      <c r="HF217" s="11"/>
      <c r="HG217" s="11"/>
      <c r="HH217" s="11"/>
      <c r="HI217" s="11"/>
      <c r="HJ217" s="11"/>
      <c r="HK217" s="11"/>
      <c r="HL217" s="11"/>
      <c r="HM217" s="11"/>
      <c r="HN217" s="11"/>
      <c r="HO217" s="11"/>
      <c r="HP217" s="11"/>
      <c r="HQ217" s="11"/>
      <c r="HR217" s="11"/>
      <c r="HS217" s="11"/>
      <c r="HT217" s="11"/>
      <c r="HU217" s="11"/>
      <c r="HV217" s="11"/>
      <c r="HW217" s="11"/>
      <c r="HX217" s="11"/>
      <c r="HY217" s="11"/>
      <c r="HZ217" s="11"/>
      <c r="IA217" s="11"/>
      <c r="IB217" s="11"/>
      <c r="IC217" s="11"/>
      <c r="ID217" s="11"/>
      <c r="IE217" s="11"/>
      <c r="IF217" s="11"/>
      <c r="IG217" s="11"/>
      <c r="IH217" s="11"/>
      <c r="II217" s="11"/>
      <c r="IJ217" s="11"/>
      <c r="IK217" s="11"/>
      <c r="IL217" s="11"/>
      <c r="IM217" s="11"/>
      <c r="IN217" s="11"/>
      <c r="IO217" s="11"/>
      <c r="IP217" s="11"/>
      <c r="IQ217" s="11"/>
      <c r="IR217" s="11"/>
      <c r="IS217" s="11"/>
      <c r="IT217" s="11"/>
      <c r="IU217" s="11"/>
      <c r="IV217" s="11"/>
      <c r="IW217" s="11"/>
      <c r="IX217" s="11"/>
      <c r="IY217" s="11"/>
      <c r="IZ217" s="11"/>
      <c r="JA217" s="11"/>
      <c r="JB217" s="11"/>
      <c r="JC217" s="11"/>
      <c r="JD217" s="11"/>
      <c r="JE217" s="11"/>
      <c r="JF217" s="11"/>
      <c r="JG217" s="11"/>
      <c r="JH217" s="11"/>
      <c r="JI217" s="11"/>
      <c r="JJ217" s="11"/>
      <c r="JK217" s="11"/>
      <c r="JL217" s="11"/>
      <c r="JM217" s="11"/>
      <c r="JN217" s="11"/>
      <c r="JO217" s="11"/>
      <c r="JP217" s="11"/>
      <c r="JQ217" s="11"/>
      <c r="JR217" s="11"/>
      <c r="JS217" s="11"/>
      <c r="JT217" s="11"/>
    </row>
    <row r="219" spans="1:280" ht="13" x14ac:dyDescent="0.25">
      <c r="A219" s="13" t="s">
        <v>9</v>
      </c>
      <c r="B219" s="17" t="str">
        <f ca="1">GetNameRange(B220)</f>
        <v>NegCashFlowStratEconomic</v>
      </c>
      <c r="C219" s="11"/>
    </row>
    <row r="220" spans="1:280" ht="13" x14ac:dyDescent="0.25">
      <c r="A220" s="32" t="s">
        <v>404</v>
      </c>
      <c r="B220" s="53" t="s">
        <v>582</v>
      </c>
      <c r="C220" s="42" t="s">
        <v>8</v>
      </c>
    </row>
    <row r="221" spans="1:280" ht="13" x14ac:dyDescent="0.25">
      <c r="A221" s="20"/>
      <c r="B221" s="36" t="s">
        <v>0</v>
      </c>
      <c r="C221" s="171"/>
    </row>
    <row r="222" spans="1:280" x14ac:dyDescent="0.25">
      <c r="A222" s="66" t="s">
        <v>304</v>
      </c>
      <c r="B222" s="39" t="s">
        <v>583</v>
      </c>
      <c r="C222" s="27" t="s">
        <v>304</v>
      </c>
    </row>
    <row r="223" spans="1:280" x14ac:dyDescent="0.25">
      <c r="A223" s="66">
        <v>1</v>
      </c>
      <c r="B223" s="39" t="s">
        <v>584</v>
      </c>
      <c r="C223" s="27">
        <v>1</v>
      </c>
    </row>
    <row r="224" spans="1:280" x14ac:dyDescent="0.25">
      <c r="A224" s="66" t="s">
        <v>305</v>
      </c>
      <c r="B224" s="39" t="s">
        <v>585</v>
      </c>
      <c r="C224" s="27" t="s">
        <v>305</v>
      </c>
    </row>
    <row r="225" spans="1:3" x14ac:dyDescent="0.25">
      <c r="A225" s="66">
        <v>0.25</v>
      </c>
      <c r="B225" s="39" t="s">
        <v>586</v>
      </c>
      <c r="C225" s="27">
        <v>0.25</v>
      </c>
    </row>
    <row r="226" spans="1:3" x14ac:dyDescent="0.25">
      <c r="A226" s="66">
        <v>0</v>
      </c>
      <c r="B226" s="39" t="s">
        <v>587</v>
      </c>
      <c r="C226" s="27">
        <v>0</v>
      </c>
    </row>
    <row r="227" spans="1:3" x14ac:dyDescent="0.25">
      <c r="A227" s="66">
        <v>0</v>
      </c>
      <c r="B227" s="39" t="s">
        <v>588</v>
      </c>
      <c r="C227" s="27">
        <v>0</v>
      </c>
    </row>
    <row r="228" spans="1:3" x14ac:dyDescent="0.25">
      <c r="A228" s="66" t="s">
        <v>306</v>
      </c>
      <c r="B228" s="39" t="s">
        <v>589</v>
      </c>
      <c r="C228" s="27" t="s">
        <v>306</v>
      </c>
    </row>
    <row r="229" spans="1:3" x14ac:dyDescent="0.25">
      <c r="A229" s="66">
        <v>1</v>
      </c>
      <c r="B229" s="39" t="s">
        <v>590</v>
      </c>
      <c r="C229" s="27">
        <v>1</v>
      </c>
    </row>
    <row r="230" spans="1:3" x14ac:dyDescent="0.25">
      <c r="A230" s="66" t="s">
        <v>311</v>
      </c>
      <c r="B230" s="39" t="s">
        <v>567</v>
      </c>
      <c r="C230" s="27" t="s">
        <v>311</v>
      </c>
    </row>
    <row r="231" spans="1:3" x14ac:dyDescent="0.25">
      <c r="A231" s="190" t="s">
        <v>312</v>
      </c>
      <c r="B231" s="39" t="s">
        <v>591</v>
      </c>
      <c r="C231" s="235" t="s">
        <v>663</v>
      </c>
    </row>
    <row r="232" spans="1:3" x14ac:dyDescent="0.25">
      <c r="A232" s="69">
        <v>0</v>
      </c>
      <c r="B232" s="39" t="s">
        <v>592</v>
      </c>
      <c r="C232" s="233">
        <v>0.01</v>
      </c>
    </row>
    <row r="233" spans="1:3" x14ac:dyDescent="0.25">
      <c r="A233" s="67">
        <v>0</v>
      </c>
      <c r="B233" s="39" t="s">
        <v>593</v>
      </c>
      <c r="C233" s="62">
        <v>0</v>
      </c>
    </row>
    <row r="234" spans="1:3" x14ac:dyDescent="0.25">
      <c r="A234" s="67" t="s">
        <v>6</v>
      </c>
      <c r="B234" s="39" t="s">
        <v>594</v>
      </c>
      <c r="C234" s="62" t="s">
        <v>6</v>
      </c>
    </row>
    <row r="235" spans="1:3" x14ac:dyDescent="0.25">
      <c r="A235" s="67" t="s">
        <v>309</v>
      </c>
      <c r="B235" s="39" t="s">
        <v>595</v>
      </c>
      <c r="C235" s="27" t="s">
        <v>309</v>
      </c>
    </row>
    <row r="236" spans="1:3" x14ac:dyDescent="0.25">
      <c r="A236" s="106">
        <v>1</v>
      </c>
      <c r="B236" s="39" t="s">
        <v>596</v>
      </c>
      <c r="C236" s="27">
        <v>1</v>
      </c>
    </row>
    <row r="237" spans="1:3" x14ac:dyDescent="0.25">
      <c r="A237" s="106">
        <v>1</v>
      </c>
      <c r="B237" s="39" t="s">
        <v>597</v>
      </c>
      <c r="C237" s="27">
        <v>1</v>
      </c>
    </row>
    <row r="238" spans="1:3" x14ac:dyDescent="0.25">
      <c r="A238" s="106">
        <v>0</v>
      </c>
      <c r="B238" s="39" t="s">
        <v>598</v>
      </c>
      <c r="C238" s="27">
        <v>0</v>
      </c>
    </row>
    <row r="239" spans="1:3" x14ac:dyDescent="0.25">
      <c r="A239" s="106">
        <v>1</v>
      </c>
      <c r="B239" s="40" t="s">
        <v>599</v>
      </c>
      <c r="C239" s="29">
        <v>1</v>
      </c>
    </row>
  </sheetData>
  <dataConsolidate/>
  <conditionalFormatting sqref="C9:C40">
    <cfRule type="cellIs" dxfId="884" priority="1977" operator="notEqual">
      <formula>$A9</formula>
    </cfRule>
  </conditionalFormatting>
  <conditionalFormatting sqref="AI116:CC117 C115">
    <cfRule type="cellIs" dxfId="883" priority="1829" operator="equal">
      <formula>$A115</formula>
    </cfRule>
  </conditionalFormatting>
  <conditionalFormatting sqref="D131 D153 C116:C130 D147:D148 C141 C176 D188 L51:BJ64 U71:CT110 C45:BG46">
    <cfRule type="cellIs" dxfId="882" priority="1824" operator="notEqual">
      <formula>$A45</formula>
    </cfRule>
    <cfRule type="cellIs" dxfId="881" priority="1825" operator="equal">
      <formula>"""&lt;&gt;$A6"""</formula>
    </cfRule>
    <cfRule type="cellIs" dxfId="880" priority="1826" operator="equal">
      <formula>"&lt;&gt;$A6"</formula>
    </cfRule>
    <cfRule type="cellIs" dxfId="879" priority="1827" operator="equal">
      <formula>$A45</formula>
    </cfRule>
    <cfRule type="cellIs" dxfId="878" priority="1828" operator="equal">
      <formula>$A45</formula>
    </cfRule>
  </conditionalFormatting>
  <conditionalFormatting sqref="C152:I152">
    <cfRule type="cellIs" dxfId="877" priority="1731" operator="notEqual">
      <formula>C$149</formula>
    </cfRule>
  </conditionalFormatting>
  <conditionalFormatting sqref="AN198:CH199 C197">
    <cfRule type="cellIs" dxfId="876" priority="1677" operator="equal">
      <formula>$A197</formula>
    </cfRule>
  </conditionalFormatting>
  <conditionalFormatting sqref="C197">
    <cfRule type="cellIs" dxfId="875" priority="1671" operator="equal">
      <formula>$A197</formula>
    </cfRule>
  </conditionalFormatting>
  <conditionalFormatting sqref="C135:C136">
    <cfRule type="cellIs" dxfId="874" priority="1666" operator="notEqual">
      <formula>$A135</formula>
    </cfRule>
    <cfRule type="cellIs" dxfId="873" priority="1667" operator="equal">
      <formula>"""&lt;&gt;$A6"""</formula>
    </cfRule>
    <cfRule type="cellIs" dxfId="872" priority="1668" operator="equal">
      <formula>"&lt;&gt;$A6"</formula>
    </cfRule>
    <cfRule type="cellIs" dxfId="871" priority="1669" operator="equal">
      <formula>$A135</formula>
    </cfRule>
    <cfRule type="cellIs" dxfId="870" priority="1670" operator="equal">
      <formula>$A135</formula>
    </cfRule>
  </conditionalFormatting>
  <conditionalFormatting sqref="AN157:CH158 C156">
    <cfRule type="cellIs" dxfId="869" priority="1659" operator="equal">
      <formula>$A156</formula>
    </cfRule>
  </conditionalFormatting>
  <conditionalFormatting sqref="C157:C171">
    <cfRule type="cellIs" dxfId="868" priority="1654" operator="notEqual">
      <formula>$A157</formula>
    </cfRule>
    <cfRule type="cellIs" dxfId="867" priority="1655" operator="equal">
      <formula>"""&lt;&gt;$A6"""</formula>
    </cfRule>
    <cfRule type="cellIs" dxfId="866" priority="1656" operator="equal">
      <formula>"&lt;&gt;$A6"</formula>
    </cfRule>
    <cfRule type="cellIs" dxfId="865" priority="1657" operator="equal">
      <formula>$A157</formula>
    </cfRule>
    <cfRule type="cellIs" dxfId="864" priority="1658" operator="equal">
      <formula>$A157</formula>
    </cfRule>
  </conditionalFormatting>
  <conditionalFormatting sqref="C156">
    <cfRule type="cellIs" dxfId="863" priority="1653" operator="equal">
      <formula>$A156</formula>
    </cfRule>
  </conditionalFormatting>
  <conditionalFormatting sqref="C157">
    <cfRule type="cellIs" dxfId="862" priority="1652" operator="equal">
      <formula>""""""</formula>
    </cfRule>
  </conditionalFormatting>
  <conditionalFormatting sqref="C193">
    <cfRule type="cellIs" dxfId="861" priority="1598" operator="notEqual">
      <formula>$A193</formula>
    </cfRule>
    <cfRule type="cellIs" dxfId="860" priority="1599" operator="equal">
      <formula>"""&lt;&gt;$A6"""</formula>
    </cfRule>
    <cfRule type="cellIs" dxfId="859" priority="1600" operator="equal">
      <formula>"&lt;&gt;$A6"</formula>
    </cfRule>
    <cfRule type="cellIs" dxfId="858" priority="1601" operator="equal">
      <formula>$A193</formula>
    </cfRule>
    <cfRule type="cellIs" dxfId="857" priority="1602" operator="equal">
      <formula>$A193</formula>
    </cfRule>
  </conditionalFormatting>
  <conditionalFormatting sqref="C217:L217">
    <cfRule type="cellIs" dxfId="856" priority="1533" operator="notEqual">
      <formula>C$214</formula>
    </cfRule>
  </conditionalFormatting>
  <conditionalFormatting sqref="C222:C229">
    <cfRule type="cellIs" dxfId="855" priority="1527" operator="notEqual">
      <formula>$A222</formula>
    </cfRule>
  </conditionalFormatting>
  <conditionalFormatting sqref="C230:C233 C235:C239">
    <cfRule type="cellIs" dxfId="854" priority="1526" operator="notEqual">
      <formula>$A230</formula>
    </cfRule>
  </conditionalFormatting>
  <conditionalFormatting sqref="C234">
    <cfRule type="cellIs" dxfId="853" priority="1523" operator="notEqual">
      <formula>$A234</formula>
    </cfRule>
  </conditionalFormatting>
  <conditionalFormatting sqref="C182:I182">
    <cfRule type="cellIs" dxfId="852" priority="1467" operator="notEqual">
      <formula>C$149</formula>
    </cfRule>
  </conditionalFormatting>
  <conditionalFormatting sqref="F114:F143">
    <cfRule type="cellIs" dxfId="851" priority="991" operator="notEqual">
      <formula>$A114</formula>
    </cfRule>
    <cfRule type="cellIs" dxfId="850" priority="992" operator="equal">
      <formula>"""&lt;&gt;$A6"""</formula>
    </cfRule>
    <cfRule type="cellIs" dxfId="849" priority="993" operator="equal">
      <formula>"&lt;&gt;$A6"</formula>
    </cfRule>
    <cfRule type="cellIs" dxfId="848" priority="994" operator="equal">
      <formula>$A114</formula>
    </cfRule>
    <cfRule type="cellIs" dxfId="847" priority="995" operator="equal">
      <formula>$A114</formula>
    </cfRule>
  </conditionalFormatting>
  <conditionalFormatting sqref="F144">
    <cfRule type="cellIs" dxfId="846" priority="986" operator="notEqual">
      <formula>$A144</formula>
    </cfRule>
    <cfRule type="cellIs" dxfId="845" priority="987" operator="equal">
      <formula>"""&lt;&gt;$A6"""</formula>
    </cfRule>
    <cfRule type="cellIs" dxfId="844" priority="988" operator="equal">
      <formula>"&lt;&gt;$A6"</formula>
    </cfRule>
    <cfRule type="cellIs" dxfId="843" priority="989" operator="equal">
      <formula>$A144</formula>
    </cfRule>
    <cfRule type="cellIs" dxfId="842" priority="990" operator="equal">
      <formula>$A144</formula>
    </cfRule>
  </conditionalFormatting>
  <conditionalFormatting sqref="J114:J143">
    <cfRule type="cellIs" dxfId="841" priority="981" operator="notEqual">
      <formula>$A114</formula>
    </cfRule>
    <cfRule type="cellIs" dxfId="840" priority="982" operator="equal">
      <formula>"""&lt;&gt;$A6"""</formula>
    </cfRule>
    <cfRule type="cellIs" dxfId="839" priority="983" operator="equal">
      <formula>"&lt;&gt;$A6"</formula>
    </cfRule>
    <cfRule type="cellIs" dxfId="838" priority="984" operator="equal">
      <formula>$A114</formula>
    </cfRule>
    <cfRule type="cellIs" dxfId="837" priority="985" operator="equal">
      <formula>$A114</formula>
    </cfRule>
  </conditionalFormatting>
  <conditionalFormatting sqref="J144">
    <cfRule type="cellIs" dxfId="836" priority="976" operator="notEqual">
      <formula>$A144</formula>
    </cfRule>
    <cfRule type="cellIs" dxfId="835" priority="977" operator="equal">
      <formula>"""&lt;&gt;$A6"""</formula>
    </cfRule>
    <cfRule type="cellIs" dxfId="834" priority="978" operator="equal">
      <formula>"&lt;&gt;$A6"</formula>
    </cfRule>
    <cfRule type="cellIs" dxfId="833" priority="979" operator="equal">
      <formula>$A144</formula>
    </cfRule>
    <cfRule type="cellIs" dxfId="832" priority="980" operator="equal">
      <formula>$A144</formula>
    </cfRule>
  </conditionalFormatting>
  <conditionalFormatting sqref="D31:D38">
    <cfRule type="cellIs" dxfId="831" priority="961" operator="notEqual">
      <formula>$A31</formula>
    </cfRule>
    <cfRule type="cellIs" dxfId="830" priority="962" operator="equal">
      <formula>"""&lt;&gt;$A6"""</formula>
    </cfRule>
    <cfRule type="cellIs" dxfId="829" priority="963" operator="equal">
      <formula>"&lt;&gt;$A6"</formula>
    </cfRule>
    <cfRule type="cellIs" dxfId="828" priority="964" operator="equal">
      <formula>$A31</formula>
    </cfRule>
    <cfRule type="cellIs" dxfId="827" priority="965" operator="equal">
      <formula>$A31</formula>
    </cfRule>
  </conditionalFormatting>
  <conditionalFormatting sqref="D39">
    <cfRule type="cellIs" dxfId="826" priority="956" operator="notEqual">
      <formula>$A39</formula>
    </cfRule>
    <cfRule type="cellIs" dxfId="825" priority="957" operator="equal">
      <formula>"""&lt;&gt;$A6"""</formula>
    </cfRule>
    <cfRule type="cellIs" dxfId="824" priority="958" operator="equal">
      <formula>"&lt;&gt;$A6"</formula>
    </cfRule>
    <cfRule type="cellIs" dxfId="823" priority="959" operator="equal">
      <formula>$A39</formula>
    </cfRule>
    <cfRule type="cellIs" dxfId="822" priority="960" operator="equal">
      <formula>$A39</formula>
    </cfRule>
  </conditionalFormatting>
  <conditionalFormatting sqref="F31:F38">
    <cfRule type="cellIs" dxfId="821" priority="951" operator="notEqual">
      <formula>$A31</formula>
    </cfRule>
    <cfRule type="cellIs" dxfId="820" priority="952" operator="equal">
      <formula>"""&lt;&gt;$A6"""</formula>
    </cfRule>
    <cfRule type="cellIs" dxfId="819" priority="953" operator="equal">
      <formula>"&lt;&gt;$A6"</formula>
    </cfRule>
    <cfRule type="cellIs" dxfId="818" priority="954" operator="equal">
      <formula>$A31</formula>
    </cfRule>
    <cfRule type="cellIs" dxfId="817" priority="955" operator="equal">
      <formula>$A31</formula>
    </cfRule>
  </conditionalFormatting>
  <conditionalFormatting sqref="F39">
    <cfRule type="cellIs" dxfId="816" priority="946" operator="notEqual">
      <formula>$A39</formula>
    </cfRule>
    <cfRule type="cellIs" dxfId="815" priority="947" operator="equal">
      <formula>"""&lt;&gt;$A6"""</formula>
    </cfRule>
    <cfRule type="cellIs" dxfId="814" priority="948" operator="equal">
      <formula>"&lt;&gt;$A6"</formula>
    </cfRule>
    <cfRule type="cellIs" dxfId="813" priority="949" operator="equal">
      <formula>$A39</formula>
    </cfRule>
    <cfRule type="cellIs" dxfId="812" priority="950" operator="equal">
      <formula>$A39</formula>
    </cfRule>
  </conditionalFormatting>
  <conditionalFormatting sqref="C51:BJ64">
    <cfRule type="cellIs" dxfId="811" priority="631" operator="notEqual">
      <formula>$A51</formula>
    </cfRule>
    <cfRule type="cellIs" dxfId="810" priority="632" operator="equal">
      <formula>"""&lt;&gt;$A6"""</formula>
    </cfRule>
    <cfRule type="cellIs" dxfId="809" priority="633" operator="equal">
      <formula>"&lt;&gt;$A6"</formula>
    </cfRule>
    <cfRule type="cellIs" dxfId="808" priority="634" operator="equal">
      <formula>$A51</formula>
    </cfRule>
    <cfRule type="cellIs" dxfId="807" priority="635" operator="equal">
      <formula>$A51</formula>
    </cfRule>
  </conditionalFormatting>
  <conditionalFormatting sqref="D106:D107 F106:F107 H106:H107 J106:J107 L106:L107 N106:N107 P106:P107 R106:R107 T106:T107 V106:V107 X106:X107 Z106:Z107 AB106:AB107 AD106:AD107 AF106:AF107 AH106:AH107 AJ106:AJ107 AL106:AL107 AN106:AN107 AP106:AP107 AR106:AR107 AT106:AT107 AV106:AV107 AX106:AX107 AZ106:AZ107 BB106:BB107 BD106:BD107 BF106:BF107 BH106:BH107 BJ106:BJ107 BL106:BL107 BN106:BN107 BP106:BP107 BR106:BR107 BT106:BT107 BV106:BV107 BX106:BX107 BZ106:BZ107 CB106:CB107 CD106:CD107 CF106:CF107 CH106:CH107 CJ106:CJ107 CL106:CL107 CN106:CN107 CP106:CP107 CR106:CR107 CT106:CT107 CV106:CV107 CX106:CX107 CZ106:CZ107 DB106:DB107 DD106:DD107 DF106:DF107 DH106:DH107 DJ106:DJ107 DL106:DL107 DN106:DN107 DP106:DP107 DR106:DR107">
    <cfRule type="cellIs" dxfId="806" priority="626" operator="notEqual">
      <formula>$A106</formula>
    </cfRule>
    <cfRule type="cellIs" dxfId="805" priority="627" operator="equal">
      <formula>"""&lt;&gt;$A6"""</formula>
    </cfRule>
    <cfRule type="cellIs" dxfId="804" priority="628" operator="equal">
      <formula>"&lt;&gt;$A6"</formula>
    </cfRule>
    <cfRule type="cellIs" dxfId="803" priority="629" operator="equal">
      <formula>$A106</formula>
    </cfRule>
    <cfRule type="cellIs" dxfId="802" priority="630" operator="equal">
      <formula>$A106</formula>
    </cfRule>
  </conditionalFormatting>
  <conditionalFormatting sqref="D71:D105 F71:F105 H71:H105 J71:J105 L71:L105 N71:N105 P71:P105 R71:R105 T71:T105 V71:V105 X71:X105 Z71:Z105 AB71:AB105 AD71:AD105 AF71:AF105 AH71:AH105 AJ71:AJ105 AL71:AL105 AN71:AN105 AP71:AP105 AR71:AR105 AT71:AT105 AV71:AV105 AX71:AX105 AZ71:AZ105 BB71:BB105 BD71:BD105 BF71:BF105 BH71:BH105 BJ71:BJ105 BL71:BL105 BN71:BN105 BP71:BP105 BR71:BR105 BT71:BT105 BV71:BV105 BX71:BX105 BZ71:BZ105 CB71:CB105 CD71:CD105 CF71:CF105 CH71:CH105 CJ71:CJ105 CL71:CL105 CN71:CN105 CP71:CP105 CR71:CR105 CT71:CT105 CV71:CV105 CX71:CX105 CZ71:CZ105 DB71:DB105 DD71:DD105 DF71:DF105 DH71:DH105 DJ71:DJ105 DL71:DL105 DN71:DN105 DP71:DP105 DR71:DR105">
    <cfRule type="cellIs" dxfId="801" priority="621" operator="notEqual">
      <formula>$A71</formula>
    </cfRule>
    <cfRule type="cellIs" dxfId="800" priority="622" operator="equal">
      <formula>"""&lt;&gt;$A6"""</formula>
    </cfRule>
    <cfRule type="cellIs" dxfId="799" priority="623" operator="equal">
      <formula>"&lt;&gt;$A6"</formula>
    </cfRule>
    <cfRule type="cellIs" dxfId="798" priority="624" operator="equal">
      <formula>$A71</formula>
    </cfRule>
    <cfRule type="cellIs" dxfId="797" priority="625" operator="equal">
      <formula>$A71</formula>
    </cfRule>
  </conditionalFormatting>
  <conditionalFormatting sqref="DL109:DL110 DJ109:DJ110 DH109:DH110 DF109:DF110 DD109:DD110 DB109:DB110 CZ109:CZ110 CX109:CX110 CX106:CX107 CZ106:CZ107 DB106:DB107 DD106:DD107 DF106:DF107 DH106:DH107 DJ106:DJ107 DL106:DL107">
    <cfRule type="cellIs" dxfId="796" priority="596" operator="notEqual">
      <formula>$A106</formula>
    </cfRule>
    <cfRule type="cellIs" dxfId="795" priority="597" operator="equal">
      <formula>"""&lt;&gt;$A6"""</formula>
    </cfRule>
    <cfRule type="cellIs" dxfId="794" priority="598" operator="equal">
      <formula>"&lt;&gt;$A6"</formula>
    </cfRule>
    <cfRule type="cellIs" dxfId="793" priority="599" operator="equal">
      <formula>$A106</formula>
    </cfRule>
    <cfRule type="cellIs" dxfId="792" priority="600" operator="equal">
      <formula>$A106</formula>
    </cfRule>
  </conditionalFormatting>
  <conditionalFormatting sqref="CV109:CV110 CV106:CV107">
    <cfRule type="cellIs" dxfId="791" priority="606" operator="notEqual">
      <formula>$A106</formula>
    </cfRule>
    <cfRule type="cellIs" dxfId="790" priority="607" operator="equal">
      <formula>"""&lt;&gt;$A6"""</formula>
    </cfRule>
    <cfRule type="cellIs" dxfId="789" priority="608" operator="equal">
      <formula>"&lt;&gt;$A6"</formula>
    </cfRule>
    <cfRule type="cellIs" dxfId="788" priority="609" operator="equal">
      <formula>$A106</formula>
    </cfRule>
    <cfRule type="cellIs" dxfId="787" priority="610" operator="equal">
      <formula>$A106</formula>
    </cfRule>
  </conditionalFormatting>
  <conditionalFormatting sqref="CV71:CV74 CV78:CV105">
    <cfRule type="cellIs" dxfId="786" priority="601" operator="notEqual">
      <formula>$A71</formula>
    </cfRule>
    <cfRule type="cellIs" dxfId="785" priority="602" operator="equal">
      <formula>"""&lt;&gt;$A6"""</formula>
    </cfRule>
    <cfRule type="cellIs" dxfId="784" priority="603" operator="equal">
      <formula>"&lt;&gt;$A6"</formula>
    </cfRule>
    <cfRule type="cellIs" dxfId="783" priority="604" operator="equal">
      <formula>$A71</formula>
    </cfRule>
    <cfRule type="cellIs" dxfId="782" priority="605" operator="equal">
      <formula>$A71</formula>
    </cfRule>
  </conditionalFormatting>
  <conditionalFormatting sqref="CX71:CX74 CZ71:CZ74 DB71:DB74 DD71:DD74 DF71:DF74 DH71:DH74 DJ71:DJ74 DL71:DL74 CX78:CX105 CZ78:CZ105 DB78:DB105 DD78:DD105 DF78:DF105 DH78:DH105 DJ78:DJ105 DL78:DL105">
    <cfRule type="cellIs" dxfId="781" priority="591" operator="notEqual">
      <formula>$A71</formula>
    </cfRule>
    <cfRule type="cellIs" dxfId="780" priority="592" operator="equal">
      <formula>"""&lt;&gt;$A6"""</formula>
    </cfRule>
    <cfRule type="cellIs" dxfId="779" priority="593" operator="equal">
      <formula>"&lt;&gt;$A6"</formula>
    </cfRule>
    <cfRule type="cellIs" dxfId="778" priority="594" operator="equal">
      <formula>$A71</formula>
    </cfRule>
    <cfRule type="cellIs" dxfId="777" priority="595" operator="equal">
      <formula>$A71</formula>
    </cfRule>
  </conditionalFormatting>
  <conditionalFormatting sqref="D108 F108 H108 J108 L108 N108 P108 R108 T108 V108 X108 Z108 AB108 AD108 AF108 AH108 AJ108 AL108 AN108 AP108 AR108 AT108 AV108 AX108 AZ108 BB108 BD108 BF108 BH108 BJ108 BL108 BN108 BP108 BR108 BT108 BV108 BX108 BZ108 CB108 CD108 CF108 CH108 CJ108 CL108 CN108 CP108 CR108 CT108 CV108 CX108 CZ108 DB108 DD108 DF108 DH108 DJ108 DL108 DN108 DP108 DR108">
    <cfRule type="cellIs" dxfId="776" priority="471" operator="notEqual">
      <formula>$A108</formula>
    </cfRule>
    <cfRule type="cellIs" dxfId="775" priority="472" operator="equal">
      <formula>"""&lt;&gt;$A6"""</formula>
    </cfRule>
    <cfRule type="cellIs" dxfId="774" priority="473" operator="equal">
      <formula>"&lt;&gt;$A6"</formula>
    </cfRule>
    <cfRule type="cellIs" dxfId="773" priority="474" operator="equal">
      <formula>$A108</formula>
    </cfRule>
    <cfRule type="cellIs" dxfId="772" priority="475" operator="equal">
      <formula>$A108</formula>
    </cfRule>
  </conditionalFormatting>
  <conditionalFormatting sqref="CX108 CZ108 DB108 DD108 DF108 DH108 DJ108 DL108">
    <cfRule type="cellIs" dxfId="771" priority="461" operator="notEqual">
      <formula>$A108</formula>
    </cfRule>
    <cfRule type="cellIs" dxfId="770" priority="462" operator="equal">
      <formula>"""&lt;&gt;$A6"""</formula>
    </cfRule>
    <cfRule type="cellIs" dxfId="769" priority="463" operator="equal">
      <formula>"&lt;&gt;$A6"</formula>
    </cfRule>
    <cfRule type="cellIs" dxfId="768" priority="464" operator="equal">
      <formula>$A108</formula>
    </cfRule>
    <cfRule type="cellIs" dxfId="767" priority="465" operator="equal">
      <formula>$A108</formula>
    </cfRule>
  </conditionalFormatting>
  <conditionalFormatting sqref="CV108">
    <cfRule type="cellIs" dxfId="766" priority="466" operator="notEqual">
      <formula>$A108</formula>
    </cfRule>
    <cfRule type="cellIs" dxfId="765" priority="467" operator="equal">
      <formula>"""&lt;&gt;$A6"""</formula>
    </cfRule>
    <cfRule type="cellIs" dxfId="764" priority="468" operator="equal">
      <formula>"&lt;&gt;$A6"</formula>
    </cfRule>
    <cfRule type="cellIs" dxfId="763" priority="469" operator="equal">
      <formula>$A108</formula>
    </cfRule>
    <cfRule type="cellIs" dxfId="762" priority="470" operator="equal">
      <formula>$A108</formula>
    </cfRule>
  </conditionalFormatting>
  <conditionalFormatting sqref="D109:D110 F109:F110 H109:H110 J109:J110 L109:L110 N109:N110 P109:P110 R109:R110 T109:T110 V109:V110 X109:X110 Z109:Z110 AB109:AB110 AD109:AD110 AF109:AF110 AH109:AH110 AJ109:AJ110 AL109:AL110 AN109:AN110 AP109:AP110 AR109:AR110 AT109:AT110 AV109:AV110 AX109:AX110 AZ109:AZ110 BB109:BB110 BD109:BD110 BF109:BF110 BH109:BH110 BJ109:BJ110 BL109:BL110 BN109:BN110 BP109:BP110 BR109:BR110 BT109:BT110 BV109:BV110 BX109:BX110 BZ109:BZ110 CB109:CB110 CD109:CD110 CF109:CF110 CH109:CH110 CJ109:CJ110 CL109:CL110 CN109:CN110 CP109:CP110 CR109:CR110 CT109:CT110 CV109:CV110 CX109:CX110 CZ109:CZ110 DB109:DB110 DD109:DD110 DF109:DF110 DH109:DH110 DJ109:DJ110 DL109:DL110 DN109:DN110 DP109:DP110 DR109:DR110">
    <cfRule type="cellIs" dxfId="761" priority="416" operator="notEqual">
      <formula>$A109</formula>
    </cfRule>
    <cfRule type="cellIs" dxfId="760" priority="417" operator="equal">
      <formula>"""&lt;&gt;$A6"""</formula>
    </cfRule>
    <cfRule type="cellIs" dxfId="759" priority="418" operator="equal">
      <formula>"&lt;&gt;$A6"</formula>
    </cfRule>
    <cfRule type="cellIs" dxfId="758" priority="419" operator="equal">
      <formula>$A109</formula>
    </cfRule>
    <cfRule type="cellIs" dxfId="757" priority="420" operator="equal">
      <formula>$A109</formula>
    </cfRule>
  </conditionalFormatting>
  <conditionalFormatting sqref="BH45:BJ46">
    <cfRule type="cellIs" dxfId="756" priority="366" operator="notEqual">
      <formula>$A45</formula>
    </cfRule>
    <cfRule type="cellIs" dxfId="755" priority="367" operator="equal">
      <formula>"""&lt;&gt;$A6"""</formula>
    </cfRule>
    <cfRule type="cellIs" dxfId="754" priority="368" operator="equal">
      <formula>"&lt;&gt;$A6"</formula>
    </cfRule>
    <cfRule type="cellIs" dxfId="753" priority="369" operator="equal">
      <formula>$A45</formula>
    </cfRule>
    <cfRule type="cellIs" dxfId="752" priority="370" operator="equal">
      <formula>$A45</formula>
    </cfRule>
  </conditionalFormatting>
  <conditionalFormatting sqref="DN109:DN110 DP109:DP110 DR109:DR110 DN106:DN107 DP106:DP107 DR106:DR107">
    <cfRule type="cellIs" dxfId="751" priority="361" operator="notEqual">
      <formula>$A106</formula>
    </cfRule>
    <cfRule type="cellIs" dxfId="750" priority="362" operator="equal">
      <formula>"""&lt;&gt;$A6"""</formula>
    </cfRule>
    <cfRule type="cellIs" dxfId="749" priority="363" operator="equal">
      <formula>"&lt;&gt;$A6"</formula>
    </cfRule>
    <cfRule type="cellIs" dxfId="748" priority="364" operator="equal">
      <formula>$A106</formula>
    </cfRule>
    <cfRule type="cellIs" dxfId="747" priority="365" operator="equal">
      <formula>$A106</formula>
    </cfRule>
  </conditionalFormatting>
  <conditionalFormatting sqref="DN71:DN74 DP71:DP74 DR71:DR74 DN78:DN105 DP78:DP105 DR78:DR105">
    <cfRule type="cellIs" dxfId="746" priority="356" operator="notEqual">
      <formula>$A71</formula>
    </cfRule>
    <cfRule type="cellIs" dxfId="745" priority="357" operator="equal">
      <formula>"""&lt;&gt;$A6"""</formula>
    </cfRule>
    <cfRule type="cellIs" dxfId="744" priority="358" operator="equal">
      <formula>"&lt;&gt;$A6"</formula>
    </cfRule>
    <cfRule type="cellIs" dxfId="743" priority="359" operator="equal">
      <formula>$A71</formula>
    </cfRule>
    <cfRule type="cellIs" dxfId="742" priority="360" operator="equal">
      <formula>$A71</formula>
    </cfRule>
  </conditionalFormatting>
  <conditionalFormatting sqref="DN108 DP108 DR108">
    <cfRule type="cellIs" dxfId="741" priority="351" operator="notEqual">
      <formula>$A108</formula>
    </cfRule>
    <cfRule type="cellIs" dxfId="740" priority="352" operator="equal">
      <formula>"""&lt;&gt;$A6"""</formula>
    </cfRule>
    <cfRule type="cellIs" dxfId="739" priority="353" operator="equal">
      <formula>"&lt;&gt;$A6"</formula>
    </cfRule>
    <cfRule type="cellIs" dxfId="738" priority="354" operator="equal">
      <formula>$A108</formula>
    </cfRule>
    <cfRule type="cellIs" dxfId="737" priority="355" operator="equal">
      <formula>$A108</formula>
    </cfRule>
  </conditionalFormatting>
  <conditionalFormatting sqref="CU75:CV77">
    <cfRule type="cellIs" dxfId="736" priority="326" operator="notEqual">
      <formula>$A75</formula>
    </cfRule>
    <cfRule type="cellIs" dxfId="735" priority="327" operator="equal">
      <formula>"""&lt;&gt;$A6"""</formula>
    </cfRule>
    <cfRule type="cellIs" dxfId="734" priority="328" operator="equal">
      <formula>"&lt;&gt;$A6"</formula>
    </cfRule>
    <cfRule type="cellIs" dxfId="733" priority="329" operator="equal">
      <formula>$A75</formula>
    </cfRule>
    <cfRule type="cellIs" dxfId="732" priority="330" operator="equal">
      <formula>$A75</formula>
    </cfRule>
  </conditionalFormatting>
  <conditionalFormatting sqref="CW75:CX77">
    <cfRule type="cellIs" dxfId="731" priority="321" operator="notEqual">
      <formula>$A75</formula>
    </cfRule>
    <cfRule type="cellIs" dxfId="730" priority="322" operator="equal">
      <formula>"""&lt;&gt;$A6"""</formula>
    </cfRule>
    <cfRule type="cellIs" dxfId="729" priority="323" operator="equal">
      <formula>"&lt;&gt;$A6"</formula>
    </cfRule>
    <cfRule type="cellIs" dxfId="728" priority="324" operator="equal">
      <formula>$A75</formula>
    </cfRule>
    <cfRule type="cellIs" dxfId="727" priority="325" operator="equal">
      <formula>$A75</formula>
    </cfRule>
  </conditionalFormatting>
  <conditionalFormatting sqref="CY75:CZ77">
    <cfRule type="cellIs" dxfId="726" priority="316" operator="notEqual">
      <formula>$A75</formula>
    </cfRule>
    <cfRule type="cellIs" dxfId="725" priority="317" operator="equal">
      <formula>"""&lt;&gt;$A6"""</formula>
    </cfRule>
    <cfRule type="cellIs" dxfId="724" priority="318" operator="equal">
      <formula>"&lt;&gt;$A6"</formula>
    </cfRule>
    <cfRule type="cellIs" dxfId="723" priority="319" operator="equal">
      <formula>$A75</formula>
    </cfRule>
    <cfRule type="cellIs" dxfId="722" priority="320" operator="equal">
      <formula>$A75</formula>
    </cfRule>
  </conditionalFormatting>
  <conditionalFormatting sqref="DA75:DB77">
    <cfRule type="cellIs" dxfId="721" priority="311" operator="notEqual">
      <formula>$A75</formula>
    </cfRule>
    <cfRule type="cellIs" dxfId="720" priority="312" operator="equal">
      <formula>"""&lt;&gt;$A6"""</formula>
    </cfRule>
    <cfRule type="cellIs" dxfId="719" priority="313" operator="equal">
      <formula>"&lt;&gt;$A6"</formula>
    </cfRule>
    <cfRule type="cellIs" dxfId="718" priority="314" operator="equal">
      <formula>$A75</formula>
    </cfRule>
    <cfRule type="cellIs" dxfId="717" priority="315" operator="equal">
      <formula>$A75</formula>
    </cfRule>
  </conditionalFormatting>
  <conditionalFormatting sqref="DC75:DD77">
    <cfRule type="cellIs" dxfId="716" priority="306" operator="notEqual">
      <formula>$A75</formula>
    </cfRule>
    <cfRule type="cellIs" dxfId="715" priority="307" operator="equal">
      <formula>"""&lt;&gt;$A6"""</formula>
    </cfRule>
    <cfRule type="cellIs" dxfId="714" priority="308" operator="equal">
      <formula>"&lt;&gt;$A6"</formula>
    </cfRule>
    <cfRule type="cellIs" dxfId="713" priority="309" operator="equal">
      <formula>$A75</formula>
    </cfRule>
    <cfRule type="cellIs" dxfId="712" priority="310" operator="equal">
      <formula>$A75</formula>
    </cfRule>
  </conditionalFormatting>
  <conditionalFormatting sqref="DE75:DF77">
    <cfRule type="cellIs" dxfId="711" priority="301" operator="notEqual">
      <formula>$A75</formula>
    </cfRule>
    <cfRule type="cellIs" dxfId="710" priority="302" operator="equal">
      <formula>"""&lt;&gt;$A6"""</formula>
    </cfRule>
    <cfRule type="cellIs" dxfId="709" priority="303" operator="equal">
      <formula>"&lt;&gt;$A6"</formula>
    </cfRule>
    <cfRule type="cellIs" dxfId="708" priority="304" operator="equal">
      <formula>$A75</formula>
    </cfRule>
    <cfRule type="cellIs" dxfId="707" priority="305" operator="equal">
      <formula>$A75</formula>
    </cfRule>
  </conditionalFormatting>
  <conditionalFormatting sqref="DG75:DH77">
    <cfRule type="cellIs" dxfId="706" priority="296" operator="notEqual">
      <formula>$A75</formula>
    </cfRule>
    <cfRule type="cellIs" dxfId="705" priority="297" operator="equal">
      <formula>"""&lt;&gt;$A6"""</formula>
    </cfRule>
    <cfRule type="cellIs" dxfId="704" priority="298" operator="equal">
      <formula>"&lt;&gt;$A6"</formula>
    </cfRule>
    <cfRule type="cellIs" dxfId="703" priority="299" operator="equal">
      <formula>$A75</formula>
    </cfRule>
    <cfRule type="cellIs" dxfId="702" priority="300" operator="equal">
      <formula>$A75</formula>
    </cfRule>
  </conditionalFormatting>
  <conditionalFormatting sqref="DI75:DJ77">
    <cfRule type="cellIs" dxfId="701" priority="291" operator="notEqual">
      <formula>$A75</formula>
    </cfRule>
    <cfRule type="cellIs" dxfId="700" priority="292" operator="equal">
      <formula>"""&lt;&gt;$A6"""</formula>
    </cfRule>
    <cfRule type="cellIs" dxfId="699" priority="293" operator="equal">
      <formula>"&lt;&gt;$A6"</formula>
    </cfRule>
    <cfRule type="cellIs" dxfId="698" priority="294" operator="equal">
      <formula>$A75</formula>
    </cfRule>
    <cfRule type="cellIs" dxfId="697" priority="295" operator="equal">
      <formula>$A75</formula>
    </cfRule>
  </conditionalFormatting>
  <conditionalFormatting sqref="DK75:DL77">
    <cfRule type="cellIs" dxfId="696" priority="286" operator="notEqual">
      <formula>$A75</formula>
    </cfRule>
    <cfRule type="cellIs" dxfId="695" priority="287" operator="equal">
      <formula>"""&lt;&gt;$A6"""</formula>
    </cfRule>
    <cfRule type="cellIs" dxfId="694" priority="288" operator="equal">
      <formula>"&lt;&gt;$A6"</formula>
    </cfRule>
    <cfRule type="cellIs" dxfId="693" priority="289" operator="equal">
      <formula>$A75</formula>
    </cfRule>
    <cfRule type="cellIs" dxfId="692" priority="290" operator="equal">
      <formula>$A75</formula>
    </cfRule>
  </conditionalFormatting>
  <conditionalFormatting sqref="DM75:DN77">
    <cfRule type="cellIs" dxfId="691" priority="281" operator="notEqual">
      <formula>$A75</formula>
    </cfRule>
    <cfRule type="cellIs" dxfId="690" priority="282" operator="equal">
      <formula>"""&lt;&gt;$A6"""</formula>
    </cfRule>
    <cfRule type="cellIs" dxfId="689" priority="283" operator="equal">
      <formula>"&lt;&gt;$A6"</formula>
    </cfRule>
    <cfRule type="cellIs" dxfId="688" priority="284" operator="equal">
      <formula>$A75</formula>
    </cfRule>
    <cfRule type="cellIs" dxfId="687" priority="285" operator="equal">
      <formula>$A75</formula>
    </cfRule>
  </conditionalFormatting>
  <conditionalFormatting sqref="DO75:DP77">
    <cfRule type="cellIs" dxfId="686" priority="276" operator="notEqual">
      <formula>$A75</formula>
    </cfRule>
    <cfRule type="cellIs" dxfId="685" priority="277" operator="equal">
      <formula>"""&lt;&gt;$A6"""</formula>
    </cfRule>
    <cfRule type="cellIs" dxfId="684" priority="278" operator="equal">
      <formula>"&lt;&gt;$A6"</formula>
    </cfRule>
    <cfRule type="cellIs" dxfId="683" priority="279" operator="equal">
      <formula>$A75</formula>
    </cfRule>
    <cfRule type="cellIs" dxfId="682" priority="280" operator="equal">
      <formula>$A75</formula>
    </cfRule>
  </conditionalFormatting>
  <conditionalFormatting sqref="DQ75:DR77">
    <cfRule type="cellIs" dxfId="681" priority="271" operator="notEqual">
      <formula>$A75</formula>
    </cfRule>
    <cfRule type="cellIs" dxfId="680" priority="272" operator="equal">
      <formula>"""&lt;&gt;$A6"""</formula>
    </cfRule>
    <cfRule type="cellIs" dxfId="679" priority="273" operator="equal">
      <formula>"&lt;&gt;$A6"</formula>
    </cfRule>
    <cfRule type="cellIs" dxfId="678" priority="274" operator="equal">
      <formula>$A75</formula>
    </cfRule>
    <cfRule type="cellIs" dxfId="677" priority="275" operator="equal">
      <formula>$A75</formula>
    </cfRule>
  </conditionalFormatting>
  <conditionalFormatting sqref="F106:F107">
    <cfRule type="cellIs" dxfId="676" priority="201" operator="notEqual">
      <formula>$A106</formula>
    </cfRule>
    <cfRule type="cellIs" dxfId="675" priority="202" operator="equal">
      <formula>"""&lt;&gt;$A6"""</formula>
    </cfRule>
    <cfRule type="cellIs" dxfId="674" priority="203" operator="equal">
      <formula>"&lt;&gt;$A6"</formula>
    </cfRule>
    <cfRule type="cellIs" dxfId="673" priority="204" operator="equal">
      <formula>$A106</formula>
    </cfRule>
    <cfRule type="cellIs" dxfId="672" priority="205" operator="equal">
      <formula>$A106</formula>
    </cfRule>
  </conditionalFormatting>
  <conditionalFormatting sqref="F71:F105">
    <cfRule type="cellIs" dxfId="671" priority="196" operator="notEqual">
      <formula>$A71</formula>
    </cfRule>
    <cfRule type="cellIs" dxfId="670" priority="197" operator="equal">
      <formula>"""&lt;&gt;$A6"""</formula>
    </cfRule>
    <cfRule type="cellIs" dxfId="669" priority="198" operator="equal">
      <formula>"&lt;&gt;$A6"</formula>
    </cfRule>
    <cfRule type="cellIs" dxfId="668" priority="199" operator="equal">
      <formula>$A71</formula>
    </cfRule>
    <cfRule type="cellIs" dxfId="667" priority="200" operator="equal">
      <formula>$A71</formula>
    </cfRule>
  </conditionalFormatting>
  <conditionalFormatting sqref="F108">
    <cfRule type="cellIs" dxfId="666" priority="191" operator="notEqual">
      <formula>$A108</formula>
    </cfRule>
    <cfRule type="cellIs" dxfId="665" priority="192" operator="equal">
      <formula>"""&lt;&gt;$A6"""</formula>
    </cfRule>
    <cfRule type="cellIs" dxfId="664" priority="193" operator="equal">
      <formula>"&lt;&gt;$A6"</formula>
    </cfRule>
    <cfRule type="cellIs" dxfId="663" priority="194" operator="equal">
      <formula>$A108</formula>
    </cfRule>
    <cfRule type="cellIs" dxfId="662" priority="195" operator="equal">
      <formula>$A108</formula>
    </cfRule>
  </conditionalFormatting>
  <conditionalFormatting sqref="F109:F110">
    <cfRule type="cellIs" dxfId="661" priority="186" operator="notEqual">
      <formula>$A109</formula>
    </cfRule>
    <cfRule type="cellIs" dxfId="660" priority="187" operator="equal">
      <formula>"""&lt;&gt;$A6"""</formula>
    </cfRule>
    <cfRule type="cellIs" dxfId="659" priority="188" operator="equal">
      <formula>"&lt;&gt;$A6"</formula>
    </cfRule>
    <cfRule type="cellIs" dxfId="658" priority="189" operator="equal">
      <formula>$A109</formula>
    </cfRule>
    <cfRule type="cellIs" dxfId="657" priority="190" operator="equal">
      <formula>$A109</formula>
    </cfRule>
  </conditionalFormatting>
  <conditionalFormatting sqref="H106:H107">
    <cfRule type="cellIs" dxfId="656" priority="181" operator="notEqual">
      <formula>$A106</formula>
    </cfRule>
    <cfRule type="cellIs" dxfId="655" priority="182" operator="equal">
      <formula>"""&lt;&gt;$A6"""</formula>
    </cfRule>
    <cfRule type="cellIs" dxfId="654" priority="183" operator="equal">
      <formula>"&lt;&gt;$A6"</formula>
    </cfRule>
    <cfRule type="cellIs" dxfId="653" priority="184" operator="equal">
      <formula>$A106</formula>
    </cfRule>
    <cfRule type="cellIs" dxfId="652" priority="185" operator="equal">
      <formula>$A106</formula>
    </cfRule>
  </conditionalFormatting>
  <conditionalFormatting sqref="H71:H105">
    <cfRule type="cellIs" dxfId="651" priority="176" operator="notEqual">
      <formula>$A71</formula>
    </cfRule>
    <cfRule type="cellIs" dxfId="650" priority="177" operator="equal">
      <formula>"""&lt;&gt;$A6"""</formula>
    </cfRule>
    <cfRule type="cellIs" dxfId="649" priority="178" operator="equal">
      <formula>"&lt;&gt;$A6"</formula>
    </cfRule>
    <cfRule type="cellIs" dxfId="648" priority="179" operator="equal">
      <formula>$A71</formula>
    </cfRule>
    <cfRule type="cellIs" dxfId="647" priority="180" operator="equal">
      <formula>$A71</formula>
    </cfRule>
  </conditionalFormatting>
  <conditionalFormatting sqref="H108">
    <cfRule type="cellIs" dxfId="646" priority="171" operator="notEqual">
      <formula>$A108</formula>
    </cfRule>
    <cfRule type="cellIs" dxfId="645" priority="172" operator="equal">
      <formula>"""&lt;&gt;$A6"""</formula>
    </cfRule>
    <cfRule type="cellIs" dxfId="644" priority="173" operator="equal">
      <formula>"&lt;&gt;$A6"</formula>
    </cfRule>
    <cfRule type="cellIs" dxfId="643" priority="174" operator="equal">
      <formula>$A108</formula>
    </cfRule>
    <cfRule type="cellIs" dxfId="642" priority="175" operator="equal">
      <formula>$A108</formula>
    </cfRule>
  </conditionalFormatting>
  <conditionalFormatting sqref="H109:H110">
    <cfRule type="cellIs" dxfId="641" priority="166" operator="notEqual">
      <formula>$A109</formula>
    </cfRule>
    <cfRule type="cellIs" dxfId="640" priority="167" operator="equal">
      <formula>"""&lt;&gt;$A6"""</formula>
    </cfRule>
    <cfRule type="cellIs" dxfId="639" priority="168" operator="equal">
      <formula>"&lt;&gt;$A6"</formula>
    </cfRule>
    <cfRule type="cellIs" dxfId="638" priority="169" operator="equal">
      <formula>$A109</formula>
    </cfRule>
    <cfRule type="cellIs" dxfId="637" priority="170" operator="equal">
      <formula>$A109</formula>
    </cfRule>
  </conditionalFormatting>
  <conditionalFormatting sqref="J106:J107">
    <cfRule type="cellIs" dxfId="636" priority="161" operator="notEqual">
      <formula>$A106</formula>
    </cfRule>
    <cfRule type="cellIs" dxfId="635" priority="162" operator="equal">
      <formula>"""&lt;&gt;$A6"""</formula>
    </cfRule>
    <cfRule type="cellIs" dxfId="634" priority="163" operator="equal">
      <formula>"&lt;&gt;$A6"</formula>
    </cfRule>
    <cfRule type="cellIs" dxfId="633" priority="164" operator="equal">
      <formula>$A106</formula>
    </cfRule>
    <cfRule type="cellIs" dxfId="632" priority="165" operator="equal">
      <formula>$A106</formula>
    </cfRule>
  </conditionalFormatting>
  <conditionalFormatting sqref="J71:J105">
    <cfRule type="cellIs" dxfId="631" priority="156" operator="notEqual">
      <formula>$A71</formula>
    </cfRule>
    <cfRule type="cellIs" dxfId="630" priority="157" operator="equal">
      <formula>"""&lt;&gt;$A6"""</formula>
    </cfRule>
    <cfRule type="cellIs" dxfId="629" priority="158" operator="equal">
      <formula>"&lt;&gt;$A6"</formula>
    </cfRule>
    <cfRule type="cellIs" dxfId="628" priority="159" operator="equal">
      <formula>$A71</formula>
    </cfRule>
    <cfRule type="cellIs" dxfId="627" priority="160" operator="equal">
      <formula>$A71</formula>
    </cfRule>
  </conditionalFormatting>
  <conditionalFormatting sqref="J108">
    <cfRule type="cellIs" dxfId="626" priority="151" operator="notEqual">
      <formula>$A108</formula>
    </cfRule>
    <cfRule type="cellIs" dxfId="625" priority="152" operator="equal">
      <formula>"""&lt;&gt;$A6"""</formula>
    </cfRule>
    <cfRule type="cellIs" dxfId="624" priority="153" operator="equal">
      <formula>"&lt;&gt;$A6"</formula>
    </cfRule>
    <cfRule type="cellIs" dxfId="623" priority="154" operator="equal">
      <formula>$A108</formula>
    </cfRule>
    <cfRule type="cellIs" dxfId="622" priority="155" operator="equal">
      <formula>$A108</formula>
    </cfRule>
  </conditionalFormatting>
  <conditionalFormatting sqref="J109:J110">
    <cfRule type="cellIs" dxfId="621" priority="146" operator="notEqual">
      <formula>$A109</formula>
    </cfRule>
    <cfRule type="cellIs" dxfId="620" priority="147" operator="equal">
      <formula>"""&lt;&gt;$A6"""</formula>
    </cfRule>
    <cfRule type="cellIs" dxfId="619" priority="148" operator="equal">
      <formula>"&lt;&gt;$A6"</formula>
    </cfRule>
    <cfRule type="cellIs" dxfId="618" priority="149" operator="equal">
      <formula>$A109</formula>
    </cfRule>
    <cfRule type="cellIs" dxfId="617" priority="150" operator="equal">
      <formula>$A109</formula>
    </cfRule>
  </conditionalFormatting>
  <conditionalFormatting sqref="L106:L107">
    <cfRule type="cellIs" dxfId="616" priority="141" operator="notEqual">
      <formula>$A106</formula>
    </cfRule>
    <cfRule type="cellIs" dxfId="615" priority="142" operator="equal">
      <formula>"""&lt;&gt;$A6"""</formula>
    </cfRule>
    <cfRule type="cellIs" dxfId="614" priority="143" operator="equal">
      <formula>"&lt;&gt;$A6"</formula>
    </cfRule>
    <cfRule type="cellIs" dxfId="613" priority="144" operator="equal">
      <formula>$A106</formula>
    </cfRule>
    <cfRule type="cellIs" dxfId="612" priority="145" operator="equal">
      <formula>$A106</formula>
    </cfRule>
  </conditionalFormatting>
  <conditionalFormatting sqref="L71:L105">
    <cfRule type="cellIs" dxfId="611" priority="136" operator="notEqual">
      <formula>$A71</formula>
    </cfRule>
    <cfRule type="cellIs" dxfId="610" priority="137" operator="equal">
      <formula>"""&lt;&gt;$A6"""</formula>
    </cfRule>
    <cfRule type="cellIs" dxfId="609" priority="138" operator="equal">
      <formula>"&lt;&gt;$A6"</formula>
    </cfRule>
    <cfRule type="cellIs" dxfId="608" priority="139" operator="equal">
      <formula>$A71</formula>
    </cfRule>
    <cfRule type="cellIs" dxfId="607" priority="140" operator="equal">
      <formula>$A71</formula>
    </cfRule>
  </conditionalFormatting>
  <conditionalFormatting sqref="L108">
    <cfRule type="cellIs" dxfId="606" priority="131" operator="notEqual">
      <formula>$A108</formula>
    </cfRule>
    <cfRule type="cellIs" dxfId="605" priority="132" operator="equal">
      <formula>"""&lt;&gt;$A6"""</formula>
    </cfRule>
    <cfRule type="cellIs" dxfId="604" priority="133" operator="equal">
      <formula>"&lt;&gt;$A6"</formula>
    </cfRule>
    <cfRule type="cellIs" dxfId="603" priority="134" operator="equal">
      <formula>$A108</formula>
    </cfRule>
    <cfRule type="cellIs" dxfId="602" priority="135" operator="equal">
      <formula>$A108</formula>
    </cfRule>
  </conditionalFormatting>
  <conditionalFormatting sqref="L109:L110">
    <cfRule type="cellIs" dxfId="601" priority="126" operator="notEqual">
      <formula>$A109</formula>
    </cfRule>
    <cfRule type="cellIs" dxfId="600" priority="127" operator="equal">
      <formula>"""&lt;&gt;$A6"""</formula>
    </cfRule>
    <cfRule type="cellIs" dxfId="599" priority="128" operator="equal">
      <formula>"&lt;&gt;$A6"</formula>
    </cfRule>
    <cfRule type="cellIs" dxfId="598" priority="129" operator="equal">
      <formula>$A109</formula>
    </cfRule>
    <cfRule type="cellIs" dxfId="597" priority="130" operator="equal">
      <formula>$A109</formula>
    </cfRule>
  </conditionalFormatting>
  <conditionalFormatting sqref="N106:N107">
    <cfRule type="cellIs" dxfId="596" priority="121" operator="notEqual">
      <formula>$A106</formula>
    </cfRule>
    <cfRule type="cellIs" dxfId="595" priority="122" operator="equal">
      <formula>"""&lt;&gt;$A6"""</formula>
    </cfRule>
    <cfRule type="cellIs" dxfId="594" priority="123" operator="equal">
      <formula>"&lt;&gt;$A6"</formula>
    </cfRule>
    <cfRule type="cellIs" dxfId="593" priority="124" operator="equal">
      <formula>$A106</formula>
    </cfRule>
    <cfRule type="cellIs" dxfId="592" priority="125" operator="equal">
      <formula>$A106</formula>
    </cfRule>
  </conditionalFormatting>
  <conditionalFormatting sqref="N71:N105">
    <cfRule type="cellIs" dxfId="591" priority="116" operator="notEqual">
      <formula>$A71</formula>
    </cfRule>
    <cfRule type="cellIs" dxfId="590" priority="117" operator="equal">
      <formula>"""&lt;&gt;$A6"""</formula>
    </cfRule>
    <cfRule type="cellIs" dxfId="589" priority="118" operator="equal">
      <formula>"&lt;&gt;$A6"</formula>
    </cfRule>
    <cfRule type="cellIs" dxfId="588" priority="119" operator="equal">
      <formula>$A71</formula>
    </cfRule>
    <cfRule type="cellIs" dxfId="587" priority="120" operator="equal">
      <formula>$A71</formula>
    </cfRule>
  </conditionalFormatting>
  <conditionalFormatting sqref="N108">
    <cfRule type="cellIs" dxfId="586" priority="111" operator="notEqual">
      <formula>$A108</formula>
    </cfRule>
    <cfRule type="cellIs" dxfId="585" priority="112" operator="equal">
      <formula>"""&lt;&gt;$A6"""</formula>
    </cfRule>
    <cfRule type="cellIs" dxfId="584" priority="113" operator="equal">
      <formula>"&lt;&gt;$A6"</formula>
    </cfRule>
    <cfRule type="cellIs" dxfId="583" priority="114" operator="equal">
      <formula>$A108</formula>
    </cfRule>
    <cfRule type="cellIs" dxfId="582" priority="115" operator="equal">
      <formula>$A108</formula>
    </cfRule>
  </conditionalFormatting>
  <conditionalFormatting sqref="N109:N110">
    <cfRule type="cellIs" dxfId="581" priority="106" operator="notEqual">
      <formula>$A109</formula>
    </cfRule>
    <cfRule type="cellIs" dxfId="580" priority="107" operator="equal">
      <formula>"""&lt;&gt;$A6"""</formula>
    </cfRule>
    <cfRule type="cellIs" dxfId="579" priority="108" operator="equal">
      <formula>"&lt;&gt;$A6"</formula>
    </cfRule>
    <cfRule type="cellIs" dxfId="578" priority="109" operator="equal">
      <formula>$A109</formula>
    </cfRule>
    <cfRule type="cellIs" dxfId="577" priority="110" operator="equal">
      <formula>$A109</formula>
    </cfRule>
  </conditionalFormatting>
  <conditionalFormatting sqref="P106:P107">
    <cfRule type="cellIs" dxfId="576" priority="101" operator="notEqual">
      <formula>$A106</formula>
    </cfRule>
    <cfRule type="cellIs" dxfId="575" priority="102" operator="equal">
      <formula>"""&lt;&gt;$A6"""</formula>
    </cfRule>
    <cfRule type="cellIs" dxfId="574" priority="103" operator="equal">
      <formula>"&lt;&gt;$A6"</formula>
    </cfRule>
    <cfRule type="cellIs" dxfId="573" priority="104" operator="equal">
      <formula>$A106</formula>
    </cfRule>
    <cfRule type="cellIs" dxfId="572" priority="105" operator="equal">
      <formula>$A106</formula>
    </cfRule>
  </conditionalFormatting>
  <conditionalFormatting sqref="P71:P105">
    <cfRule type="cellIs" dxfId="571" priority="96" operator="notEqual">
      <formula>$A71</formula>
    </cfRule>
    <cfRule type="cellIs" dxfId="570" priority="97" operator="equal">
      <formula>"""&lt;&gt;$A6"""</formula>
    </cfRule>
    <cfRule type="cellIs" dxfId="569" priority="98" operator="equal">
      <formula>"&lt;&gt;$A6"</formula>
    </cfRule>
    <cfRule type="cellIs" dxfId="568" priority="99" operator="equal">
      <formula>$A71</formula>
    </cfRule>
    <cfRule type="cellIs" dxfId="567" priority="100" operator="equal">
      <formula>$A71</formula>
    </cfRule>
  </conditionalFormatting>
  <conditionalFormatting sqref="P108">
    <cfRule type="cellIs" dxfId="566" priority="91" operator="notEqual">
      <formula>$A108</formula>
    </cfRule>
    <cfRule type="cellIs" dxfId="565" priority="92" operator="equal">
      <formula>"""&lt;&gt;$A6"""</formula>
    </cfRule>
    <cfRule type="cellIs" dxfId="564" priority="93" operator="equal">
      <formula>"&lt;&gt;$A6"</formula>
    </cfRule>
    <cfRule type="cellIs" dxfId="563" priority="94" operator="equal">
      <formula>$A108</formula>
    </cfRule>
    <cfRule type="cellIs" dxfId="562" priority="95" operator="equal">
      <formula>$A108</formula>
    </cfRule>
  </conditionalFormatting>
  <conditionalFormatting sqref="P109:P110">
    <cfRule type="cellIs" dxfId="561" priority="86" operator="notEqual">
      <formula>$A109</formula>
    </cfRule>
    <cfRule type="cellIs" dxfId="560" priority="87" operator="equal">
      <formula>"""&lt;&gt;$A6"""</formula>
    </cfRule>
    <cfRule type="cellIs" dxfId="559" priority="88" operator="equal">
      <formula>"&lt;&gt;$A6"</formula>
    </cfRule>
    <cfRule type="cellIs" dxfId="558" priority="89" operator="equal">
      <formula>$A109</formula>
    </cfRule>
    <cfRule type="cellIs" dxfId="557" priority="90" operator="equal">
      <formula>$A109</formula>
    </cfRule>
  </conditionalFormatting>
  <conditionalFormatting sqref="R106:R107">
    <cfRule type="cellIs" dxfId="556" priority="81" operator="notEqual">
      <formula>$A106</formula>
    </cfRule>
    <cfRule type="cellIs" dxfId="555" priority="82" operator="equal">
      <formula>"""&lt;&gt;$A6"""</formula>
    </cfRule>
    <cfRule type="cellIs" dxfId="554" priority="83" operator="equal">
      <formula>"&lt;&gt;$A6"</formula>
    </cfRule>
    <cfRule type="cellIs" dxfId="553" priority="84" operator="equal">
      <formula>$A106</formula>
    </cfRule>
    <cfRule type="cellIs" dxfId="552" priority="85" operator="equal">
      <formula>$A106</formula>
    </cfRule>
  </conditionalFormatting>
  <conditionalFormatting sqref="R71:R105">
    <cfRule type="cellIs" dxfId="551" priority="76" operator="notEqual">
      <formula>$A71</formula>
    </cfRule>
    <cfRule type="cellIs" dxfId="550" priority="77" operator="equal">
      <formula>"""&lt;&gt;$A6"""</formula>
    </cfRule>
    <cfRule type="cellIs" dxfId="549" priority="78" operator="equal">
      <formula>"&lt;&gt;$A6"</formula>
    </cfRule>
    <cfRule type="cellIs" dxfId="548" priority="79" operator="equal">
      <formula>$A71</formula>
    </cfRule>
    <cfRule type="cellIs" dxfId="547" priority="80" operator="equal">
      <formula>$A71</formula>
    </cfRule>
  </conditionalFormatting>
  <conditionalFormatting sqref="R108">
    <cfRule type="cellIs" dxfId="546" priority="71" operator="notEqual">
      <formula>$A108</formula>
    </cfRule>
    <cfRule type="cellIs" dxfId="545" priority="72" operator="equal">
      <formula>"""&lt;&gt;$A6"""</formula>
    </cfRule>
    <cfRule type="cellIs" dxfId="544" priority="73" operator="equal">
      <formula>"&lt;&gt;$A6"</formula>
    </cfRule>
    <cfRule type="cellIs" dxfId="543" priority="74" operator="equal">
      <formula>$A108</formula>
    </cfRule>
    <cfRule type="cellIs" dxfId="542" priority="75" operator="equal">
      <formula>$A108</formula>
    </cfRule>
  </conditionalFormatting>
  <conditionalFormatting sqref="R109:R110">
    <cfRule type="cellIs" dxfId="541" priority="66" operator="notEqual">
      <formula>$A109</formula>
    </cfRule>
    <cfRule type="cellIs" dxfId="540" priority="67" operator="equal">
      <formula>"""&lt;&gt;$A6"""</formula>
    </cfRule>
    <cfRule type="cellIs" dxfId="539" priority="68" operator="equal">
      <formula>"&lt;&gt;$A6"</formula>
    </cfRule>
    <cfRule type="cellIs" dxfId="538" priority="69" operator="equal">
      <formula>$A109</formula>
    </cfRule>
    <cfRule type="cellIs" dxfId="537" priority="70" operator="equal">
      <formula>$A109</formula>
    </cfRule>
  </conditionalFormatting>
  <conditionalFormatting sqref="T106:T107">
    <cfRule type="cellIs" dxfId="536" priority="61" operator="notEqual">
      <formula>$A106</formula>
    </cfRule>
    <cfRule type="cellIs" dxfId="535" priority="62" operator="equal">
      <formula>"""&lt;&gt;$A6"""</formula>
    </cfRule>
    <cfRule type="cellIs" dxfId="534" priority="63" operator="equal">
      <formula>"&lt;&gt;$A6"</formula>
    </cfRule>
    <cfRule type="cellIs" dxfId="533" priority="64" operator="equal">
      <formula>$A106</formula>
    </cfRule>
    <cfRule type="cellIs" dxfId="532" priority="65" operator="equal">
      <formula>$A106</formula>
    </cfRule>
  </conditionalFormatting>
  <conditionalFormatting sqref="T71:T105">
    <cfRule type="cellIs" dxfId="531" priority="56" operator="notEqual">
      <formula>$A71</formula>
    </cfRule>
    <cfRule type="cellIs" dxfId="530" priority="57" operator="equal">
      <formula>"""&lt;&gt;$A6"""</formula>
    </cfRule>
    <cfRule type="cellIs" dxfId="529" priority="58" operator="equal">
      <formula>"&lt;&gt;$A6"</formula>
    </cfRule>
    <cfRule type="cellIs" dxfId="528" priority="59" operator="equal">
      <formula>$A71</formula>
    </cfRule>
    <cfRule type="cellIs" dxfId="527" priority="60" operator="equal">
      <formula>$A71</formula>
    </cfRule>
  </conditionalFormatting>
  <conditionalFormatting sqref="T108">
    <cfRule type="cellIs" dxfId="526" priority="51" operator="notEqual">
      <formula>$A108</formula>
    </cfRule>
    <cfRule type="cellIs" dxfId="525" priority="52" operator="equal">
      <formula>"""&lt;&gt;$A6"""</formula>
    </cfRule>
    <cfRule type="cellIs" dxfId="524" priority="53" operator="equal">
      <formula>"&lt;&gt;$A6"</formula>
    </cfRule>
    <cfRule type="cellIs" dxfId="523" priority="54" operator="equal">
      <formula>$A108</formula>
    </cfRule>
    <cfRule type="cellIs" dxfId="522" priority="55" operator="equal">
      <formula>$A108</formula>
    </cfRule>
  </conditionalFormatting>
  <conditionalFormatting sqref="T109:T110">
    <cfRule type="cellIs" dxfId="521" priority="46" operator="notEqual">
      <formula>$A109</formula>
    </cfRule>
    <cfRule type="cellIs" dxfId="520" priority="47" operator="equal">
      <formula>"""&lt;&gt;$A6"""</formula>
    </cfRule>
    <cfRule type="cellIs" dxfId="519" priority="48" operator="equal">
      <formula>"&lt;&gt;$A6"</formula>
    </cfRule>
    <cfRule type="cellIs" dxfId="518" priority="49" operator="equal">
      <formula>$A109</formula>
    </cfRule>
    <cfRule type="cellIs" dxfId="517" priority="50" operator="equal">
      <formula>$A109</formula>
    </cfRule>
  </conditionalFormatting>
  <dataValidations disablePrompts="1" count="9">
    <dataValidation type="list" allowBlank="1" showInputMessage="1" showErrorMessage="1" sqref="C136 C46:BJ46" xr:uid="{00000000-0002-0000-0B00-000000000000}">
      <formula1>"Cash,Book"</formula1>
    </dataValidation>
    <dataValidation type="list" allowBlank="1" showInputMessage="1" showErrorMessage="1" sqref="C157 C116 C222" xr:uid="{00000000-0002-0000-0B00-000001000000}">
      <formula1>"Average Rate,Maximum Rate,Minimum Rate"</formula1>
    </dataValidation>
    <dataValidation type="list" allowBlank="1" showInputMessage="1" showErrorMessage="1" sqref="C159 C118 C224" xr:uid="{00000000-0002-0000-0B00-000002000000}">
      <formula1>"Subtraction,Division"</formula1>
    </dataValidation>
    <dataValidation type="list" allowBlank="1" showInputMessage="1" showErrorMessage="1" sqref="C163 C122 C228" xr:uid="{00000000-0002-0000-0B00-000003000000}">
      <formula1>"Greater Than,Less Than"</formula1>
    </dataValidation>
    <dataValidation type="list" allowBlank="1" showInputMessage="1" showErrorMessage="1" sqref="C34" xr:uid="{00000000-0002-0000-0B00-000004000000}">
      <formula1>"Not Applicable,Annually,Semiannually,Quarterly,Monthly,At Asset Frequency"</formula1>
    </dataValidation>
    <dataValidation type="list" allowBlank="1" showInputMessage="1" showErrorMessage="1" sqref="C35 H217 C235" xr:uid="{00000000-0002-0000-0B00-000005000000}">
      <formula1>"Pro Rata,Maximize Capital Gain,Longest Duration,Shortest Duration"</formula1>
    </dataValidation>
    <dataValidation type="list" allowBlank="1" showInputMessage="1" showErrorMessage="1" sqref="C36" xr:uid="{00000000-0002-0000-0B00-000006000000}">
      <formula1>"No,Yes"</formula1>
    </dataValidation>
    <dataValidation type="list" allowBlank="1" showInputMessage="1" showErrorMessage="1" sqref="D217 C231" xr:uid="{00000000-0002-0000-0B00-000007000000}">
      <formula1>"Reduce Cash Balance To Threshold,Borrow To Threshold,Targeted Cash Balance"</formula1>
    </dataValidation>
    <dataValidation type="list" allowBlank="1" showInputMessage="1" showErrorMessage="1" sqref="C217 C230" xr:uid="{00000000-0002-0000-0B00-000008000000}">
      <formula1>"Borrow,Negative Assets,Sell Assets To Cover Negative Cash Balance"</formula1>
    </dataValidation>
  </dataValidations>
  <hyperlinks>
    <hyperlink ref="A1" location="'Table of Contents'!A1" display="Go to TOC" xr:uid="{00000000-0004-0000-0B00-000000000000}"/>
    <hyperlink ref="B21" location="InvStratAssetGrpInvTgtPct" display="[See below]" xr:uid="{00000000-0004-0000-0B00-000001000000}"/>
    <hyperlink ref="B24" location="InvStratPlanned" display="inv_strat_planned" xr:uid="{00000000-0004-0000-0B00-000002000000}"/>
    <hyperlink ref="B29" location="InvStratEconomic" display="[See below]" xr:uid="{00000000-0004-0000-0B00-000003000000}"/>
    <hyperlink ref="A42" location="'Table of Contents'!A1" display="Go to TOC" xr:uid="{00000000-0004-0000-0B00-000004000000}"/>
    <hyperlink ref="A48" location="'Table of Contents'!A1" display="Go to TOC" xr:uid="{00000000-0004-0000-0B00-000005000000}"/>
    <hyperlink ref="A67" location="'Table of Contents'!A1" display="Go to TOC" xr:uid="{00000000-0004-0000-0B00-000006000000}"/>
    <hyperlink ref="A113" location="'Table of Contents'!A1" display="Go to TOC" xr:uid="{00000000-0004-0000-0B00-000007000000}"/>
    <hyperlink ref="A43" location="Strategy!B20" display="Back To Main" xr:uid="{00000000-0004-0000-0B00-000008000000}"/>
    <hyperlink ref="A49" location="Strategy!B20" display="Back To Main" xr:uid="{00000000-0004-0000-0B00-000009000000}"/>
    <hyperlink ref="A68" location="Strategy!B20" display="Back To Main" xr:uid="{00000000-0004-0000-0B00-00000A000000}"/>
    <hyperlink ref="A114" location="Strategy!B29" display="Back To Main" xr:uid="{00000000-0004-0000-0B00-00000B000000}"/>
    <hyperlink ref="A179" location="'Table of Contents'!A1" display="Go to TOC" xr:uid="{00000000-0004-0000-0B00-00000C000000}"/>
    <hyperlink ref="A180" location="Strategy!B24" display="Back To Main" xr:uid="{00000000-0004-0000-0B00-00000D000000}"/>
    <hyperlink ref="A184" location="'Table of Contents'!A1" display="Go to TOC" xr:uid="{00000000-0004-0000-0B00-00000E000000}"/>
    <hyperlink ref="A185" location="Strategy!B20" display="Back To Main" xr:uid="{00000000-0004-0000-0B00-00000F000000}"/>
    <hyperlink ref="A190" location="'Table of Contents'!A1" display="Go to TOC" xr:uid="{00000000-0004-0000-0B00-000010000000}"/>
    <hyperlink ref="A191" location="Strategy!B20" display="Back To Main" xr:uid="{00000000-0004-0000-0B00-000011000000}"/>
    <hyperlink ref="A173" location="'Table of Contents'!A1" display="Go to TOC" xr:uid="{00000000-0004-0000-0B00-000012000000}"/>
    <hyperlink ref="A174" location="Strategy!B20" display="Back To Main" xr:uid="{00000000-0004-0000-0B00-000013000000}"/>
    <hyperlink ref="A195" location="'Table of Contents'!A1" display="Go to TOC" xr:uid="{00000000-0004-0000-0B00-000014000000}"/>
    <hyperlink ref="A196" location="Strategy!B29" display="Back To Main" xr:uid="{00000000-0004-0000-0B00-000015000000}"/>
    <hyperlink ref="A132" location="'Table of Contents'!A1" display="Go to TOC" xr:uid="{00000000-0004-0000-0B00-000016000000}"/>
    <hyperlink ref="A133" location="Strategy!B20" display="Back To Main" xr:uid="{00000000-0004-0000-0B00-000017000000}"/>
    <hyperlink ref="A138" location="'Table of Contents'!A1" display="Go to TOC" xr:uid="{00000000-0004-0000-0B00-000018000000}"/>
    <hyperlink ref="A139" location="Strategy!B20" display="Back To Main" xr:uid="{00000000-0004-0000-0B00-000019000000}"/>
    <hyperlink ref="A143" location="'Table of Contents'!A1" display="Go to TOC" xr:uid="{00000000-0004-0000-0B00-00001A000000}"/>
    <hyperlink ref="A144" location="Strategy!B20" display="Back To Main" xr:uid="{00000000-0004-0000-0B00-00001B000000}"/>
    <hyperlink ref="A149" location="'Table of Contents'!A1" display="Go to TOC" xr:uid="{00000000-0004-0000-0B00-00001C000000}"/>
    <hyperlink ref="A150" location="Strategy!B24" display="Back To Main" xr:uid="{00000000-0004-0000-0B00-00001D000000}"/>
    <hyperlink ref="A154" location="'Table of Contents'!A1" display="Go to TOC" xr:uid="{00000000-0004-0000-0B00-00001E000000}"/>
    <hyperlink ref="A155" location="Strategy!B29" display="Back To Main" xr:uid="{00000000-0004-0000-0B00-00001F000000}"/>
    <hyperlink ref="B25" location="NegCashFlowStratPlanned" display="neg_cash_flow_strat_planned" xr:uid="{00000000-0004-0000-0B00-000020000000}"/>
    <hyperlink ref="B31" location="NegCashFlowStratEconomic" display="neg_cash_flow_strat_economic" xr:uid="{00000000-0004-0000-0B00-000021000000}"/>
    <hyperlink ref="A214" location="'Table of Contents'!A1" display="Go to TOC" xr:uid="{00000000-0004-0000-0B00-000022000000}"/>
    <hyperlink ref="A215" location="Strategy!B25" display="Back To Main" xr:uid="{00000000-0004-0000-0B00-000023000000}"/>
    <hyperlink ref="A219" location="'Table of Contents'!A1" display="Go to TOC" xr:uid="{00000000-0004-0000-0B00-000024000000}"/>
    <hyperlink ref="A220" location="Strategy!B31" display="Back To Main" xr:uid="{00000000-0004-0000-0B00-000025000000}"/>
  </hyperlinks>
  <pageMargins left="0.7" right="0.7" top="0.75" bottom="0.75" header="0.3" footer="0.3"/>
  <pageSetup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57"/>
  <sheetViews>
    <sheetView showGridLines="0" zoomScale="80" zoomScaleNormal="80" workbookViewId="0"/>
  </sheetViews>
  <sheetFormatPr defaultColWidth="15.54296875" defaultRowHeight="12.5" x14ac:dyDescent="0.25"/>
  <cols>
    <col min="1" max="1" width="15.54296875" style="14"/>
    <col min="2" max="2" width="32.453125" style="11" customWidth="1"/>
    <col min="3" max="16384" width="15.54296875" style="11"/>
  </cols>
  <sheetData>
    <row r="1" spans="1:9" ht="15.5" x14ac:dyDescent="0.25">
      <c r="A1" s="21" t="s">
        <v>9</v>
      </c>
      <c r="B1" s="18" t="s">
        <v>429</v>
      </c>
    </row>
    <row r="3" spans="1:9" ht="13" x14ac:dyDescent="0.25">
      <c r="B3" s="17" t="str">
        <f ca="1">GetNameRange(B4)</f>
        <v>PurchAssetsDefnMtg</v>
      </c>
    </row>
    <row r="4" spans="1:9" ht="13" x14ac:dyDescent="0.3">
      <c r="A4" s="55"/>
      <c r="B4" s="100" t="s">
        <v>89</v>
      </c>
      <c r="C4" s="134" t="s">
        <v>634</v>
      </c>
      <c r="D4" s="267" t="s">
        <v>635</v>
      </c>
      <c r="E4" s="267" t="s">
        <v>888</v>
      </c>
      <c r="F4" s="267" t="s">
        <v>660</v>
      </c>
      <c r="G4" s="267" t="s">
        <v>1098</v>
      </c>
      <c r="H4" s="267" t="s">
        <v>636</v>
      </c>
    </row>
    <row r="5" spans="1:9" ht="13" x14ac:dyDescent="0.25">
      <c r="A5" s="56" t="s">
        <v>8</v>
      </c>
      <c r="B5" s="102" t="s">
        <v>0</v>
      </c>
      <c r="C5" s="145"/>
      <c r="D5" s="268"/>
      <c r="E5" s="268"/>
      <c r="F5" s="268"/>
      <c r="G5" s="268"/>
      <c r="H5" s="268"/>
    </row>
    <row r="6" spans="1:9" x14ac:dyDescent="0.25">
      <c r="A6" s="66" t="s">
        <v>6</v>
      </c>
      <c r="B6" s="103" t="s">
        <v>517</v>
      </c>
      <c r="C6" s="151" t="s">
        <v>611</v>
      </c>
      <c r="D6" s="269" t="s">
        <v>611</v>
      </c>
      <c r="E6" s="269" t="s">
        <v>611</v>
      </c>
      <c r="F6" s="269" t="s">
        <v>617</v>
      </c>
      <c r="G6" s="269" t="s">
        <v>617</v>
      </c>
      <c r="H6" s="269" t="s">
        <v>611</v>
      </c>
    </row>
    <row r="7" spans="1:9" x14ac:dyDescent="0.25">
      <c r="A7" s="66" t="s">
        <v>6</v>
      </c>
      <c r="B7" s="103" t="s">
        <v>92</v>
      </c>
      <c r="C7" s="151" t="s">
        <v>611</v>
      </c>
      <c r="D7" s="269" t="s">
        <v>611</v>
      </c>
      <c r="E7" s="269" t="s">
        <v>611</v>
      </c>
      <c r="F7" s="269" t="s">
        <v>617</v>
      </c>
      <c r="G7" s="269" t="s">
        <v>617</v>
      </c>
      <c r="H7" s="269" t="s">
        <v>611</v>
      </c>
    </row>
    <row r="8" spans="1:9" x14ac:dyDescent="0.25">
      <c r="A8" s="66" t="s">
        <v>48</v>
      </c>
      <c r="B8" s="103" t="s">
        <v>93</v>
      </c>
      <c r="C8" s="151" t="s">
        <v>48</v>
      </c>
      <c r="D8" s="269" t="s">
        <v>48</v>
      </c>
      <c r="E8" s="269" t="s">
        <v>48</v>
      </c>
      <c r="F8" s="269" t="s">
        <v>48</v>
      </c>
      <c r="G8" s="269" t="s">
        <v>48</v>
      </c>
      <c r="H8" s="269" t="s">
        <v>48</v>
      </c>
    </row>
    <row r="9" spans="1:9" x14ac:dyDescent="0.25">
      <c r="A9" s="66" t="s">
        <v>51</v>
      </c>
      <c r="B9" s="103" t="s">
        <v>94</v>
      </c>
      <c r="C9" s="155" t="s">
        <v>51</v>
      </c>
      <c r="D9" s="270" t="s">
        <v>51</v>
      </c>
      <c r="E9" s="270" t="s">
        <v>51</v>
      </c>
      <c r="F9" s="270" t="s">
        <v>51</v>
      </c>
      <c r="G9" s="270" t="s">
        <v>51</v>
      </c>
      <c r="H9" s="270" t="s">
        <v>51</v>
      </c>
    </row>
    <row r="10" spans="1:9" x14ac:dyDescent="0.25">
      <c r="A10" s="66">
        <v>0</v>
      </c>
      <c r="B10" s="103" t="s">
        <v>95</v>
      </c>
      <c r="C10" s="151">
        <v>30</v>
      </c>
      <c r="D10" s="269">
        <v>30</v>
      </c>
      <c r="E10" s="269">
        <v>30</v>
      </c>
      <c r="F10" s="271">
        <v>5</v>
      </c>
      <c r="G10" s="271">
        <v>7</v>
      </c>
      <c r="H10" s="269">
        <v>30</v>
      </c>
    </row>
    <row r="11" spans="1:9" x14ac:dyDescent="0.25">
      <c r="A11" s="66">
        <v>0</v>
      </c>
      <c r="B11" s="103" t="s">
        <v>96</v>
      </c>
      <c r="C11" s="151">
        <v>0</v>
      </c>
      <c r="D11" s="269">
        <v>0</v>
      </c>
      <c r="E11" s="269">
        <v>0</v>
      </c>
      <c r="F11" s="269">
        <v>0</v>
      </c>
      <c r="G11" s="269">
        <v>0</v>
      </c>
      <c r="H11" s="269">
        <v>0</v>
      </c>
    </row>
    <row r="12" spans="1:9" x14ac:dyDescent="0.25">
      <c r="A12" s="66" t="s">
        <v>86</v>
      </c>
      <c r="B12" s="103" t="s">
        <v>97</v>
      </c>
      <c r="C12" s="227" t="s">
        <v>151</v>
      </c>
      <c r="D12" s="271" t="s">
        <v>151</v>
      </c>
      <c r="E12" s="271" t="s">
        <v>151</v>
      </c>
      <c r="F12" s="271" t="s">
        <v>151</v>
      </c>
      <c r="G12" s="271" t="s">
        <v>151</v>
      </c>
      <c r="H12" s="271" t="s">
        <v>151</v>
      </c>
      <c r="I12"/>
    </row>
    <row r="13" spans="1:9" x14ac:dyDescent="0.25">
      <c r="A13" s="66" t="s">
        <v>121</v>
      </c>
      <c r="B13" s="103" t="s">
        <v>98</v>
      </c>
      <c r="C13" s="151" t="s">
        <v>121</v>
      </c>
      <c r="D13" s="269" t="s">
        <v>121</v>
      </c>
      <c r="E13" s="269" t="s">
        <v>121</v>
      </c>
      <c r="F13" s="269" t="s">
        <v>121</v>
      </c>
      <c r="G13" s="269" t="s">
        <v>121</v>
      </c>
      <c r="H13" s="269" t="s">
        <v>121</v>
      </c>
      <c r="I13"/>
    </row>
    <row r="14" spans="1:9" x14ac:dyDescent="0.25">
      <c r="A14" s="70">
        <v>0</v>
      </c>
      <c r="B14" s="103" t="s">
        <v>99</v>
      </c>
      <c r="C14" s="121">
        <v>0</v>
      </c>
      <c r="D14" s="272">
        <v>0</v>
      </c>
      <c r="E14" s="272">
        <v>0</v>
      </c>
      <c r="F14" s="272">
        <v>0</v>
      </c>
      <c r="G14" s="272">
        <v>0</v>
      </c>
      <c r="H14" s="272">
        <v>0</v>
      </c>
      <c r="I14"/>
    </row>
    <row r="15" spans="1:9" x14ac:dyDescent="0.25">
      <c r="A15" s="70">
        <v>0</v>
      </c>
      <c r="B15" s="103" t="s">
        <v>100</v>
      </c>
      <c r="C15" s="121">
        <v>0</v>
      </c>
      <c r="D15" s="272">
        <v>0</v>
      </c>
      <c r="E15" s="272">
        <v>0</v>
      </c>
      <c r="F15" s="272">
        <v>0</v>
      </c>
      <c r="G15" s="272">
        <v>0</v>
      </c>
      <c r="H15" s="272">
        <v>0</v>
      </c>
      <c r="I15"/>
    </row>
    <row r="16" spans="1:9" x14ac:dyDescent="0.25">
      <c r="A16" s="70" t="s">
        <v>52</v>
      </c>
      <c r="B16" s="103" t="s">
        <v>513</v>
      </c>
      <c r="C16" s="227" t="s">
        <v>611</v>
      </c>
      <c r="D16" s="271" t="s">
        <v>611</v>
      </c>
      <c r="E16" s="271" t="s">
        <v>611</v>
      </c>
      <c r="F16" s="271" t="s">
        <v>617</v>
      </c>
      <c r="G16" s="271" t="s">
        <v>617</v>
      </c>
      <c r="H16" s="271" t="s">
        <v>611</v>
      </c>
      <c r="I16"/>
    </row>
    <row r="17" spans="1:10" x14ac:dyDescent="0.25">
      <c r="A17" s="66">
        <v>0.25</v>
      </c>
      <c r="B17" s="103" t="s">
        <v>101</v>
      </c>
      <c r="C17" s="227">
        <f t="shared" ref="C17:H17" si="0">C34</f>
        <v>3</v>
      </c>
      <c r="D17" s="271">
        <f t="shared" si="0"/>
        <v>5</v>
      </c>
      <c r="E17" s="271">
        <v>7</v>
      </c>
      <c r="F17" s="271">
        <v>5</v>
      </c>
      <c r="G17" s="271">
        <v>7</v>
      </c>
      <c r="H17" s="271">
        <f t="shared" si="0"/>
        <v>10</v>
      </c>
      <c r="I17"/>
    </row>
    <row r="18" spans="1:10" x14ac:dyDescent="0.25">
      <c r="A18" s="68">
        <v>1</v>
      </c>
      <c r="B18" s="103" t="s">
        <v>102</v>
      </c>
      <c r="C18" s="155">
        <v>1</v>
      </c>
      <c r="D18" s="270">
        <v>1</v>
      </c>
      <c r="E18" s="270">
        <v>1</v>
      </c>
      <c r="F18" s="270">
        <v>1</v>
      </c>
      <c r="G18" s="270">
        <v>1</v>
      </c>
      <c r="H18" s="270">
        <v>1</v>
      </c>
    </row>
    <row r="19" spans="1:10" x14ac:dyDescent="0.25">
      <c r="A19" s="70">
        <v>0</v>
      </c>
      <c r="B19" s="103" t="s">
        <v>103</v>
      </c>
      <c r="C19" s="121">
        <v>0</v>
      </c>
      <c r="D19" s="272">
        <v>0</v>
      </c>
      <c r="E19" s="272">
        <v>0</v>
      </c>
      <c r="F19" s="272">
        <v>0</v>
      </c>
      <c r="G19" s="272">
        <v>0</v>
      </c>
      <c r="H19" s="272">
        <v>0</v>
      </c>
    </row>
    <row r="20" spans="1:10" x14ac:dyDescent="0.25">
      <c r="A20" s="70">
        <v>0</v>
      </c>
      <c r="B20" s="103" t="s">
        <v>104</v>
      </c>
      <c r="C20" s="121">
        <v>0</v>
      </c>
      <c r="D20" s="272">
        <v>0</v>
      </c>
      <c r="E20" s="272">
        <v>0</v>
      </c>
      <c r="F20" s="272">
        <v>0</v>
      </c>
      <c r="G20" s="272">
        <v>0</v>
      </c>
      <c r="H20" s="272">
        <v>0</v>
      </c>
    </row>
    <row r="21" spans="1:10" x14ac:dyDescent="0.25">
      <c r="A21" s="66">
        <v>12</v>
      </c>
      <c r="B21" s="103" t="s">
        <v>105</v>
      </c>
      <c r="C21" s="264">
        <v>12</v>
      </c>
      <c r="D21" s="273">
        <v>12</v>
      </c>
      <c r="E21" s="273">
        <v>12</v>
      </c>
      <c r="F21" s="273">
        <v>12</v>
      </c>
      <c r="G21" s="273">
        <v>12</v>
      </c>
      <c r="H21" s="273">
        <v>12</v>
      </c>
    </row>
    <row r="22" spans="1:10" x14ac:dyDescent="0.25">
      <c r="A22" s="70">
        <v>1</v>
      </c>
      <c r="B22" s="103" t="s">
        <v>106</v>
      </c>
      <c r="C22" s="265">
        <v>1</v>
      </c>
      <c r="D22" s="274">
        <v>1</v>
      </c>
      <c r="E22" s="274">
        <v>1</v>
      </c>
      <c r="F22" s="274">
        <v>1</v>
      </c>
      <c r="G22" s="274">
        <v>1</v>
      </c>
      <c r="H22" s="274">
        <v>1</v>
      </c>
    </row>
    <row r="23" spans="1:10" x14ac:dyDescent="0.25">
      <c r="A23" s="70">
        <v>1</v>
      </c>
      <c r="B23" s="103" t="s">
        <v>107</v>
      </c>
      <c r="C23" s="265">
        <v>1</v>
      </c>
      <c r="D23" s="274">
        <v>1</v>
      </c>
      <c r="E23" s="274">
        <v>1</v>
      </c>
      <c r="F23" s="274">
        <v>1</v>
      </c>
      <c r="G23" s="274">
        <v>1</v>
      </c>
      <c r="H23" s="274">
        <v>1</v>
      </c>
    </row>
    <row r="24" spans="1:10" x14ac:dyDescent="0.25">
      <c r="A24" s="70">
        <v>1</v>
      </c>
      <c r="B24" s="103" t="s">
        <v>108</v>
      </c>
      <c r="C24" s="265">
        <v>1</v>
      </c>
      <c r="D24" s="274">
        <v>1</v>
      </c>
      <c r="E24" s="274">
        <v>1</v>
      </c>
      <c r="F24" s="274">
        <v>1</v>
      </c>
      <c r="G24" s="274">
        <v>1</v>
      </c>
      <c r="H24" s="274">
        <v>1</v>
      </c>
    </row>
    <row r="25" spans="1:10" x14ac:dyDescent="0.25">
      <c r="A25" s="70">
        <v>1</v>
      </c>
      <c r="B25" s="103" t="s">
        <v>109</v>
      </c>
      <c r="C25" s="265">
        <v>1</v>
      </c>
      <c r="D25" s="274">
        <v>1</v>
      </c>
      <c r="E25" s="274">
        <v>1</v>
      </c>
      <c r="F25" s="274">
        <v>1</v>
      </c>
      <c r="G25" s="274">
        <v>1</v>
      </c>
      <c r="H25" s="274">
        <v>1</v>
      </c>
    </row>
    <row r="26" spans="1:10" x14ac:dyDescent="0.25">
      <c r="A26" s="66" t="s">
        <v>39</v>
      </c>
      <c r="B26" s="103" t="s">
        <v>110</v>
      </c>
      <c r="C26" s="264" t="s">
        <v>39</v>
      </c>
      <c r="D26" s="273" t="s">
        <v>39</v>
      </c>
      <c r="E26" s="273" t="s">
        <v>39</v>
      </c>
      <c r="F26" s="273" t="s">
        <v>39</v>
      </c>
      <c r="G26" s="273" t="s">
        <v>39</v>
      </c>
      <c r="H26" s="273" t="s">
        <v>39</v>
      </c>
      <c r="J26" s="226"/>
    </row>
    <row r="27" spans="1:10" x14ac:dyDescent="0.25">
      <c r="A27" s="66">
        <v>999</v>
      </c>
      <c r="B27" s="103" t="s">
        <v>111</v>
      </c>
      <c r="C27" s="264">
        <v>999</v>
      </c>
      <c r="D27" s="273">
        <v>999</v>
      </c>
      <c r="E27" s="273">
        <v>999</v>
      </c>
      <c r="F27" s="273">
        <v>999</v>
      </c>
      <c r="G27" s="273">
        <v>999</v>
      </c>
      <c r="H27" s="273">
        <v>999</v>
      </c>
      <c r="J27" s="226"/>
    </row>
    <row r="28" spans="1:10" x14ac:dyDescent="0.25">
      <c r="A28" s="70">
        <v>0</v>
      </c>
      <c r="B28" s="129" t="s">
        <v>428</v>
      </c>
      <c r="C28" s="265">
        <v>0</v>
      </c>
      <c r="D28" s="274">
        <v>0</v>
      </c>
      <c r="E28" s="274">
        <v>0</v>
      </c>
      <c r="F28" s="274">
        <v>0</v>
      </c>
      <c r="G28" s="274">
        <v>0</v>
      </c>
      <c r="H28" s="274">
        <v>0</v>
      </c>
    </row>
    <row r="29" spans="1:10" x14ac:dyDescent="0.25">
      <c r="A29" s="70">
        <v>0</v>
      </c>
      <c r="B29" s="103" t="s">
        <v>112</v>
      </c>
      <c r="C29" s="265">
        <v>0</v>
      </c>
      <c r="D29" s="274">
        <v>0</v>
      </c>
      <c r="E29" s="274">
        <v>0</v>
      </c>
      <c r="F29" s="274">
        <v>0</v>
      </c>
      <c r="G29" s="274">
        <v>0</v>
      </c>
      <c r="H29" s="274">
        <v>0</v>
      </c>
    </row>
    <row r="30" spans="1:10" x14ac:dyDescent="0.25">
      <c r="A30" s="68">
        <v>1</v>
      </c>
      <c r="B30" s="103" t="s">
        <v>113</v>
      </c>
      <c r="C30" s="266">
        <v>1</v>
      </c>
      <c r="D30" s="275">
        <v>1</v>
      </c>
      <c r="E30" s="275">
        <v>1</v>
      </c>
      <c r="F30" s="275">
        <v>1</v>
      </c>
      <c r="G30" s="275">
        <v>1</v>
      </c>
      <c r="H30" s="275">
        <v>1</v>
      </c>
    </row>
    <row r="31" spans="1:10" x14ac:dyDescent="0.25">
      <c r="A31" s="70">
        <v>0</v>
      </c>
      <c r="B31" s="103" t="s">
        <v>114</v>
      </c>
      <c r="C31" s="265">
        <v>0</v>
      </c>
      <c r="D31" s="274">
        <v>0</v>
      </c>
      <c r="E31" s="274">
        <v>0</v>
      </c>
      <c r="F31" s="274">
        <v>0</v>
      </c>
      <c r="G31" s="274">
        <v>0</v>
      </c>
      <c r="H31" s="274">
        <v>0</v>
      </c>
    </row>
    <row r="32" spans="1:10" x14ac:dyDescent="0.25">
      <c r="A32" s="66">
        <v>999</v>
      </c>
      <c r="B32" s="103" t="s">
        <v>115</v>
      </c>
      <c r="C32" s="264">
        <v>999</v>
      </c>
      <c r="D32" s="273">
        <v>999</v>
      </c>
      <c r="E32" s="273">
        <v>999</v>
      </c>
      <c r="F32" s="273">
        <v>999</v>
      </c>
      <c r="G32" s="273">
        <v>999</v>
      </c>
      <c r="H32" s="273">
        <v>999</v>
      </c>
    </row>
    <row r="33" spans="1:8" ht="25" x14ac:dyDescent="0.25">
      <c r="A33" s="66" t="s">
        <v>5</v>
      </c>
      <c r="B33" s="103" t="s">
        <v>561</v>
      </c>
      <c r="C33" s="264" t="s">
        <v>661</v>
      </c>
      <c r="D33" s="273" t="s">
        <v>661</v>
      </c>
      <c r="E33" s="273" t="s">
        <v>661</v>
      </c>
      <c r="F33" s="276" t="s">
        <v>5</v>
      </c>
      <c r="G33" s="276" t="s">
        <v>5</v>
      </c>
      <c r="H33" s="273" t="s">
        <v>661</v>
      </c>
    </row>
    <row r="34" spans="1:8" x14ac:dyDescent="0.25">
      <c r="A34" s="66">
        <v>999.99</v>
      </c>
      <c r="B34" s="103" t="s">
        <v>116</v>
      </c>
      <c r="C34" s="151">
        <v>3</v>
      </c>
      <c r="D34" s="269">
        <v>5</v>
      </c>
      <c r="E34" s="269">
        <v>7</v>
      </c>
      <c r="F34" s="271">
        <v>5</v>
      </c>
      <c r="G34" s="271">
        <v>7</v>
      </c>
      <c r="H34" s="269">
        <v>10</v>
      </c>
    </row>
    <row r="35" spans="1:8" x14ac:dyDescent="0.25">
      <c r="A35" s="70">
        <v>0</v>
      </c>
      <c r="B35" s="129" t="s">
        <v>562</v>
      </c>
      <c r="C35" s="265">
        <v>0</v>
      </c>
      <c r="D35" s="274">
        <v>0</v>
      </c>
      <c r="E35" s="274">
        <v>0</v>
      </c>
      <c r="F35" s="274">
        <v>0</v>
      </c>
      <c r="G35" s="274">
        <v>0</v>
      </c>
      <c r="H35" s="274">
        <v>0</v>
      </c>
    </row>
    <row r="36" spans="1:8" x14ac:dyDescent="0.25">
      <c r="A36" s="70">
        <v>0</v>
      </c>
      <c r="B36" s="103" t="s">
        <v>117</v>
      </c>
      <c r="C36" s="265">
        <v>0</v>
      </c>
      <c r="D36" s="274">
        <v>0</v>
      </c>
      <c r="E36" s="274">
        <v>0</v>
      </c>
      <c r="F36" s="274">
        <v>0</v>
      </c>
      <c r="G36" s="274">
        <v>0</v>
      </c>
      <c r="H36" s="274">
        <v>0</v>
      </c>
    </row>
    <row r="37" spans="1:8" x14ac:dyDescent="0.25">
      <c r="A37" s="70">
        <v>0</v>
      </c>
      <c r="B37" s="103" t="s">
        <v>118</v>
      </c>
      <c r="C37" s="265">
        <v>0</v>
      </c>
      <c r="D37" s="274">
        <v>0</v>
      </c>
      <c r="E37" s="274">
        <v>0</v>
      </c>
      <c r="F37" s="274">
        <v>0</v>
      </c>
      <c r="G37" s="274">
        <v>0</v>
      </c>
      <c r="H37" s="274">
        <v>0</v>
      </c>
    </row>
    <row r="38" spans="1:8" x14ac:dyDescent="0.25">
      <c r="A38" s="70">
        <v>0</v>
      </c>
      <c r="B38" s="103" t="s">
        <v>119</v>
      </c>
      <c r="C38" s="265">
        <v>0</v>
      </c>
      <c r="D38" s="274">
        <v>0</v>
      </c>
      <c r="E38" s="274">
        <v>0</v>
      </c>
      <c r="F38" s="274">
        <v>0</v>
      </c>
      <c r="G38" s="274">
        <v>0</v>
      </c>
      <c r="H38" s="274">
        <v>0</v>
      </c>
    </row>
    <row r="39" spans="1:8" x14ac:dyDescent="0.25">
      <c r="A39" s="70">
        <v>0</v>
      </c>
      <c r="B39" s="128" t="s">
        <v>120</v>
      </c>
      <c r="C39" s="244">
        <v>1.3540187633772871E-2</v>
      </c>
      <c r="D39" s="277">
        <v>1.3540187633772871E-2</v>
      </c>
      <c r="E39" s="277">
        <v>1.3540187633772871E-2</v>
      </c>
      <c r="F39" s="278">
        <v>5.2613300519803148E-3</v>
      </c>
      <c r="G39" s="279">
        <v>5.2613300519803148E-3</v>
      </c>
      <c r="H39" s="277">
        <v>1.3540187633772871E-2</v>
      </c>
    </row>
    <row r="41" spans="1:8" ht="13" x14ac:dyDescent="0.25">
      <c r="A41" s="13" t="s">
        <v>9</v>
      </c>
      <c r="B41" s="17" t="str">
        <f ca="1">GetNameRange(B42)</f>
        <v>PurchAssetsDefnMtgPrepmtPenaltyPct</v>
      </c>
    </row>
    <row r="42" spans="1:8" ht="13" x14ac:dyDescent="0.25">
      <c r="A42" s="32" t="s">
        <v>404</v>
      </c>
      <c r="B42" s="117" t="s">
        <v>89</v>
      </c>
      <c r="C42" s="134" t="s">
        <v>149</v>
      </c>
    </row>
    <row r="43" spans="1:8" ht="13" x14ac:dyDescent="0.25">
      <c r="B43" s="118" t="s">
        <v>91</v>
      </c>
      <c r="C43" s="135"/>
    </row>
    <row r="44" spans="1:8" x14ac:dyDescent="0.25">
      <c r="A44" s="71">
        <v>0</v>
      </c>
      <c r="B44" s="120">
        <v>1</v>
      </c>
      <c r="C44" s="121">
        <v>0</v>
      </c>
    </row>
    <row r="45" spans="1:8" x14ac:dyDescent="0.25">
      <c r="A45" s="71">
        <v>0</v>
      </c>
      <c r="B45" s="120">
        <v>24</v>
      </c>
      <c r="C45" s="121">
        <v>0</v>
      </c>
    </row>
    <row r="46" spans="1:8" x14ac:dyDescent="0.25">
      <c r="A46" s="71">
        <v>0</v>
      </c>
      <c r="B46" s="120">
        <v>60</v>
      </c>
      <c r="C46" s="121">
        <v>0</v>
      </c>
    </row>
    <row r="47" spans="1:8" x14ac:dyDescent="0.25">
      <c r="A47" s="71">
        <v>0</v>
      </c>
      <c r="B47" s="120">
        <v>120</v>
      </c>
      <c r="C47" s="121">
        <v>0</v>
      </c>
    </row>
    <row r="48" spans="1:8" x14ac:dyDescent="0.25">
      <c r="A48" s="71">
        <v>0</v>
      </c>
      <c r="B48" s="120">
        <v>999</v>
      </c>
      <c r="C48" s="121">
        <v>0</v>
      </c>
    </row>
    <row r="50" spans="1:12" ht="13" x14ac:dyDescent="0.25">
      <c r="A50" s="13" t="s">
        <v>9</v>
      </c>
      <c r="B50" s="17" t="str">
        <f ca="1">GetNameRange(B51)</f>
        <v>PurchAssetsDefnMtgBalloonPrinPmtPct</v>
      </c>
    </row>
    <row r="51" spans="1:12" ht="13" x14ac:dyDescent="0.25">
      <c r="A51" s="32" t="s">
        <v>404</v>
      </c>
      <c r="B51" s="117" t="s">
        <v>89</v>
      </c>
      <c r="C51" s="134" t="s">
        <v>563</v>
      </c>
      <c r="D51" s="134" t="s">
        <v>563</v>
      </c>
      <c r="E51" s="134" t="s">
        <v>563</v>
      </c>
      <c r="F51" s="134" t="s">
        <v>563</v>
      </c>
      <c r="G51" s="134" t="s">
        <v>563</v>
      </c>
      <c r="H51" s="134" t="s">
        <v>563</v>
      </c>
      <c r="I51" s="134" t="s">
        <v>563</v>
      </c>
      <c r="J51" s="134" t="s">
        <v>563</v>
      </c>
      <c r="K51" s="134" t="s">
        <v>563</v>
      </c>
      <c r="L51" s="134" t="s">
        <v>563</v>
      </c>
    </row>
    <row r="52" spans="1:12" ht="13" x14ac:dyDescent="0.25">
      <c r="B52" s="118" t="s">
        <v>91</v>
      </c>
      <c r="C52" s="135"/>
      <c r="D52" s="135"/>
      <c r="E52" s="135"/>
      <c r="F52" s="135"/>
      <c r="G52" s="135"/>
      <c r="H52" s="135"/>
      <c r="I52" s="135"/>
      <c r="J52" s="135"/>
      <c r="K52" s="135"/>
      <c r="L52" s="135"/>
    </row>
    <row r="53" spans="1:12" x14ac:dyDescent="0.25">
      <c r="A53" s="71">
        <v>0</v>
      </c>
      <c r="B53" s="120">
        <v>1</v>
      </c>
      <c r="C53" s="121">
        <v>0</v>
      </c>
      <c r="D53" s="121">
        <v>0</v>
      </c>
      <c r="E53" s="121">
        <v>0</v>
      </c>
      <c r="F53" s="121">
        <v>0</v>
      </c>
      <c r="G53" s="121">
        <v>0</v>
      </c>
      <c r="H53" s="121">
        <v>0</v>
      </c>
      <c r="I53" s="121">
        <v>0</v>
      </c>
      <c r="J53" s="121">
        <v>0</v>
      </c>
      <c r="K53" s="121">
        <v>0</v>
      </c>
      <c r="L53" s="121">
        <v>0</v>
      </c>
    </row>
    <row r="54" spans="1:12" x14ac:dyDescent="0.25">
      <c r="A54" s="71">
        <v>0</v>
      </c>
      <c r="B54" s="120">
        <v>24</v>
      </c>
      <c r="C54" s="121">
        <v>0</v>
      </c>
      <c r="D54" s="121">
        <v>0</v>
      </c>
      <c r="E54" s="121">
        <v>0</v>
      </c>
      <c r="F54" s="121">
        <v>0</v>
      </c>
      <c r="G54" s="121">
        <v>0</v>
      </c>
      <c r="H54" s="121">
        <v>0</v>
      </c>
      <c r="I54" s="121">
        <v>0</v>
      </c>
      <c r="J54" s="121">
        <v>0</v>
      </c>
      <c r="K54" s="121">
        <v>0</v>
      </c>
      <c r="L54" s="121">
        <v>0</v>
      </c>
    </row>
    <row r="55" spans="1:12" x14ac:dyDescent="0.25">
      <c r="A55" s="71">
        <v>0</v>
      </c>
      <c r="B55" s="120">
        <v>60</v>
      </c>
      <c r="C55" s="121">
        <v>0</v>
      </c>
      <c r="D55" s="121">
        <v>0</v>
      </c>
      <c r="E55" s="121">
        <v>0</v>
      </c>
      <c r="F55" s="121">
        <v>0</v>
      </c>
      <c r="G55" s="121">
        <v>0</v>
      </c>
      <c r="H55" s="121">
        <v>0</v>
      </c>
      <c r="I55" s="121">
        <v>0</v>
      </c>
      <c r="J55" s="121">
        <v>0</v>
      </c>
      <c r="K55" s="121">
        <v>0</v>
      </c>
      <c r="L55" s="121">
        <v>0</v>
      </c>
    </row>
    <row r="56" spans="1:12" x14ac:dyDescent="0.25">
      <c r="A56" s="71">
        <v>0</v>
      </c>
      <c r="B56" s="120">
        <v>120</v>
      </c>
      <c r="C56" s="121">
        <v>0</v>
      </c>
      <c r="D56" s="121">
        <v>0</v>
      </c>
      <c r="E56" s="121">
        <v>0</v>
      </c>
      <c r="F56" s="121">
        <v>0</v>
      </c>
      <c r="G56" s="121">
        <v>0</v>
      </c>
      <c r="H56" s="121">
        <v>0</v>
      </c>
      <c r="I56" s="121">
        <v>0</v>
      </c>
      <c r="J56" s="121">
        <v>0</v>
      </c>
      <c r="K56" s="121">
        <v>0</v>
      </c>
      <c r="L56" s="121">
        <v>0</v>
      </c>
    </row>
    <row r="57" spans="1:12" x14ac:dyDescent="0.25">
      <c r="A57" s="71">
        <v>0</v>
      </c>
      <c r="B57" s="187">
        <v>999</v>
      </c>
      <c r="C57" s="136">
        <v>0</v>
      </c>
      <c r="D57" s="136">
        <v>0</v>
      </c>
      <c r="E57" s="136">
        <v>0</v>
      </c>
      <c r="F57" s="136">
        <v>0</v>
      </c>
      <c r="G57" s="136">
        <v>0</v>
      </c>
      <c r="H57" s="136">
        <v>0</v>
      </c>
      <c r="I57" s="136">
        <v>0</v>
      </c>
      <c r="J57" s="136">
        <v>0</v>
      </c>
      <c r="K57" s="136">
        <v>0</v>
      </c>
      <c r="L57" s="136">
        <v>0</v>
      </c>
    </row>
  </sheetData>
  <conditionalFormatting sqref="C44:C48 G34 G39 G6:G20 C7:D7 C39:D39 C16:D17">
    <cfRule type="cellIs" dxfId="486" priority="133" operator="notEqual">
      <formula>$A6</formula>
    </cfRule>
  </conditionalFormatting>
  <conditionalFormatting sqref="L53:L57">
    <cfRule type="cellIs" dxfId="485" priority="130" operator="notEqual">
      <formula>$A53</formula>
    </cfRule>
  </conditionalFormatting>
  <conditionalFormatting sqref="C53:C57">
    <cfRule type="cellIs" dxfId="484" priority="127" operator="notEqual">
      <formula>$A53</formula>
    </cfRule>
  </conditionalFormatting>
  <conditionalFormatting sqref="D53:D57">
    <cfRule type="cellIs" dxfId="483" priority="124" operator="notEqual">
      <formula>$A53</formula>
    </cfRule>
  </conditionalFormatting>
  <conditionalFormatting sqref="G53:G57">
    <cfRule type="cellIs" dxfId="482" priority="121" operator="notEqual">
      <formula>$A53</formula>
    </cfRule>
  </conditionalFormatting>
  <conditionalFormatting sqref="K53:K57">
    <cfRule type="cellIs" dxfId="481" priority="118" operator="notEqual">
      <formula>$A53</formula>
    </cfRule>
  </conditionalFormatting>
  <conditionalFormatting sqref="J53:J57">
    <cfRule type="cellIs" dxfId="480" priority="115" operator="notEqual">
      <formula>$A53</formula>
    </cfRule>
  </conditionalFormatting>
  <conditionalFormatting sqref="E53:E57">
    <cfRule type="cellIs" dxfId="479" priority="112" operator="notEqual">
      <formula>$A53</formula>
    </cfRule>
  </conditionalFormatting>
  <conditionalFormatting sqref="C10:D10 C12:D12 F17 F12 F10 H10 H12 H17">
    <cfRule type="cellIs" dxfId="478" priority="52" operator="notEqual">
      <formula>$A10</formula>
    </cfRule>
  </conditionalFormatting>
  <conditionalFormatting sqref="C6 C8:C15 C17:C20">
    <cfRule type="cellIs" dxfId="477" priority="51" operator="notEqual">
      <formula>$A6</formula>
    </cfRule>
  </conditionalFormatting>
  <conditionalFormatting sqref="F6 F8:F15 F17:F20">
    <cfRule type="cellIs" dxfId="476" priority="50" operator="notEqual">
      <formula>$A6</formula>
    </cfRule>
  </conditionalFormatting>
  <conditionalFormatting sqref="H6 H8:H15 H17:H20">
    <cfRule type="cellIs" dxfId="475" priority="48" operator="notEqual">
      <formula>$A6</formula>
    </cfRule>
  </conditionalFormatting>
  <conditionalFormatting sqref="D6 D8:D15 D17:D20">
    <cfRule type="cellIs" dxfId="474" priority="47" operator="notEqual">
      <formula>$A6</formula>
    </cfRule>
  </conditionalFormatting>
  <conditionalFormatting sqref="F7">
    <cfRule type="cellIs" dxfId="473" priority="42" operator="notEqual">
      <formula>$A7</formula>
    </cfRule>
  </conditionalFormatting>
  <conditionalFormatting sqref="H7">
    <cfRule type="cellIs" dxfId="472" priority="46" operator="notEqual">
      <formula>$A7</formula>
    </cfRule>
  </conditionalFormatting>
  <conditionalFormatting sqref="F7">
    <cfRule type="cellIs" dxfId="471" priority="43" operator="notEqual">
      <formula>$A7</formula>
    </cfRule>
  </conditionalFormatting>
  <conditionalFormatting sqref="C34">
    <cfRule type="cellIs" dxfId="470" priority="38" operator="notEqual">
      <formula>$A34</formula>
    </cfRule>
  </conditionalFormatting>
  <conditionalFormatting sqref="F34">
    <cfRule type="cellIs" dxfId="469" priority="37" operator="notEqual">
      <formula>$A34</formula>
    </cfRule>
  </conditionalFormatting>
  <conditionalFormatting sqref="H34">
    <cfRule type="cellIs" dxfId="468" priority="35" operator="notEqual">
      <formula>$A34</formula>
    </cfRule>
  </conditionalFormatting>
  <conditionalFormatting sqref="D34">
    <cfRule type="cellIs" dxfId="467" priority="34" operator="notEqual">
      <formula>$A34</formula>
    </cfRule>
  </conditionalFormatting>
  <conditionalFormatting sqref="F39 H39">
    <cfRule type="cellIs" dxfId="466" priority="33" operator="notEqual">
      <formula>$A39</formula>
    </cfRule>
  </conditionalFormatting>
  <conditionalFormatting sqref="F16">
    <cfRule type="cellIs" dxfId="465" priority="28" operator="notEqual">
      <formula>$A16</formula>
    </cfRule>
  </conditionalFormatting>
  <conditionalFormatting sqref="H16">
    <cfRule type="cellIs" dxfId="464" priority="32" operator="notEqual">
      <formula>$A16</formula>
    </cfRule>
  </conditionalFormatting>
  <conditionalFormatting sqref="F16">
    <cfRule type="cellIs" dxfId="463" priority="29" operator="notEqual">
      <formula>$A16</formula>
    </cfRule>
  </conditionalFormatting>
  <conditionalFormatting sqref="F53:F57">
    <cfRule type="cellIs" dxfId="462" priority="26" operator="notEqual">
      <formula>$A53</formula>
    </cfRule>
  </conditionalFormatting>
  <conditionalFormatting sqref="E10 E12 E17">
    <cfRule type="cellIs" dxfId="461" priority="25" operator="notEqual">
      <formula>$A10</formula>
    </cfRule>
  </conditionalFormatting>
  <conditionalFormatting sqref="E6 E8:E15 E17:E20">
    <cfRule type="cellIs" dxfId="460" priority="24" operator="notEqual">
      <formula>$A6</formula>
    </cfRule>
  </conditionalFormatting>
  <conditionalFormatting sqref="E7">
    <cfRule type="cellIs" dxfId="459" priority="23" operator="notEqual">
      <formula>$A7</formula>
    </cfRule>
  </conditionalFormatting>
  <conditionalFormatting sqref="E34">
    <cfRule type="cellIs" dxfId="458" priority="22" operator="notEqual">
      <formula>$A34</formula>
    </cfRule>
  </conditionalFormatting>
  <conditionalFormatting sqref="E39">
    <cfRule type="cellIs" dxfId="457" priority="21" operator="notEqual">
      <formula>$A39</formula>
    </cfRule>
  </conditionalFormatting>
  <conditionalFormatting sqref="E16">
    <cfRule type="cellIs" dxfId="456" priority="20" operator="notEqual">
      <formula>$A16</formula>
    </cfRule>
  </conditionalFormatting>
  <conditionalFormatting sqref="H53:H57">
    <cfRule type="cellIs" dxfId="455" priority="19" operator="notEqual">
      <formula>$A53</formula>
    </cfRule>
  </conditionalFormatting>
  <conditionalFormatting sqref="I53:I57">
    <cfRule type="cellIs" dxfId="454" priority="10" operator="notEqual">
      <formula>$A53</formula>
    </cfRule>
  </conditionalFormatting>
  <dataValidations count="4">
    <dataValidation type="list" allowBlank="1" showInputMessage="1" showErrorMessage="1" sqref="C8:H8" xr:uid="{345BBC95-2960-4928-8164-43723A299C80}">
      <formula1>"Investment,Collateral Pool"</formula1>
    </dataValidation>
    <dataValidation type="list" allowBlank="1" showInputMessage="1" showErrorMessage="1" sqref="C13:H13" xr:uid="{2CF047DC-DEFD-4C5D-81F8-4C39E0CF8958}">
      <formula1>"Monthly,Quarterly,Semi-Annual,Annual"</formula1>
    </dataValidation>
    <dataValidation type="list" allowBlank="1" showInputMessage="1" showErrorMessage="1" sqref="C33:H33" xr:uid="{E14FF7DB-8CFE-468C-8E4B-0440994A0802}">
      <formula1>"No,Yes On Single Period,Yes Per Schedule"</formula1>
    </dataValidation>
    <dataValidation type="list" allowBlank="1" showInputMessage="1" showErrorMessage="1" sqref="C12:H12" xr:uid="{00000000-0002-0000-0D00-000001000000}">
      <formula1>"Refinancing Rate,Fixed Rate,Floating Rate"</formula1>
    </dataValidation>
  </dataValidations>
  <hyperlinks>
    <hyperlink ref="A1" location="'Table of Contents'!A1" display="Go to TOC" xr:uid="{00000000-0004-0000-0D00-000000000000}"/>
    <hyperlink ref="A41" location="'Table of Contents'!A1" display="Go to TOC" xr:uid="{00000000-0004-0000-0D00-000001000000}"/>
    <hyperlink ref="A42" location="'Purch Mtg Defn'!B27" display="Back To Main" xr:uid="{00000000-0004-0000-0D00-000002000000}"/>
    <hyperlink ref="B28" location="PurchAssetsDefnMtgPrepmtPenaltyPct" display="purch_mtg_prepmt_penalty_pct" xr:uid="{00000000-0004-0000-0D00-000003000000}"/>
    <hyperlink ref="B35" location="PurchAssetsDefnMtgBalloonPrinPmtPct" display="purch_mtg_balloon_prin_pmt_pct" xr:uid="{00000000-0004-0000-0D00-000004000000}"/>
    <hyperlink ref="A50" location="'Table of Contents'!A1" display="Go to TOC" xr:uid="{00000000-0004-0000-0D00-000005000000}"/>
    <hyperlink ref="A51" location="'Purch Mtg Defn'!B35" display="Back To Main" xr:uid="{00000000-0004-0000-0D00-000006000000}"/>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J64"/>
  <sheetViews>
    <sheetView showGridLines="0" zoomScale="70" zoomScaleNormal="70" workbookViewId="0">
      <pane xSplit="2" ySplit="5" topLeftCell="U6" activePane="bottomRight" state="frozen"/>
      <selection pane="topRight" activeCell="C1" sqref="C1"/>
      <selection pane="bottomLeft" activeCell="A6" sqref="A6"/>
      <selection pane="bottomRight" activeCell="B4" sqref="B4"/>
    </sheetView>
  </sheetViews>
  <sheetFormatPr defaultColWidth="15.54296875" defaultRowHeight="12.5" x14ac:dyDescent="0.25"/>
  <cols>
    <col min="1" max="1" width="15.54296875" style="14"/>
    <col min="2" max="2" width="34.54296875" style="11" customWidth="1"/>
    <col min="3" max="3" width="17.26953125" style="11" bestFit="1" customWidth="1"/>
    <col min="4" max="4" width="18.81640625" style="11" bestFit="1" customWidth="1"/>
    <col min="5" max="6" width="20.26953125" style="11" bestFit="1" customWidth="1"/>
    <col min="7" max="7" width="17.26953125" style="11" bestFit="1" customWidth="1"/>
    <col min="8" max="8" width="18.81640625" style="11" bestFit="1" customWidth="1"/>
    <col min="9" max="9" width="17.26953125" style="11" bestFit="1" customWidth="1"/>
    <col min="10" max="10" width="18.81640625" style="11" bestFit="1" customWidth="1"/>
    <col min="11" max="11" width="20.26953125" style="11" bestFit="1" customWidth="1"/>
    <col min="12" max="12" width="17.26953125" style="11" bestFit="1" customWidth="1"/>
    <col min="13" max="13" width="18.81640625" style="11" bestFit="1" customWidth="1"/>
    <col min="14" max="14" width="20.26953125" style="11" bestFit="1" customWidth="1"/>
    <col min="15" max="15" width="18.81640625" style="11" bestFit="1" customWidth="1"/>
    <col min="16" max="16" width="20.26953125" style="11" bestFit="1" customWidth="1"/>
    <col min="17" max="17" width="18.1796875" style="11" bestFit="1" customWidth="1"/>
    <col min="18" max="18" width="19.54296875" style="11" bestFit="1" customWidth="1"/>
    <col min="19" max="19" width="21" style="11" bestFit="1" customWidth="1"/>
    <col min="20" max="20" width="19.54296875" style="11" bestFit="1" customWidth="1"/>
    <col min="21" max="21" width="21" style="11" bestFit="1" customWidth="1"/>
    <col min="22" max="22" width="21.453125" style="11" bestFit="1" customWidth="1"/>
    <col min="23" max="23" width="18.54296875" style="11" bestFit="1" customWidth="1"/>
    <col min="24" max="24" width="21.453125" style="11" bestFit="1" customWidth="1"/>
    <col min="25" max="25" width="18.26953125" style="11" bestFit="1" customWidth="1"/>
    <col min="26" max="26" width="19.7265625" style="11" bestFit="1" customWidth="1"/>
    <col min="27" max="27" width="21.1796875" style="11" bestFit="1" customWidth="1"/>
    <col min="28" max="28" width="18.26953125" style="11" bestFit="1" customWidth="1"/>
    <col min="29" max="29" width="19.7265625" style="11" bestFit="1" customWidth="1"/>
    <col min="30" max="30" width="21.1796875" style="11" bestFit="1" customWidth="1"/>
    <col min="31" max="31" width="18.81640625" style="11" bestFit="1" customWidth="1"/>
    <col min="32" max="32" width="20.26953125" style="11" bestFit="1" customWidth="1"/>
    <col min="33" max="34" width="21.7265625" style="11" bestFit="1" customWidth="1"/>
    <col min="35" max="35" width="19.26953125" style="11" bestFit="1" customWidth="1"/>
    <col min="36" max="36" width="22.453125" style="11" bestFit="1" customWidth="1"/>
    <col min="37" max="37" width="18.81640625" style="11" bestFit="1" customWidth="1"/>
    <col min="38" max="38" width="20.26953125" style="11" bestFit="1" customWidth="1"/>
    <col min="39" max="40" width="21.7265625" style="11" bestFit="1" customWidth="1"/>
    <col min="41" max="41" width="19.26953125" style="11" bestFit="1" customWidth="1"/>
    <col min="42" max="42" width="22.453125" style="11" bestFit="1" customWidth="1"/>
    <col min="43" max="43" width="19.26953125" style="11" bestFit="1" customWidth="1"/>
    <col min="44" max="44" width="22.453125" style="11" bestFit="1" customWidth="1"/>
    <col min="45" max="45" width="19.26953125" style="11" bestFit="1" customWidth="1"/>
    <col min="46" max="46" width="22.453125" style="11" bestFit="1" customWidth="1"/>
    <col min="47" max="16384" width="15.54296875" style="11"/>
  </cols>
  <sheetData>
    <row r="1" spans="1:36" ht="15.5" x14ac:dyDescent="0.25">
      <c r="A1" s="21" t="s">
        <v>9</v>
      </c>
      <c r="B1" s="18" t="s">
        <v>226</v>
      </c>
    </row>
    <row r="3" spans="1:36" ht="13" x14ac:dyDescent="0.25">
      <c r="B3" s="17" t="str">
        <f ca="1">GetNameRange(B4)</f>
        <v>PurchAssetsDefnBond</v>
      </c>
    </row>
    <row r="4" spans="1:36" ht="13" x14ac:dyDescent="0.3">
      <c r="A4" s="55"/>
      <c r="B4" s="100" t="s">
        <v>89</v>
      </c>
      <c r="C4" s="262" t="s">
        <v>618</v>
      </c>
      <c r="D4" s="262" t="s">
        <v>1094</v>
      </c>
      <c r="E4" s="262" t="s">
        <v>619</v>
      </c>
      <c r="F4" s="262" t="s">
        <v>620</v>
      </c>
      <c r="G4" s="262" t="s">
        <v>621</v>
      </c>
      <c r="H4" s="262" t="s">
        <v>622</v>
      </c>
      <c r="I4" s="262" t="s">
        <v>623</v>
      </c>
      <c r="J4" s="262" t="s">
        <v>624</v>
      </c>
      <c r="K4" s="262" t="s">
        <v>625</v>
      </c>
      <c r="L4" s="262" t="s">
        <v>626</v>
      </c>
      <c r="M4" s="262" t="s">
        <v>1095</v>
      </c>
      <c r="N4" s="262" t="s">
        <v>887</v>
      </c>
      <c r="O4" s="262" t="s">
        <v>627</v>
      </c>
      <c r="P4" s="262" t="s">
        <v>628</v>
      </c>
      <c r="Q4" s="262" t="s">
        <v>629</v>
      </c>
      <c r="R4" s="262" t="s">
        <v>1096</v>
      </c>
      <c r="S4" s="262" t="s">
        <v>646</v>
      </c>
      <c r="T4" s="262" t="s">
        <v>630</v>
      </c>
      <c r="U4" s="262" t="s">
        <v>631</v>
      </c>
      <c r="V4" s="262" t="s">
        <v>1097</v>
      </c>
      <c r="W4" s="262" t="s">
        <v>632</v>
      </c>
      <c r="X4" s="262" t="s">
        <v>633</v>
      </c>
      <c r="Y4" s="262" t="s">
        <v>1099</v>
      </c>
      <c r="Z4" s="262" t="s">
        <v>1105</v>
      </c>
      <c r="AA4" s="262" t="s">
        <v>1107</v>
      </c>
      <c r="AB4" s="262" t="s">
        <v>1100</v>
      </c>
      <c r="AC4" s="262" t="s">
        <v>1106</v>
      </c>
      <c r="AD4" s="262" t="s">
        <v>1108</v>
      </c>
      <c r="AE4" s="262" t="s">
        <v>1101</v>
      </c>
      <c r="AF4" s="262" t="s">
        <v>1103</v>
      </c>
      <c r="AG4" s="262" t="s">
        <v>1104</v>
      </c>
      <c r="AH4" s="262" t="s">
        <v>1109</v>
      </c>
      <c r="AI4" s="262" t="s">
        <v>1102</v>
      </c>
      <c r="AJ4" s="262" t="s">
        <v>1110</v>
      </c>
    </row>
    <row r="5" spans="1:36" ht="13" x14ac:dyDescent="0.25">
      <c r="A5" s="56" t="s">
        <v>8</v>
      </c>
      <c r="B5" s="102" t="s">
        <v>0</v>
      </c>
      <c r="C5" s="145"/>
      <c r="D5" s="145"/>
      <c r="E5" s="145"/>
      <c r="F5" s="145"/>
      <c r="G5" s="145"/>
      <c r="H5" s="145"/>
      <c r="I5" s="145"/>
      <c r="J5" s="145"/>
      <c r="K5" s="145"/>
      <c r="L5" s="145"/>
      <c r="M5" s="145"/>
      <c r="N5" s="145"/>
      <c r="O5" s="145"/>
      <c r="P5" s="145"/>
      <c r="Q5" s="145"/>
      <c r="R5" s="145"/>
      <c r="S5" s="145"/>
      <c r="T5" s="145"/>
      <c r="U5" s="145"/>
      <c r="V5" s="145"/>
      <c r="W5" s="145"/>
      <c r="X5" s="145"/>
      <c r="Y5" s="145"/>
      <c r="Z5" s="145"/>
      <c r="AA5" s="145"/>
      <c r="AB5" s="145"/>
      <c r="AC5" s="145"/>
      <c r="AD5" s="145"/>
      <c r="AE5" s="145"/>
      <c r="AF5" s="145"/>
      <c r="AG5" s="145"/>
      <c r="AH5" s="145"/>
      <c r="AI5" s="145"/>
      <c r="AJ5" s="145"/>
    </row>
    <row r="6" spans="1:36" x14ac:dyDescent="0.25">
      <c r="A6" s="66" t="s">
        <v>6</v>
      </c>
      <c r="B6" s="103" t="s">
        <v>516</v>
      </c>
      <c r="C6" s="151" t="s">
        <v>609</v>
      </c>
      <c r="D6" s="151" t="s">
        <v>613</v>
      </c>
      <c r="E6" s="151" t="s">
        <v>612</v>
      </c>
      <c r="F6" s="151" t="s">
        <v>610</v>
      </c>
      <c r="G6" s="151" t="s">
        <v>609</v>
      </c>
      <c r="H6" s="151" t="s">
        <v>613</v>
      </c>
      <c r="I6" s="151" t="s">
        <v>616</v>
      </c>
      <c r="J6" s="151" t="s">
        <v>615</v>
      </c>
      <c r="K6" s="151" t="s">
        <v>610</v>
      </c>
      <c r="L6" s="151" t="s">
        <v>609</v>
      </c>
      <c r="M6" s="151" t="s">
        <v>613</v>
      </c>
      <c r="N6" s="151" t="s">
        <v>612</v>
      </c>
      <c r="O6" s="151" t="s">
        <v>615</v>
      </c>
      <c r="P6" s="151" t="s">
        <v>610</v>
      </c>
      <c r="Q6" s="151" t="s">
        <v>609</v>
      </c>
      <c r="R6" s="151" t="s">
        <v>613</v>
      </c>
      <c r="S6" s="151" t="s">
        <v>612</v>
      </c>
      <c r="T6" s="151" t="s">
        <v>615</v>
      </c>
      <c r="U6" s="151" t="s">
        <v>610</v>
      </c>
      <c r="V6" s="151" t="s">
        <v>610</v>
      </c>
      <c r="W6" s="151" t="s">
        <v>609</v>
      </c>
      <c r="X6" s="151" t="s">
        <v>610</v>
      </c>
      <c r="Y6" s="151" t="s">
        <v>673</v>
      </c>
      <c r="Z6" s="151" t="s">
        <v>1093</v>
      </c>
      <c r="AA6" s="151" t="s">
        <v>674</v>
      </c>
      <c r="AB6" s="151" t="s">
        <v>673</v>
      </c>
      <c r="AC6" s="151" t="s">
        <v>1093</v>
      </c>
      <c r="AD6" s="151" t="s">
        <v>674</v>
      </c>
      <c r="AE6" s="151" t="s">
        <v>673</v>
      </c>
      <c r="AF6" s="151" t="s">
        <v>1091</v>
      </c>
      <c r="AG6" s="151" t="s">
        <v>1092</v>
      </c>
      <c r="AH6" s="151" t="s">
        <v>674</v>
      </c>
      <c r="AI6" s="151" t="s">
        <v>673</v>
      </c>
      <c r="AJ6" s="151" t="s">
        <v>674</v>
      </c>
    </row>
    <row r="7" spans="1:36" x14ac:dyDescent="0.25">
      <c r="A7" s="66" t="s">
        <v>6</v>
      </c>
      <c r="B7" s="103" t="s">
        <v>53</v>
      </c>
      <c r="C7" s="151" t="s">
        <v>457</v>
      </c>
      <c r="D7" s="151" t="s">
        <v>468</v>
      </c>
      <c r="E7" s="151" t="s">
        <v>469</v>
      </c>
      <c r="F7" s="151" t="s">
        <v>608</v>
      </c>
      <c r="G7" s="151" t="s">
        <v>457</v>
      </c>
      <c r="H7" s="151" t="s">
        <v>468</v>
      </c>
      <c r="I7" s="151" t="s">
        <v>470</v>
      </c>
      <c r="J7" s="151" t="s">
        <v>614</v>
      </c>
      <c r="K7" s="151" t="s">
        <v>608</v>
      </c>
      <c r="L7" s="151" t="s">
        <v>457</v>
      </c>
      <c r="M7" s="151" t="s">
        <v>468</v>
      </c>
      <c r="N7" s="151" t="s">
        <v>469</v>
      </c>
      <c r="O7" s="151" t="s">
        <v>614</v>
      </c>
      <c r="P7" s="151" t="s">
        <v>608</v>
      </c>
      <c r="Q7" s="151" t="s">
        <v>457</v>
      </c>
      <c r="R7" s="151" t="s">
        <v>468</v>
      </c>
      <c r="S7" s="151" t="s">
        <v>469</v>
      </c>
      <c r="T7" s="151" t="s">
        <v>614</v>
      </c>
      <c r="U7" s="151" t="s">
        <v>608</v>
      </c>
      <c r="V7" s="151" t="s">
        <v>608</v>
      </c>
      <c r="W7" s="151" t="s">
        <v>457</v>
      </c>
      <c r="X7" s="151" t="s">
        <v>608</v>
      </c>
      <c r="Y7" s="151" t="s">
        <v>457</v>
      </c>
      <c r="Z7" s="151" t="s">
        <v>614</v>
      </c>
      <c r="AA7" s="151" t="s">
        <v>608</v>
      </c>
      <c r="AB7" s="151" t="s">
        <v>457</v>
      </c>
      <c r="AC7" s="151" t="s">
        <v>614</v>
      </c>
      <c r="AD7" s="151" t="s">
        <v>608</v>
      </c>
      <c r="AE7" s="151" t="s">
        <v>457</v>
      </c>
      <c r="AF7" s="151" t="s">
        <v>468</v>
      </c>
      <c r="AG7" s="151" t="s">
        <v>469</v>
      </c>
      <c r="AH7" s="151" t="s">
        <v>608</v>
      </c>
      <c r="AI7" s="151" t="s">
        <v>457</v>
      </c>
      <c r="AJ7" s="151" t="s">
        <v>608</v>
      </c>
    </row>
    <row r="8" spans="1:36" x14ac:dyDescent="0.25">
      <c r="A8" s="66" t="s">
        <v>48</v>
      </c>
      <c r="B8" s="103" t="s">
        <v>54</v>
      </c>
      <c r="C8" s="151" t="s">
        <v>48</v>
      </c>
      <c r="D8" s="151" t="s">
        <v>48</v>
      </c>
      <c r="E8" s="151" t="s">
        <v>48</v>
      </c>
      <c r="F8" s="151" t="s">
        <v>48</v>
      </c>
      <c r="G8" s="151" t="s">
        <v>48</v>
      </c>
      <c r="H8" s="151" t="s">
        <v>48</v>
      </c>
      <c r="I8" s="151" t="s">
        <v>48</v>
      </c>
      <c r="J8" s="151" t="s">
        <v>48</v>
      </c>
      <c r="K8" s="151" t="s">
        <v>48</v>
      </c>
      <c r="L8" s="151" t="s">
        <v>48</v>
      </c>
      <c r="M8" s="151" t="s">
        <v>48</v>
      </c>
      <c r="N8" s="151" t="s">
        <v>48</v>
      </c>
      <c r="O8" s="151" t="s">
        <v>48</v>
      </c>
      <c r="P8" s="151" t="s">
        <v>48</v>
      </c>
      <c r="Q8" s="151" t="s">
        <v>48</v>
      </c>
      <c r="R8" s="151" t="s">
        <v>48</v>
      </c>
      <c r="S8" s="151" t="s">
        <v>48</v>
      </c>
      <c r="T8" s="151" t="s">
        <v>48</v>
      </c>
      <c r="U8" s="151" t="s">
        <v>48</v>
      </c>
      <c r="V8" s="151" t="s">
        <v>48</v>
      </c>
      <c r="W8" s="151" t="s">
        <v>48</v>
      </c>
      <c r="X8" s="151" t="s">
        <v>48</v>
      </c>
      <c r="Y8" s="151" t="s">
        <v>48</v>
      </c>
      <c r="Z8" s="151" t="s">
        <v>48</v>
      </c>
      <c r="AA8" s="151" t="s">
        <v>48</v>
      </c>
      <c r="AB8" s="151" t="s">
        <v>48</v>
      </c>
      <c r="AC8" s="151" t="s">
        <v>48</v>
      </c>
      <c r="AD8" s="151" t="s">
        <v>48</v>
      </c>
      <c r="AE8" s="151" t="s">
        <v>48</v>
      </c>
      <c r="AF8" s="151" t="s">
        <v>48</v>
      </c>
      <c r="AG8" s="151" t="s">
        <v>48</v>
      </c>
      <c r="AH8" s="151" t="s">
        <v>48</v>
      </c>
      <c r="AI8" s="151" t="s">
        <v>48</v>
      </c>
      <c r="AJ8" s="151" t="s">
        <v>48</v>
      </c>
    </row>
    <row r="9" spans="1:36" x14ac:dyDescent="0.25">
      <c r="A9" s="66" t="s">
        <v>51</v>
      </c>
      <c r="B9" s="103" t="s">
        <v>55</v>
      </c>
      <c r="C9" s="155" t="s">
        <v>51</v>
      </c>
      <c r="D9" s="155" t="s">
        <v>51</v>
      </c>
      <c r="E9" s="155" t="s">
        <v>51</v>
      </c>
      <c r="F9" s="155" t="s">
        <v>51</v>
      </c>
      <c r="G9" s="155" t="s">
        <v>51</v>
      </c>
      <c r="H9" s="155" t="s">
        <v>51</v>
      </c>
      <c r="I9" s="155" t="s">
        <v>51</v>
      </c>
      <c r="J9" s="155" t="s">
        <v>51</v>
      </c>
      <c r="K9" s="155" t="s">
        <v>51</v>
      </c>
      <c r="L9" s="155" t="s">
        <v>51</v>
      </c>
      <c r="M9" s="155" t="s">
        <v>51</v>
      </c>
      <c r="N9" s="155" t="s">
        <v>51</v>
      </c>
      <c r="O9" s="155" t="s">
        <v>51</v>
      </c>
      <c r="P9" s="155" t="s">
        <v>51</v>
      </c>
      <c r="Q9" s="155" t="s">
        <v>51</v>
      </c>
      <c r="R9" s="155" t="s">
        <v>51</v>
      </c>
      <c r="S9" s="155" t="s">
        <v>51</v>
      </c>
      <c r="T9" s="155" t="s">
        <v>51</v>
      </c>
      <c r="U9" s="155" t="s">
        <v>51</v>
      </c>
      <c r="V9" s="155" t="s">
        <v>51</v>
      </c>
      <c r="W9" s="155" t="s">
        <v>51</v>
      </c>
      <c r="X9" s="155" t="s">
        <v>51</v>
      </c>
      <c r="Y9" s="155" t="s">
        <v>51</v>
      </c>
      <c r="Z9" s="155" t="s">
        <v>51</v>
      </c>
      <c r="AA9" s="155" t="s">
        <v>51</v>
      </c>
      <c r="AB9" s="155" t="s">
        <v>51</v>
      </c>
      <c r="AC9" s="155" t="s">
        <v>51</v>
      </c>
      <c r="AD9" s="155" t="s">
        <v>51</v>
      </c>
      <c r="AE9" s="155" t="s">
        <v>51</v>
      </c>
      <c r="AF9" s="155" t="s">
        <v>51</v>
      </c>
      <c r="AG9" s="155" t="s">
        <v>51</v>
      </c>
      <c r="AH9" s="155" t="s">
        <v>51</v>
      </c>
      <c r="AI9" s="155" t="s">
        <v>51</v>
      </c>
      <c r="AJ9" s="155" t="s">
        <v>51</v>
      </c>
    </row>
    <row r="10" spans="1:36" x14ac:dyDescent="0.25">
      <c r="A10" s="66">
        <v>0</v>
      </c>
      <c r="B10" s="103" t="s">
        <v>56</v>
      </c>
      <c r="C10" s="151">
        <v>3</v>
      </c>
      <c r="D10" s="151">
        <v>3</v>
      </c>
      <c r="E10" s="151">
        <v>3</v>
      </c>
      <c r="F10" s="151">
        <v>3</v>
      </c>
      <c r="G10" s="151">
        <v>5</v>
      </c>
      <c r="H10" s="151">
        <v>5</v>
      </c>
      <c r="I10" s="151">
        <v>5</v>
      </c>
      <c r="J10" s="151">
        <v>5</v>
      </c>
      <c r="K10" s="151">
        <v>5</v>
      </c>
      <c r="L10" s="151">
        <v>7</v>
      </c>
      <c r="M10" s="151">
        <v>7</v>
      </c>
      <c r="N10" s="151">
        <v>7</v>
      </c>
      <c r="O10" s="151">
        <v>7</v>
      </c>
      <c r="P10" s="151">
        <v>7</v>
      </c>
      <c r="Q10" s="151">
        <v>10</v>
      </c>
      <c r="R10" s="151">
        <v>10</v>
      </c>
      <c r="S10" s="151">
        <v>10</v>
      </c>
      <c r="T10" s="151">
        <v>10</v>
      </c>
      <c r="U10" s="151">
        <v>10</v>
      </c>
      <c r="V10" s="151">
        <v>20</v>
      </c>
      <c r="W10" s="151">
        <v>30</v>
      </c>
      <c r="X10" s="151">
        <v>30</v>
      </c>
      <c r="Y10" s="151">
        <v>5</v>
      </c>
      <c r="Z10" s="151">
        <v>5</v>
      </c>
      <c r="AA10" s="151">
        <v>5</v>
      </c>
      <c r="AB10" s="151">
        <v>7</v>
      </c>
      <c r="AC10" s="151">
        <v>7</v>
      </c>
      <c r="AD10" s="151">
        <v>7</v>
      </c>
      <c r="AE10" s="151">
        <v>10</v>
      </c>
      <c r="AF10" s="151">
        <v>10</v>
      </c>
      <c r="AG10" s="151">
        <v>10</v>
      </c>
      <c r="AH10" s="151">
        <v>10</v>
      </c>
      <c r="AI10" s="151">
        <v>30</v>
      </c>
      <c r="AJ10" s="151">
        <v>30</v>
      </c>
    </row>
    <row r="11" spans="1:36" x14ac:dyDescent="0.25">
      <c r="A11" s="70">
        <v>1</v>
      </c>
      <c r="B11" s="130" t="s">
        <v>553</v>
      </c>
      <c r="C11" s="121">
        <v>1</v>
      </c>
      <c r="D11" s="121">
        <v>1</v>
      </c>
      <c r="E11" s="121">
        <v>1</v>
      </c>
      <c r="F11" s="121">
        <v>1</v>
      </c>
      <c r="G11" s="121">
        <v>1</v>
      </c>
      <c r="H11" s="121">
        <v>1</v>
      </c>
      <c r="I11" s="121">
        <v>1</v>
      </c>
      <c r="J11" s="121">
        <v>1</v>
      </c>
      <c r="K11" s="121">
        <v>1</v>
      </c>
      <c r="L11" s="121">
        <v>1</v>
      </c>
      <c r="M11" s="121">
        <v>1</v>
      </c>
      <c r="N11" s="121">
        <v>1</v>
      </c>
      <c r="O11" s="121">
        <v>1</v>
      </c>
      <c r="P11" s="121">
        <v>1</v>
      </c>
      <c r="Q11" s="121">
        <v>1</v>
      </c>
      <c r="R11" s="121">
        <v>1</v>
      </c>
      <c r="S11" s="121">
        <v>1</v>
      </c>
      <c r="T11" s="121">
        <v>1</v>
      </c>
      <c r="U11" s="121">
        <v>1</v>
      </c>
      <c r="V11" s="121">
        <v>1</v>
      </c>
      <c r="W11" s="121">
        <v>1</v>
      </c>
      <c r="X11" s="121">
        <v>1</v>
      </c>
      <c r="Y11" s="121">
        <v>1</v>
      </c>
      <c r="Z11" s="121">
        <v>1</v>
      </c>
      <c r="AA11" s="121">
        <v>1</v>
      </c>
      <c r="AB11" s="121">
        <v>1</v>
      </c>
      <c r="AC11" s="121">
        <v>1</v>
      </c>
      <c r="AD11" s="121">
        <v>1</v>
      </c>
      <c r="AE11" s="121">
        <v>1</v>
      </c>
      <c r="AF11" s="121">
        <v>1</v>
      </c>
      <c r="AG11" s="121">
        <v>1</v>
      </c>
      <c r="AH11" s="121">
        <v>1</v>
      </c>
      <c r="AI11" s="121">
        <v>1</v>
      </c>
      <c r="AJ11" s="121">
        <v>1</v>
      </c>
    </row>
    <row r="12" spans="1:36" x14ac:dyDescent="0.25">
      <c r="A12" s="66" t="s">
        <v>86</v>
      </c>
      <c r="B12" s="103" t="s">
        <v>57</v>
      </c>
      <c r="C12" s="227" t="s">
        <v>151</v>
      </c>
      <c r="D12" s="227" t="s">
        <v>151</v>
      </c>
      <c r="E12" s="227" t="s">
        <v>151</v>
      </c>
      <c r="F12" s="227" t="s">
        <v>151</v>
      </c>
      <c r="G12" s="227" t="s">
        <v>151</v>
      </c>
      <c r="H12" s="227" t="s">
        <v>151</v>
      </c>
      <c r="I12" s="227" t="s">
        <v>151</v>
      </c>
      <c r="J12" s="227" t="s">
        <v>151</v>
      </c>
      <c r="K12" s="227" t="s">
        <v>151</v>
      </c>
      <c r="L12" s="227" t="s">
        <v>151</v>
      </c>
      <c r="M12" s="227" t="s">
        <v>151</v>
      </c>
      <c r="N12" s="227" t="s">
        <v>151</v>
      </c>
      <c r="O12" s="227" t="s">
        <v>151</v>
      </c>
      <c r="P12" s="227" t="s">
        <v>151</v>
      </c>
      <c r="Q12" s="227" t="s">
        <v>151</v>
      </c>
      <c r="R12" s="227" t="s">
        <v>151</v>
      </c>
      <c r="S12" s="227" t="s">
        <v>151</v>
      </c>
      <c r="T12" s="227" t="s">
        <v>151</v>
      </c>
      <c r="U12" s="227" t="s">
        <v>151</v>
      </c>
      <c r="V12" s="227" t="s">
        <v>151</v>
      </c>
      <c r="W12" s="227" t="s">
        <v>151</v>
      </c>
      <c r="X12" s="227" t="s">
        <v>151</v>
      </c>
      <c r="Y12" s="227" t="s">
        <v>151</v>
      </c>
      <c r="Z12" s="227" t="s">
        <v>151</v>
      </c>
      <c r="AA12" s="227" t="s">
        <v>151</v>
      </c>
      <c r="AB12" s="227" t="s">
        <v>151</v>
      </c>
      <c r="AC12" s="227" t="s">
        <v>151</v>
      </c>
      <c r="AD12" s="227" t="s">
        <v>151</v>
      </c>
      <c r="AE12" s="227" t="s">
        <v>151</v>
      </c>
      <c r="AF12" s="227" t="s">
        <v>151</v>
      </c>
      <c r="AG12" s="227" t="s">
        <v>151</v>
      </c>
      <c r="AH12" s="227" t="s">
        <v>151</v>
      </c>
      <c r="AI12" s="227" t="s">
        <v>151</v>
      </c>
      <c r="AJ12" s="227" t="s">
        <v>151</v>
      </c>
    </row>
    <row r="13" spans="1:36" x14ac:dyDescent="0.25">
      <c r="A13" s="66" t="s">
        <v>87</v>
      </c>
      <c r="B13" s="103" t="s">
        <v>58</v>
      </c>
      <c r="C13" s="151" t="s">
        <v>87</v>
      </c>
      <c r="D13" s="151" t="s">
        <v>87</v>
      </c>
      <c r="E13" s="151" t="s">
        <v>87</v>
      </c>
      <c r="F13" s="151" t="s">
        <v>87</v>
      </c>
      <c r="G13" s="151" t="s">
        <v>87</v>
      </c>
      <c r="H13" s="151" t="s">
        <v>87</v>
      </c>
      <c r="I13" s="151" t="s">
        <v>87</v>
      </c>
      <c r="J13" s="151" t="s">
        <v>87</v>
      </c>
      <c r="K13" s="151" t="s">
        <v>87</v>
      </c>
      <c r="L13" s="151" t="s">
        <v>87</v>
      </c>
      <c r="M13" s="151" t="s">
        <v>87</v>
      </c>
      <c r="N13" s="151" t="s">
        <v>87</v>
      </c>
      <c r="O13" s="151" t="s">
        <v>87</v>
      </c>
      <c r="P13" s="151" t="s">
        <v>87</v>
      </c>
      <c r="Q13" s="151" t="s">
        <v>87</v>
      </c>
      <c r="R13" s="151" t="s">
        <v>87</v>
      </c>
      <c r="S13" s="151" t="s">
        <v>87</v>
      </c>
      <c r="T13" s="151" t="s">
        <v>87</v>
      </c>
      <c r="U13" s="151" t="s">
        <v>87</v>
      </c>
      <c r="V13" s="151" t="s">
        <v>87</v>
      </c>
      <c r="W13" s="151" t="s">
        <v>87</v>
      </c>
      <c r="X13" s="151" t="s">
        <v>87</v>
      </c>
      <c r="Y13" s="151" t="s">
        <v>87</v>
      </c>
      <c r="Z13" s="151" t="s">
        <v>87</v>
      </c>
      <c r="AA13" s="151" t="s">
        <v>87</v>
      </c>
      <c r="AB13" s="151" t="s">
        <v>87</v>
      </c>
      <c r="AC13" s="151" t="s">
        <v>87</v>
      </c>
      <c r="AD13" s="151" t="s">
        <v>87</v>
      </c>
      <c r="AE13" s="151" t="s">
        <v>87</v>
      </c>
      <c r="AF13" s="151" t="s">
        <v>87</v>
      </c>
      <c r="AG13" s="151" t="s">
        <v>87</v>
      </c>
      <c r="AH13" s="151" t="s">
        <v>87</v>
      </c>
      <c r="AI13" s="151" t="s">
        <v>87</v>
      </c>
      <c r="AJ13" s="151" t="s">
        <v>87</v>
      </c>
    </row>
    <row r="14" spans="1:36" x14ac:dyDescent="0.25">
      <c r="A14" s="70">
        <v>0</v>
      </c>
      <c r="B14" s="130" t="s">
        <v>59</v>
      </c>
      <c r="C14" s="121">
        <v>0</v>
      </c>
      <c r="D14" s="121">
        <v>0</v>
      </c>
      <c r="E14" s="121">
        <v>0</v>
      </c>
      <c r="F14" s="121">
        <v>0</v>
      </c>
      <c r="G14" s="121">
        <v>0</v>
      </c>
      <c r="H14" s="121">
        <v>0</v>
      </c>
      <c r="I14" s="121">
        <v>0</v>
      </c>
      <c r="J14" s="121">
        <v>0</v>
      </c>
      <c r="K14" s="121">
        <v>0</v>
      </c>
      <c r="L14" s="121">
        <v>0</v>
      </c>
      <c r="M14" s="121">
        <v>0</v>
      </c>
      <c r="N14" s="121">
        <v>0</v>
      </c>
      <c r="O14" s="121">
        <v>0</v>
      </c>
      <c r="P14" s="121">
        <v>0</v>
      </c>
      <c r="Q14" s="121">
        <v>0</v>
      </c>
      <c r="R14" s="121">
        <v>0</v>
      </c>
      <c r="S14" s="121">
        <v>0</v>
      </c>
      <c r="T14" s="121">
        <v>0</v>
      </c>
      <c r="U14" s="121">
        <v>0</v>
      </c>
      <c r="V14" s="121">
        <v>0</v>
      </c>
      <c r="W14" s="121">
        <v>0</v>
      </c>
      <c r="X14" s="121">
        <v>0</v>
      </c>
      <c r="Y14" s="121">
        <v>0</v>
      </c>
      <c r="Z14" s="121">
        <v>0</v>
      </c>
      <c r="AA14" s="121">
        <v>0</v>
      </c>
      <c r="AB14" s="121">
        <v>0</v>
      </c>
      <c r="AC14" s="121">
        <v>0</v>
      </c>
      <c r="AD14" s="121">
        <v>0</v>
      </c>
      <c r="AE14" s="121">
        <v>0</v>
      </c>
      <c r="AF14" s="121">
        <v>0</v>
      </c>
      <c r="AG14" s="121">
        <v>0</v>
      </c>
      <c r="AH14" s="121">
        <v>0</v>
      </c>
      <c r="AI14" s="121">
        <v>0</v>
      </c>
      <c r="AJ14" s="121">
        <v>0</v>
      </c>
    </row>
    <row r="15" spans="1:36" x14ac:dyDescent="0.25">
      <c r="A15" s="70" t="s">
        <v>52</v>
      </c>
      <c r="B15" s="103" t="s">
        <v>512</v>
      </c>
      <c r="C15" s="227" t="s">
        <v>457</v>
      </c>
      <c r="D15" s="227" t="s">
        <v>468</v>
      </c>
      <c r="E15" s="227" t="s">
        <v>469</v>
      </c>
      <c r="F15" s="227" t="s">
        <v>608</v>
      </c>
      <c r="G15" s="227" t="s">
        <v>457</v>
      </c>
      <c r="H15" s="227" t="s">
        <v>468</v>
      </c>
      <c r="I15" s="227" t="s">
        <v>470</v>
      </c>
      <c r="J15" s="227" t="s">
        <v>614</v>
      </c>
      <c r="K15" s="227" t="s">
        <v>608</v>
      </c>
      <c r="L15" s="227" t="s">
        <v>457</v>
      </c>
      <c r="M15" s="227" t="s">
        <v>468</v>
      </c>
      <c r="N15" s="227" t="s">
        <v>469</v>
      </c>
      <c r="O15" s="227" t="s">
        <v>614</v>
      </c>
      <c r="P15" s="227" t="s">
        <v>608</v>
      </c>
      <c r="Q15" s="227" t="s">
        <v>457</v>
      </c>
      <c r="R15" s="227" t="s">
        <v>468</v>
      </c>
      <c r="S15" s="227" t="s">
        <v>469</v>
      </c>
      <c r="T15" s="227" t="s">
        <v>614</v>
      </c>
      <c r="U15" s="227" t="s">
        <v>608</v>
      </c>
      <c r="V15" s="227" t="s">
        <v>608</v>
      </c>
      <c r="W15" s="227" t="s">
        <v>457</v>
      </c>
      <c r="X15" s="227" t="s">
        <v>608</v>
      </c>
      <c r="Y15" s="227" t="s">
        <v>457</v>
      </c>
      <c r="Z15" s="227" t="s">
        <v>614</v>
      </c>
      <c r="AA15" s="227" t="s">
        <v>608</v>
      </c>
      <c r="AB15" s="227" t="s">
        <v>457</v>
      </c>
      <c r="AC15" s="227" t="s">
        <v>614</v>
      </c>
      <c r="AD15" s="227" t="s">
        <v>608</v>
      </c>
      <c r="AE15" s="227" t="s">
        <v>457</v>
      </c>
      <c r="AF15" s="227" t="s">
        <v>468</v>
      </c>
      <c r="AG15" s="227" t="s">
        <v>469</v>
      </c>
      <c r="AH15" s="227" t="s">
        <v>608</v>
      </c>
      <c r="AI15" s="227" t="s">
        <v>457</v>
      </c>
      <c r="AJ15" s="227" t="s">
        <v>608</v>
      </c>
    </row>
    <row r="16" spans="1:36" x14ac:dyDescent="0.25">
      <c r="A16" s="66">
        <v>0.25</v>
      </c>
      <c r="B16" s="103" t="s">
        <v>60</v>
      </c>
      <c r="C16" s="228">
        <v>3</v>
      </c>
      <c r="D16" s="228">
        <v>3</v>
      </c>
      <c r="E16" s="228">
        <v>3</v>
      </c>
      <c r="F16" s="228">
        <v>3</v>
      </c>
      <c r="G16" s="228">
        <v>5</v>
      </c>
      <c r="H16" s="228">
        <v>5</v>
      </c>
      <c r="I16" s="228">
        <v>5</v>
      </c>
      <c r="J16" s="228">
        <v>5</v>
      </c>
      <c r="K16" s="228">
        <v>5</v>
      </c>
      <c r="L16" s="228">
        <v>7</v>
      </c>
      <c r="M16" s="228">
        <v>7</v>
      </c>
      <c r="N16" s="228">
        <v>7</v>
      </c>
      <c r="O16" s="228">
        <v>7</v>
      </c>
      <c r="P16" s="228">
        <v>7</v>
      </c>
      <c r="Q16" s="228">
        <v>10</v>
      </c>
      <c r="R16" s="228">
        <v>10</v>
      </c>
      <c r="S16" s="228">
        <v>10</v>
      </c>
      <c r="T16" s="228">
        <v>10</v>
      </c>
      <c r="U16" s="228">
        <v>10</v>
      </c>
      <c r="V16" s="228">
        <v>20</v>
      </c>
      <c r="W16" s="228">
        <v>30</v>
      </c>
      <c r="X16" s="228">
        <v>30</v>
      </c>
      <c r="Y16" s="228">
        <v>5</v>
      </c>
      <c r="Z16" s="228">
        <v>5</v>
      </c>
      <c r="AA16" s="228">
        <v>5</v>
      </c>
      <c r="AB16" s="228">
        <v>7</v>
      </c>
      <c r="AC16" s="228">
        <v>7</v>
      </c>
      <c r="AD16" s="228">
        <v>7</v>
      </c>
      <c r="AE16" s="228">
        <v>10</v>
      </c>
      <c r="AF16" s="228">
        <v>10</v>
      </c>
      <c r="AG16" s="228">
        <v>10</v>
      </c>
      <c r="AH16" s="228">
        <v>10</v>
      </c>
      <c r="AI16" s="228">
        <v>30</v>
      </c>
      <c r="AJ16" s="228">
        <v>30</v>
      </c>
    </row>
    <row r="17" spans="1:36" x14ac:dyDescent="0.25">
      <c r="A17" s="68">
        <v>1</v>
      </c>
      <c r="B17" s="131" t="s">
        <v>61</v>
      </c>
      <c r="C17" s="155">
        <v>1</v>
      </c>
      <c r="D17" s="155">
        <v>1</v>
      </c>
      <c r="E17" s="155">
        <v>1</v>
      </c>
      <c r="F17" s="155">
        <v>1</v>
      </c>
      <c r="G17" s="155">
        <v>1</v>
      </c>
      <c r="H17" s="155">
        <v>1</v>
      </c>
      <c r="I17" s="155">
        <v>1</v>
      </c>
      <c r="J17" s="155">
        <v>1</v>
      </c>
      <c r="K17" s="155">
        <v>1</v>
      </c>
      <c r="L17" s="155">
        <v>1</v>
      </c>
      <c r="M17" s="155">
        <v>1</v>
      </c>
      <c r="N17" s="155">
        <v>1</v>
      </c>
      <c r="O17" s="155">
        <v>1</v>
      </c>
      <c r="P17" s="155">
        <v>1</v>
      </c>
      <c r="Q17" s="155">
        <v>1</v>
      </c>
      <c r="R17" s="155">
        <v>1</v>
      </c>
      <c r="S17" s="155">
        <v>1</v>
      </c>
      <c r="T17" s="155">
        <v>1</v>
      </c>
      <c r="U17" s="155">
        <v>1</v>
      </c>
      <c r="V17" s="155">
        <v>1</v>
      </c>
      <c r="W17" s="155">
        <v>1</v>
      </c>
      <c r="X17" s="155">
        <v>1</v>
      </c>
      <c r="Y17" s="155">
        <v>1</v>
      </c>
      <c r="Z17" s="155">
        <v>1</v>
      </c>
      <c r="AA17" s="155">
        <v>1</v>
      </c>
      <c r="AB17" s="155">
        <v>1</v>
      </c>
      <c r="AC17" s="155">
        <v>1</v>
      </c>
      <c r="AD17" s="155">
        <v>1</v>
      </c>
      <c r="AE17" s="155">
        <v>1</v>
      </c>
      <c r="AF17" s="155">
        <v>1</v>
      </c>
      <c r="AG17" s="155">
        <v>1</v>
      </c>
      <c r="AH17" s="155">
        <v>1</v>
      </c>
      <c r="AI17" s="155">
        <v>1</v>
      </c>
      <c r="AJ17" s="155">
        <v>1</v>
      </c>
    </row>
    <row r="18" spans="1:36" x14ac:dyDescent="0.25">
      <c r="A18" s="70">
        <v>0</v>
      </c>
      <c r="B18" s="130" t="s">
        <v>662</v>
      </c>
      <c r="C18" s="121">
        <v>0</v>
      </c>
      <c r="D18" s="121">
        <v>0</v>
      </c>
      <c r="E18" s="121">
        <v>0</v>
      </c>
      <c r="F18" s="121">
        <v>0</v>
      </c>
      <c r="G18" s="121">
        <v>0</v>
      </c>
      <c r="H18" s="121">
        <v>0</v>
      </c>
      <c r="I18" s="121">
        <v>0</v>
      </c>
      <c r="J18" s="121">
        <v>0</v>
      </c>
      <c r="K18" s="121">
        <v>0</v>
      </c>
      <c r="L18" s="121">
        <v>0</v>
      </c>
      <c r="M18" s="121">
        <v>0</v>
      </c>
      <c r="N18" s="121">
        <v>0</v>
      </c>
      <c r="O18" s="121">
        <v>0</v>
      </c>
      <c r="P18" s="121">
        <v>0</v>
      </c>
      <c r="Q18" s="121">
        <v>0</v>
      </c>
      <c r="R18" s="121">
        <v>0</v>
      </c>
      <c r="S18" s="121">
        <v>0</v>
      </c>
      <c r="T18" s="121">
        <v>0</v>
      </c>
      <c r="U18" s="121">
        <v>0</v>
      </c>
      <c r="V18" s="121">
        <v>0</v>
      </c>
      <c r="W18" s="121">
        <v>0</v>
      </c>
      <c r="X18" s="121">
        <v>0</v>
      </c>
      <c r="Y18" s="121">
        <v>0</v>
      </c>
      <c r="Z18" s="121">
        <v>0</v>
      </c>
      <c r="AA18" s="121">
        <v>0</v>
      </c>
      <c r="AB18" s="121">
        <v>0</v>
      </c>
      <c r="AC18" s="121">
        <v>0</v>
      </c>
      <c r="AD18" s="121">
        <v>0</v>
      </c>
      <c r="AE18" s="121">
        <v>0</v>
      </c>
      <c r="AF18" s="121">
        <v>0</v>
      </c>
      <c r="AG18" s="121">
        <v>0</v>
      </c>
      <c r="AH18" s="121">
        <v>0</v>
      </c>
      <c r="AI18" s="121">
        <v>0</v>
      </c>
      <c r="AJ18" s="121">
        <v>0</v>
      </c>
    </row>
    <row r="19" spans="1:36" x14ac:dyDescent="0.25">
      <c r="A19" s="70">
        <v>0</v>
      </c>
      <c r="B19" s="130" t="s">
        <v>62</v>
      </c>
      <c r="C19" s="121">
        <v>0</v>
      </c>
      <c r="D19" s="121">
        <v>0</v>
      </c>
      <c r="E19" s="121">
        <v>0</v>
      </c>
      <c r="F19" s="121">
        <v>0</v>
      </c>
      <c r="G19" s="121">
        <v>0</v>
      </c>
      <c r="H19" s="121">
        <v>0</v>
      </c>
      <c r="I19" s="121">
        <v>0</v>
      </c>
      <c r="J19" s="121">
        <v>0</v>
      </c>
      <c r="K19" s="121">
        <v>0</v>
      </c>
      <c r="L19" s="121">
        <v>0</v>
      </c>
      <c r="M19" s="121">
        <v>0</v>
      </c>
      <c r="N19" s="121">
        <v>0</v>
      </c>
      <c r="O19" s="121">
        <v>0</v>
      </c>
      <c r="P19" s="121">
        <v>0</v>
      </c>
      <c r="Q19" s="121">
        <v>0</v>
      </c>
      <c r="R19" s="121">
        <v>0</v>
      </c>
      <c r="S19" s="121">
        <v>0</v>
      </c>
      <c r="T19" s="121">
        <v>0</v>
      </c>
      <c r="U19" s="121">
        <v>0</v>
      </c>
      <c r="V19" s="121">
        <v>0</v>
      </c>
      <c r="W19" s="121">
        <v>0</v>
      </c>
      <c r="X19" s="121">
        <v>0</v>
      </c>
      <c r="Y19" s="121">
        <v>0</v>
      </c>
      <c r="Z19" s="121">
        <v>0</v>
      </c>
      <c r="AA19" s="121">
        <v>0</v>
      </c>
      <c r="AB19" s="121">
        <v>0</v>
      </c>
      <c r="AC19" s="121">
        <v>0</v>
      </c>
      <c r="AD19" s="121">
        <v>0</v>
      </c>
      <c r="AE19" s="121">
        <v>0</v>
      </c>
      <c r="AF19" s="121">
        <v>0</v>
      </c>
      <c r="AG19" s="121">
        <v>0</v>
      </c>
      <c r="AH19" s="121">
        <v>0</v>
      </c>
      <c r="AI19" s="121">
        <v>0</v>
      </c>
      <c r="AJ19" s="121">
        <v>0</v>
      </c>
    </row>
    <row r="20" spans="1:36" x14ac:dyDescent="0.25">
      <c r="A20" s="66">
        <v>1</v>
      </c>
      <c r="B20" s="103" t="s">
        <v>63</v>
      </c>
      <c r="C20" s="151">
        <v>1</v>
      </c>
      <c r="D20" s="151">
        <v>1</v>
      </c>
      <c r="E20" s="151">
        <v>1</v>
      </c>
      <c r="F20" s="151">
        <v>1</v>
      </c>
      <c r="G20" s="151">
        <v>1</v>
      </c>
      <c r="H20" s="151">
        <v>1</v>
      </c>
      <c r="I20" s="151">
        <v>1</v>
      </c>
      <c r="J20" s="151">
        <v>1</v>
      </c>
      <c r="K20" s="151">
        <v>1</v>
      </c>
      <c r="L20" s="151">
        <v>1</v>
      </c>
      <c r="M20" s="151">
        <v>1</v>
      </c>
      <c r="N20" s="151">
        <v>1</v>
      </c>
      <c r="O20" s="151">
        <v>1</v>
      </c>
      <c r="P20" s="151">
        <v>1</v>
      </c>
      <c r="Q20" s="151">
        <v>1</v>
      </c>
      <c r="R20" s="151">
        <v>1</v>
      </c>
      <c r="S20" s="151">
        <v>1</v>
      </c>
      <c r="T20" s="151">
        <v>1</v>
      </c>
      <c r="U20" s="151">
        <v>1</v>
      </c>
      <c r="V20" s="151">
        <v>1</v>
      </c>
      <c r="W20" s="151">
        <v>1</v>
      </c>
      <c r="X20" s="151">
        <v>1</v>
      </c>
      <c r="Y20" s="151">
        <v>1</v>
      </c>
      <c r="Z20" s="151">
        <v>1</v>
      </c>
      <c r="AA20" s="151">
        <v>1</v>
      </c>
      <c r="AB20" s="151">
        <v>1</v>
      </c>
      <c r="AC20" s="151">
        <v>1</v>
      </c>
      <c r="AD20" s="151">
        <v>1</v>
      </c>
      <c r="AE20" s="151">
        <v>1</v>
      </c>
      <c r="AF20" s="151">
        <v>1</v>
      </c>
      <c r="AG20" s="151">
        <v>1</v>
      </c>
      <c r="AH20" s="151">
        <v>1</v>
      </c>
      <c r="AI20" s="151">
        <v>1</v>
      </c>
      <c r="AJ20" s="151">
        <v>1</v>
      </c>
    </row>
    <row r="21" spans="1:36" x14ac:dyDescent="0.25">
      <c r="A21" s="70">
        <v>1</v>
      </c>
      <c r="B21" s="130" t="s">
        <v>64</v>
      </c>
      <c r="C21" s="121">
        <v>1</v>
      </c>
      <c r="D21" s="121">
        <v>1</v>
      </c>
      <c r="E21" s="121">
        <v>1</v>
      </c>
      <c r="F21" s="121">
        <v>1</v>
      </c>
      <c r="G21" s="121">
        <v>1</v>
      </c>
      <c r="H21" s="121">
        <v>1</v>
      </c>
      <c r="I21" s="121">
        <v>1</v>
      </c>
      <c r="J21" s="121">
        <v>1</v>
      </c>
      <c r="K21" s="121">
        <v>1</v>
      </c>
      <c r="L21" s="121">
        <v>1</v>
      </c>
      <c r="M21" s="121">
        <v>1</v>
      </c>
      <c r="N21" s="121">
        <v>1</v>
      </c>
      <c r="O21" s="121">
        <v>1</v>
      </c>
      <c r="P21" s="121">
        <v>1</v>
      </c>
      <c r="Q21" s="121">
        <v>1</v>
      </c>
      <c r="R21" s="121">
        <v>1</v>
      </c>
      <c r="S21" s="121">
        <v>1</v>
      </c>
      <c r="T21" s="121">
        <v>1</v>
      </c>
      <c r="U21" s="121">
        <v>1</v>
      </c>
      <c r="V21" s="121">
        <v>1</v>
      </c>
      <c r="W21" s="121">
        <v>1</v>
      </c>
      <c r="X21" s="121">
        <v>1</v>
      </c>
      <c r="Y21" s="121">
        <v>1</v>
      </c>
      <c r="Z21" s="121">
        <v>1</v>
      </c>
      <c r="AA21" s="121">
        <v>1</v>
      </c>
      <c r="AB21" s="121">
        <v>1</v>
      </c>
      <c r="AC21" s="121">
        <v>1</v>
      </c>
      <c r="AD21" s="121">
        <v>1</v>
      </c>
      <c r="AE21" s="121">
        <v>1</v>
      </c>
      <c r="AF21" s="121">
        <v>1</v>
      </c>
      <c r="AG21" s="121">
        <v>1</v>
      </c>
      <c r="AH21" s="121">
        <v>1</v>
      </c>
      <c r="AI21" s="121">
        <v>1</v>
      </c>
      <c r="AJ21" s="121">
        <v>1</v>
      </c>
    </row>
    <row r="22" spans="1:36" x14ac:dyDescent="0.25">
      <c r="A22" s="70">
        <v>1</v>
      </c>
      <c r="B22" s="130" t="s">
        <v>65</v>
      </c>
      <c r="C22" s="121">
        <v>1</v>
      </c>
      <c r="D22" s="121">
        <v>1</v>
      </c>
      <c r="E22" s="121">
        <v>1</v>
      </c>
      <c r="F22" s="121">
        <v>1</v>
      </c>
      <c r="G22" s="121">
        <v>1</v>
      </c>
      <c r="H22" s="121">
        <v>1</v>
      </c>
      <c r="I22" s="121">
        <v>1</v>
      </c>
      <c r="J22" s="121">
        <v>1</v>
      </c>
      <c r="K22" s="121">
        <v>1</v>
      </c>
      <c r="L22" s="121">
        <v>1</v>
      </c>
      <c r="M22" s="121">
        <v>1</v>
      </c>
      <c r="N22" s="121">
        <v>1</v>
      </c>
      <c r="O22" s="121">
        <v>1</v>
      </c>
      <c r="P22" s="121">
        <v>1</v>
      </c>
      <c r="Q22" s="121">
        <v>1</v>
      </c>
      <c r="R22" s="121">
        <v>1</v>
      </c>
      <c r="S22" s="121">
        <v>1</v>
      </c>
      <c r="T22" s="121">
        <v>1</v>
      </c>
      <c r="U22" s="121">
        <v>1</v>
      </c>
      <c r="V22" s="121">
        <v>1</v>
      </c>
      <c r="W22" s="121">
        <v>1</v>
      </c>
      <c r="X22" s="121">
        <v>1</v>
      </c>
      <c r="Y22" s="121">
        <v>1</v>
      </c>
      <c r="Z22" s="121">
        <v>1</v>
      </c>
      <c r="AA22" s="121">
        <v>1</v>
      </c>
      <c r="AB22" s="121">
        <v>1</v>
      </c>
      <c r="AC22" s="121">
        <v>1</v>
      </c>
      <c r="AD22" s="121">
        <v>1</v>
      </c>
      <c r="AE22" s="121">
        <v>1</v>
      </c>
      <c r="AF22" s="121">
        <v>1</v>
      </c>
      <c r="AG22" s="121">
        <v>1</v>
      </c>
      <c r="AH22" s="121">
        <v>1</v>
      </c>
      <c r="AI22" s="121">
        <v>1</v>
      </c>
      <c r="AJ22" s="121">
        <v>1</v>
      </c>
    </row>
    <row r="23" spans="1:36" x14ac:dyDescent="0.25">
      <c r="A23" s="70">
        <v>1</v>
      </c>
      <c r="B23" s="130" t="s">
        <v>66</v>
      </c>
      <c r="C23" s="121">
        <v>1</v>
      </c>
      <c r="D23" s="121">
        <v>1</v>
      </c>
      <c r="E23" s="121">
        <v>1</v>
      </c>
      <c r="F23" s="121">
        <v>1</v>
      </c>
      <c r="G23" s="121">
        <v>1</v>
      </c>
      <c r="H23" s="121">
        <v>1</v>
      </c>
      <c r="I23" s="121">
        <v>1</v>
      </c>
      <c r="J23" s="121">
        <v>1</v>
      </c>
      <c r="K23" s="121">
        <v>1</v>
      </c>
      <c r="L23" s="121">
        <v>1</v>
      </c>
      <c r="M23" s="121">
        <v>1</v>
      </c>
      <c r="N23" s="121">
        <v>1</v>
      </c>
      <c r="O23" s="121">
        <v>1</v>
      </c>
      <c r="P23" s="121">
        <v>1</v>
      </c>
      <c r="Q23" s="121">
        <v>1</v>
      </c>
      <c r="R23" s="121">
        <v>1</v>
      </c>
      <c r="S23" s="121">
        <v>1</v>
      </c>
      <c r="T23" s="121">
        <v>1</v>
      </c>
      <c r="U23" s="121">
        <v>1</v>
      </c>
      <c r="V23" s="121">
        <v>1</v>
      </c>
      <c r="W23" s="121">
        <v>1</v>
      </c>
      <c r="X23" s="121">
        <v>1</v>
      </c>
      <c r="Y23" s="121">
        <v>1</v>
      </c>
      <c r="Z23" s="121">
        <v>1</v>
      </c>
      <c r="AA23" s="121">
        <v>1</v>
      </c>
      <c r="AB23" s="121">
        <v>1</v>
      </c>
      <c r="AC23" s="121">
        <v>1</v>
      </c>
      <c r="AD23" s="121">
        <v>1</v>
      </c>
      <c r="AE23" s="121">
        <v>1</v>
      </c>
      <c r="AF23" s="121">
        <v>1</v>
      </c>
      <c r="AG23" s="121">
        <v>1</v>
      </c>
      <c r="AH23" s="121">
        <v>1</v>
      </c>
      <c r="AI23" s="121">
        <v>1</v>
      </c>
      <c r="AJ23" s="121">
        <v>1</v>
      </c>
    </row>
    <row r="24" spans="1:36" x14ac:dyDescent="0.25">
      <c r="A24" s="70">
        <v>1</v>
      </c>
      <c r="B24" s="130" t="s">
        <v>67</v>
      </c>
      <c r="C24" s="121">
        <v>1</v>
      </c>
      <c r="D24" s="121">
        <v>1</v>
      </c>
      <c r="E24" s="121">
        <v>1</v>
      </c>
      <c r="F24" s="121">
        <v>1</v>
      </c>
      <c r="G24" s="121">
        <v>1</v>
      </c>
      <c r="H24" s="121">
        <v>1</v>
      </c>
      <c r="I24" s="121">
        <v>1</v>
      </c>
      <c r="J24" s="121">
        <v>1</v>
      </c>
      <c r="K24" s="121">
        <v>1</v>
      </c>
      <c r="L24" s="121">
        <v>1</v>
      </c>
      <c r="M24" s="121">
        <v>1</v>
      </c>
      <c r="N24" s="121">
        <v>1</v>
      </c>
      <c r="O24" s="121">
        <v>1</v>
      </c>
      <c r="P24" s="121">
        <v>1</v>
      </c>
      <c r="Q24" s="121">
        <v>1</v>
      </c>
      <c r="R24" s="121">
        <v>1</v>
      </c>
      <c r="S24" s="121">
        <v>1</v>
      </c>
      <c r="T24" s="121">
        <v>1</v>
      </c>
      <c r="U24" s="121">
        <v>1</v>
      </c>
      <c r="V24" s="121">
        <v>1</v>
      </c>
      <c r="W24" s="121">
        <v>1</v>
      </c>
      <c r="X24" s="121">
        <v>1</v>
      </c>
      <c r="Y24" s="121">
        <v>1</v>
      </c>
      <c r="Z24" s="121">
        <v>1</v>
      </c>
      <c r="AA24" s="121">
        <v>1</v>
      </c>
      <c r="AB24" s="121">
        <v>1</v>
      </c>
      <c r="AC24" s="121">
        <v>1</v>
      </c>
      <c r="AD24" s="121">
        <v>1</v>
      </c>
      <c r="AE24" s="121">
        <v>1</v>
      </c>
      <c r="AF24" s="121">
        <v>1</v>
      </c>
      <c r="AG24" s="121">
        <v>1</v>
      </c>
      <c r="AH24" s="121">
        <v>1</v>
      </c>
      <c r="AI24" s="121">
        <v>1</v>
      </c>
      <c r="AJ24" s="121">
        <v>1</v>
      </c>
    </row>
    <row r="25" spans="1:36" x14ac:dyDescent="0.25">
      <c r="A25" s="66" t="s">
        <v>88</v>
      </c>
      <c r="B25" s="103" t="s">
        <v>68</v>
      </c>
      <c r="C25" s="151" t="s">
        <v>88</v>
      </c>
      <c r="D25" s="151" t="s">
        <v>88</v>
      </c>
      <c r="E25" s="151" t="s">
        <v>88</v>
      </c>
      <c r="F25" s="151" t="s">
        <v>88</v>
      </c>
      <c r="G25" s="151" t="s">
        <v>88</v>
      </c>
      <c r="H25" s="151" t="s">
        <v>88</v>
      </c>
      <c r="I25" s="151" t="s">
        <v>88</v>
      </c>
      <c r="J25" s="151" t="s">
        <v>88</v>
      </c>
      <c r="K25" s="151" t="s">
        <v>88</v>
      </c>
      <c r="L25" s="151" t="s">
        <v>88</v>
      </c>
      <c r="M25" s="151" t="s">
        <v>88</v>
      </c>
      <c r="N25" s="151" t="s">
        <v>88</v>
      </c>
      <c r="O25" s="151" t="s">
        <v>88</v>
      </c>
      <c r="P25" s="151" t="s">
        <v>88</v>
      </c>
      <c r="Q25" s="151" t="s">
        <v>88</v>
      </c>
      <c r="R25" s="151" t="s">
        <v>88</v>
      </c>
      <c r="S25" s="151" t="s">
        <v>88</v>
      </c>
      <c r="T25" s="151" t="s">
        <v>88</v>
      </c>
      <c r="U25" s="151" t="s">
        <v>88</v>
      </c>
      <c r="V25" s="151" t="s">
        <v>88</v>
      </c>
      <c r="W25" s="151" t="s">
        <v>88</v>
      </c>
      <c r="X25" s="151" t="s">
        <v>88</v>
      </c>
      <c r="Y25" s="151" t="s">
        <v>88</v>
      </c>
      <c r="Z25" s="151" t="s">
        <v>88</v>
      </c>
      <c r="AA25" s="151" t="s">
        <v>88</v>
      </c>
      <c r="AB25" s="151" t="s">
        <v>88</v>
      </c>
      <c r="AC25" s="151" t="s">
        <v>88</v>
      </c>
      <c r="AD25" s="151" t="s">
        <v>88</v>
      </c>
      <c r="AE25" s="151" t="s">
        <v>88</v>
      </c>
      <c r="AF25" s="151" t="s">
        <v>88</v>
      </c>
      <c r="AG25" s="151" t="s">
        <v>88</v>
      </c>
      <c r="AH25" s="151" t="s">
        <v>88</v>
      </c>
      <c r="AI25" s="151" t="s">
        <v>88</v>
      </c>
      <c r="AJ25" s="151" t="s">
        <v>88</v>
      </c>
    </row>
    <row r="26" spans="1:36" x14ac:dyDescent="0.25">
      <c r="A26" s="66">
        <v>999</v>
      </c>
      <c r="B26" s="103" t="s">
        <v>69</v>
      </c>
      <c r="C26" s="151">
        <v>999</v>
      </c>
      <c r="D26" s="151">
        <v>999</v>
      </c>
      <c r="E26" s="151">
        <v>999</v>
      </c>
      <c r="F26" s="151">
        <v>999</v>
      </c>
      <c r="G26" s="151">
        <v>999</v>
      </c>
      <c r="H26" s="151">
        <v>999</v>
      </c>
      <c r="I26" s="151">
        <v>999</v>
      </c>
      <c r="J26" s="151">
        <v>999</v>
      </c>
      <c r="K26" s="151">
        <v>999</v>
      </c>
      <c r="L26" s="151">
        <v>999</v>
      </c>
      <c r="M26" s="151">
        <v>999</v>
      </c>
      <c r="N26" s="151">
        <v>999</v>
      </c>
      <c r="O26" s="151">
        <v>999</v>
      </c>
      <c r="P26" s="151">
        <v>999</v>
      </c>
      <c r="Q26" s="151">
        <v>999</v>
      </c>
      <c r="R26" s="151">
        <v>999</v>
      </c>
      <c r="S26" s="151">
        <v>999</v>
      </c>
      <c r="T26" s="151">
        <v>999</v>
      </c>
      <c r="U26" s="151">
        <v>999</v>
      </c>
      <c r="V26" s="151">
        <v>999</v>
      </c>
      <c r="W26" s="151">
        <v>999</v>
      </c>
      <c r="X26" s="151">
        <v>999</v>
      </c>
      <c r="Y26" s="151">
        <v>999</v>
      </c>
      <c r="Z26" s="151">
        <v>999</v>
      </c>
      <c r="AA26" s="151">
        <v>999</v>
      </c>
      <c r="AB26" s="151">
        <v>999</v>
      </c>
      <c r="AC26" s="151">
        <v>999</v>
      </c>
      <c r="AD26" s="151">
        <v>999</v>
      </c>
      <c r="AE26" s="151">
        <v>999</v>
      </c>
      <c r="AF26" s="151">
        <v>999</v>
      </c>
      <c r="AG26" s="151">
        <v>999</v>
      </c>
      <c r="AH26" s="151">
        <v>999</v>
      </c>
      <c r="AI26" s="151">
        <v>999</v>
      </c>
      <c r="AJ26" s="151">
        <v>999</v>
      </c>
    </row>
    <row r="27" spans="1:36" x14ac:dyDescent="0.25">
      <c r="A27" s="66" t="s">
        <v>39</v>
      </c>
      <c r="B27" s="103" t="s">
        <v>70</v>
      </c>
      <c r="C27" s="151" t="s">
        <v>39</v>
      </c>
      <c r="D27" s="151" t="s">
        <v>39</v>
      </c>
      <c r="E27" s="151" t="s">
        <v>39</v>
      </c>
      <c r="F27" s="151" t="s">
        <v>39</v>
      </c>
      <c r="G27" s="151" t="s">
        <v>39</v>
      </c>
      <c r="H27" s="151" t="s">
        <v>39</v>
      </c>
      <c r="I27" s="151" t="s">
        <v>39</v>
      </c>
      <c r="J27" s="151" t="s">
        <v>39</v>
      </c>
      <c r="K27" s="151" t="s">
        <v>39</v>
      </c>
      <c r="L27" s="151" t="s">
        <v>39</v>
      </c>
      <c r="M27" s="151" t="s">
        <v>39</v>
      </c>
      <c r="N27" s="151" t="s">
        <v>39</v>
      </c>
      <c r="O27" s="151" t="s">
        <v>39</v>
      </c>
      <c r="P27" s="151" t="s">
        <v>39</v>
      </c>
      <c r="Q27" s="151" t="s">
        <v>39</v>
      </c>
      <c r="R27" s="151" t="s">
        <v>39</v>
      </c>
      <c r="S27" s="151" t="s">
        <v>39</v>
      </c>
      <c r="T27" s="151" t="s">
        <v>39</v>
      </c>
      <c r="U27" s="151" t="s">
        <v>39</v>
      </c>
      <c r="V27" s="151" t="s">
        <v>39</v>
      </c>
      <c r="W27" s="151" t="s">
        <v>39</v>
      </c>
      <c r="X27" s="151" t="s">
        <v>39</v>
      </c>
      <c r="Y27" s="151" t="s">
        <v>39</v>
      </c>
      <c r="Z27" s="151" t="s">
        <v>39</v>
      </c>
      <c r="AA27" s="151" t="s">
        <v>39</v>
      </c>
      <c r="AB27" s="151" t="s">
        <v>39</v>
      </c>
      <c r="AC27" s="151" t="s">
        <v>39</v>
      </c>
      <c r="AD27" s="151" t="s">
        <v>39</v>
      </c>
      <c r="AE27" s="151" t="s">
        <v>39</v>
      </c>
      <c r="AF27" s="151" t="s">
        <v>39</v>
      </c>
      <c r="AG27" s="151" t="s">
        <v>39</v>
      </c>
      <c r="AH27" s="151" t="s">
        <v>39</v>
      </c>
      <c r="AI27" s="151" t="s">
        <v>39</v>
      </c>
      <c r="AJ27" s="151" t="s">
        <v>39</v>
      </c>
    </row>
    <row r="28" spans="1:36" x14ac:dyDescent="0.25">
      <c r="A28" s="70">
        <v>1</v>
      </c>
      <c r="B28" s="132" t="s">
        <v>430</v>
      </c>
      <c r="C28" s="121">
        <v>1</v>
      </c>
      <c r="D28" s="121">
        <v>1</v>
      </c>
      <c r="E28" s="121">
        <v>1</v>
      </c>
      <c r="F28" s="121">
        <v>1</v>
      </c>
      <c r="G28" s="121">
        <v>1</v>
      </c>
      <c r="H28" s="121">
        <v>1</v>
      </c>
      <c r="I28" s="121">
        <v>1</v>
      </c>
      <c r="J28" s="121">
        <v>1</v>
      </c>
      <c r="K28" s="121">
        <v>1</v>
      </c>
      <c r="L28" s="121">
        <v>1</v>
      </c>
      <c r="M28" s="121">
        <v>1</v>
      </c>
      <c r="N28" s="121">
        <v>1</v>
      </c>
      <c r="O28" s="121">
        <v>1</v>
      </c>
      <c r="P28" s="121">
        <v>1</v>
      </c>
      <c r="Q28" s="121">
        <v>1</v>
      </c>
      <c r="R28" s="121">
        <v>1</v>
      </c>
      <c r="S28" s="121">
        <v>1</v>
      </c>
      <c r="T28" s="121">
        <v>1</v>
      </c>
      <c r="U28" s="121">
        <v>1</v>
      </c>
      <c r="V28" s="121">
        <v>1</v>
      </c>
      <c r="W28" s="121">
        <v>1</v>
      </c>
      <c r="X28" s="121">
        <v>1</v>
      </c>
      <c r="Y28" s="121">
        <v>1</v>
      </c>
      <c r="Z28" s="121">
        <v>1</v>
      </c>
      <c r="AA28" s="121">
        <v>1</v>
      </c>
      <c r="AB28" s="121">
        <v>1</v>
      </c>
      <c r="AC28" s="121">
        <v>1</v>
      </c>
      <c r="AD28" s="121">
        <v>1</v>
      </c>
      <c r="AE28" s="121">
        <v>1</v>
      </c>
      <c r="AF28" s="121">
        <v>1</v>
      </c>
      <c r="AG28" s="121">
        <v>1</v>
      </c>
      <c r="AH28" s="121">
        <v>1</v>
      </c>
      <c r="AI28" s="121">
        <v>1</v>
      </c>
      <c r="AJ28" s="121">
        <v>1</v>
      </c>
    </row>
    <row r="29" spans="1:36" x14ac:dyDescent="0.25">
      <c r="A29" s="70">
        <v>0</v>
      </c>
      <c r="B29" s="130" t="s">
        <v>71</v>
      </c>
      <c r="C29" s="121">
        <v>0</v>
      </c>
      <c r="D29" s="121">
        <v>0</v>
      </c>
      <c r="E29" s="121">
        <v>0</v>
      </c>
      <c r="F29" s="121">
        <v>0</v>
      </c>
      <c r="G29" s="121">
        <v>0</v>
      </c>
      <c r="H29" s="121">
        <v>0</v>
      </c>
      <c r="I29" s="121">
        <v>0</v>
      </c>
      <c r="J29" s="121">
        <v>0</v>
      </c>
      <c r="K29" s="121">
        <v>0</v>
      </c>
      <c r="L29" s="121">
        <v>0</v>
      </c>
      <c r="M29" s="121">
        <v>0</v>
      </c>
      <c r="N29" s="121">
        <v>0</v>
      </c>
      <c r="O29" s="121">
        <v>0</v>
      </c>
      <c r="P29" s="121">
        <v>0</v>
      </c>
      <c r="Q29" s="121">
        <v>0</v>
      </c>
      <c r="R29" s="121">
        <v>0</v>
      </c>
      <c r="S29" s="121">
        <v>0</v>
      </c>
      <c r="T29" s="121">
        <v>0</v>
      </c>
      <c r="U29" s="121">
        <v>0</v>
      </c>
      <c r="V29" s="121">
        <v>0</v>
      </c>
      <c r="W29" s="121">
        <v>0</v>
      </c>
      <c r="X29" s="121">
        <v>0</v>
      </c>
      <c r="Y29" s="121">
        <v>0</v>
      </c>
      <c r="Z29" s="121">
        <v>0</v>
      </c>
      <c r="AA29" s="121">
        <v>0</v>
      </c>
      <c r="AB29" s="121">
        <v>0</v>
      </c>
      <c r="AC29" s="121">
        <v>0</v>
      </c>
      <c r="AD29" s="121">
        <v>0</v>
      </c>
      <c r="AE29" s="121">
        <v>0</v>
      </c>
      <c r="AF29" s="121">
        <v>0</v>
      </c>
      <c r="AG29" s="121">
        <v>0</v>
      </c>
      <c r="AH29" s="121">
        <v>0</v>
      </c>
      <c r="AI29" s="121">
        <v>0</v>
      </c>
      <c r="AJ29" s="121">
        <v>0</v>
      </c>
    </row>
    <row r="30" spans="1:36" x14ac:dyDescent="0.25">
      <c r="A30" s="68">
        <v>1</v>
      </c>
      <c r="B30" s="131" t="s">
        <v>72</v>
      </c>
      <c r="C30" s="155">
        <v>1</v>
      </c>
      <c r="D30" s="155">
        <v>1</v>
      </c>
      <c r="E30" s="155">
        <v>1</v>
      </c>
      <c r="F30" s="155">
        <v>1</v>
      </c>
      <c r="G30" s="155">
        <v>1</v>
      </c>
      <c r="H30" s="155">
        <v>1</v>
      </c>
      <c r="I30" s="155">
        <v>1</v>
      </c>
      <c r="J30" s="155">
        <v>1</v>
      </c>
      <c r="K30" s="155">
        <v>1</v>
      </c>
      <c r="L30" s="155">
        <v>1</v>
      </c>
      <c r="M30" s="155">
        <v>1</v>
      </c>
      <c r="N30" s="155">
        <v>1</v>
      </c>
      <c r="O30" s="155">
        <v>1</v>
      </c>
      <c r="P30" s="155">
        <v>1</v>
      </c>
      <c r="Q30" s="155">
        <v>1</v>
      </c>
      <c r="R30" s="155">
        <v>1</v>
      </c>
      <c r="S30" s="155">
        <v>1</v>
      </c>
      <c r="T30" s="155">
        <v>1</v>
      </c>
      <c r="U30" s="155">
        <v>1</v>
      </c>
      <c r="V30" s="155">
        <v>1</v>
      </c>
      <c r="W30" s="155">
        <v>1</v>
      </c>
      <c r="X30" s="155">
        <v>1</v>
      </c>
      <c r="Y30" s="155">
        <v>1</v>
      </c>
      <c r="Z30" s="155">
        <v>1</v>
      </c>
      <c r="AA30" s="155">
        <v>1</v>
      </c>
      <c r="AB30" s="155">
        <v>1</v>
      </c>
      <c r="AC30" s="155">
        <v>1</v>
      </c>
      <c r="AD30" s="155">
        <v>1</v>
      </c>
      <c r="AE30" s="155">
        <v>1</v>
      </c>
      <c r="AF30" s="155">
        <v>1</v>
      </c>
      <c r="AG30" s="155">
        <v>1</v>
      </c>
      <c r="AH30" s="155">
        <v>1</v>
      </c>
      <c r="AI30" s="155">
        <v>1</v>
      </c>
      <c r="AJ30" s="155">
        <v>1</v>
      </c>
    </row>
    <row r="31" spans="1:36" x14ac:dyDescent="0.25">
      <c r="A31" s="70">
        <v>0</v>
      </c>
      <c r="B31" s="130" t="s">
        <v>73</v>
      </c>
      <c r="C31" s="121">
        <v>0</v>
      </c>
      <c r="D31" s="121">
        <v>0</v>
      </c>
      <c r="E31" s="121">
        <v>0</v>
      </c>
      <c r="F31" s="121">
        <v>0</v>
      </c>
      <c r="G31" s="121">
        <v>0</v>
      </c>
      <c r="H31" s="121">
        <v>0</v>
      </c>
      <c r="I31" s="121">
        <v>0</v>
      </c>
      <c r="J31" s="121">
        <v>0</v>
      </c>
      <c r="K31" s="121">
        <v>0</v>
      </c>
      <c r="L31" s="121">
        <v>0</v>
      </c>
      <c r="M31" s="121">
        <v>0</v>
      </c>
      <c r="N31" s="121">
        <v>0</v>
      </c>
      <c r="O31" s="121">
        <v>0</v>
      </c>
      <c r="P31" s="121">
        <v>0</v>
      </c>
      <c r="Q31" s="121">
        <v>0</v>
      </c>
      <c r="R31" s="121">
        <v>0</v>
      </c>
      <c r="S31" s="121">
        <v>0</v>
      </c>
      <c r="T31" s="121">
        <v>0</v>
      </c>
      <c r="U31" s="121">
        <v>0</v>
      </c>
      <c r="V31" s="121">
        <v>0</v>
      </c>
      <c r="W31" s="121">
        <v>0</v>
      </c>
      <c r="X31" s="121">
        <v>0</v>
      </c>
      <c r="Y31" s="121">
        <v>0</v>
      </c>
      <c r="Z31" s="121">
        <v>0</v>
      </c>
      <c r="AA31" s="121">
        <v>0</v>
      </c>
      <c r="AB31" s="121">
        <v>0</v>
      </c>
      <c r="AC31" s="121">
        <v>0</v>
      </c>
      <c r="AD31" s="121">
        <v>0</v>
      </c>
      <c r="AE31" s="121">
        <v>0</v>
      </c>
      <c r="AF31" s="121">
        <v>0</v>
      </c>
      <c r="AG31" s="121">
        <v>0</v>
      </c>
      <c r="AH31" s="121">
        <v>0</v>
      </c>
      <c r="AI31" s="121">
        <v>0</v>
      </c>
      <c r="AJ31" s="121">
        <v>0</v>
      </c>
    </row>
    <row r="32" spans="1:36" x14ac:dyDescent="0.25">
      <c r="A32" s="66">
        <v>999</v>
      </c>
      <c r="B32" s="103" t="s">
        <v>74</v>
      </c>
      <c r="C32" s="151">
        <v>999</v>
      </c>
      <c r="D32" s="151">
        <v>999</v>
      </c>
      <c r="E32" s="151">
        <v>999</v>
      </c>
      <c r="F32" s="151">
        <v>999</v>
      </c>
      <c r="G32" s="151">
        <v>999</v>
      </c>
      <c r="H32" s="151">
        <v>999</v>
      </c>
      <c r="I32" s="151">
        <v>999</v>
      </c>
      <c r="J32" s="151">
        <v>999</v>
      </c>
      <c r="K32" s="151">
        <v>999</v>
      </c>
      <c r="L32" s="151">
        <v>999</v>
      </c>
      <c r="M32" s="151">
        <v>999</v>
      </c>
      <c r="N32" s="151">
        <v>999</v>
      </c>
      <c r="O32" s="151">
        <v>999</v>
      </c>
      <c r="P32" s="151">
        <v>999</v>
      </c>
      <c r="Q32" s="151">
        <v>999</v>
      </c>
      <c r="R32" s="151">
        <v>999</v>
      </c>
      <c r="S32" s="151">
        <v>999</v>
      </c>
      <c r="T32" s="151">
        <v>999</v>
      </c>
      <c r="U32" s="151">
        <v>999</v>
      </c>
      <c r="V32" s="151">
        <v>999</v>
      </c>
      <c r="W32" s="151">
        <v>999</v>
      </c>
      <c r="X32" s="151">
        <v>999</v>
      </c>
      <c r="Y32" s="151">
        <v>999</v>
      </c>
      <c r="Z32" s="151">
        <v>999</v>
      </c>
      <c r="AA32" s="151">
        <v>999</v>
      </c>
      <c r="AB32" s="151">
        <v>999</v>
      </c>
      <c r="AC32" s="151">
        <v>999</v>
      </c>
      <c r="AD32" s="151">
        <v>999</v>
      </c>
      <c r="AE32" s="151">
        <v>999</v>
      </c>
      <c r="AF32" s="151">
        <v>999</v>
      </c>
      <c r="AG32" s="151">
        <v>999</v>
      </c>
      <c r="AH32" s="151">
        <v>999</v>
      </c>
      <c r="AI32" s="151">
        <v>999</v>
      </c>
      <c r="AJ32" s="151">
        <v>999</v>
      </c>
    </row>
    <row r="33" spans="1:36" x14ac:dyDescent="0.25">
      <c r="A33" s="66" t="s">
        <v>88</v>
      </c>
      <c r="B33" s="103" t="s">
        <v>75</v>
      </c>
      <c r="C33" s="151" t="s">
        <v>88</v>
      </c>
      <c r="D33" s="151" t="s">
        <v>88</v>
      </c>
      <c r="E33" s="151" t="s">
        <v>88</v>
      </c>
      <c r="F33" s="151" t="s">
        <v>88</v>
      </c>
      <c r="G33" s="151" t="s">
        <v>88</v>
      </c>
      <c r="H33" s="151" t="s">
        <v>88</v>
      </c>
      <c r="I33" s="151" t="s">
        <v>88</v>
      </c>
      <c r="J33" s="151" t="s">
        <v>88</v>
      </c>
      <c r="K33" s="151" t="s">
        <v>88</v>
      </c>
      <c r="L33" s="151" t="s">
        <v>88</v>
      </c>
      <c r="M33" s="151" t="s">
        <v>88</v>
      </c>
      <c r="N33" s="151" t="s">
        <v>88</v>
      </c>
      <c r="O33" s="151" t="s">
        <v>88</v>
      </c>
      <c r="P33" s="151" t="s">
        <v>88</v>
      </c>
      <c r="Q33" s="151" t="s">
        <v>88</v>
      </c>
      <c r="R33" s="151" t="s">
        <v>88</v>
      </c>
      <c r="S33" s="151" t="s">
        <v>88</v>
      </c>
      <c r="T33" s="151" t="s">
        <v>88</v>
      </c>
      <c r="U33" s="151" t="s">
        <v>88</v>
      </c>
      <c r="V33" s="151" t="s">
        <v>88</v>
      </c>
      <c r="W33" s="151" t="s">
        <v>88</v>
      </c>
      <c r="X33" s="151" t="s">
        <v>88</v>
      </c>
      <c r="Y33" s="151" t="s">
        <v>88</v>
      </c>
      <c r="Z33" s="151" t="s">
        <v>88</v>
      </c>
      <c r="AA33" s="151" t="s">
        <v>88</v>
      </c>
      <c r="AB33" s="151" t="s">
        <v>88</v>
      </c>
      <c r="AC33" s="151" t="s">
        <v>88</v>
      </c>
      <c r="AD33" s="151" t="s">
        <v>88</v>
      </c>
      <c r="AE33" s="151" t="s">
        <v>88</v>
      </c>
      <c r="AF33" s="151" t="s">
        <v>88</v>
      </c>
      <c r="AG33" s="151" t="s">
        <v>88</v>
      </c>
      <c r="AH33" s="151" t="s">
        <v>88</v>
      </c>
      <c r="AI33" s="151" t="s">
        <v>88</v>
      </c>
      <c r="AJ33" s="151" t="s">
        <v>88</v>
      </c>
    </row>
    <row r="34" spans="1:36" x14ac:dyDescent="0.25">
      <c r="A34" s="66">
        <v>999</v>
      </c>
      <c r="B34" s="103" t="s">
        <v>76</v>
      </c>
      <c r="C34" s="151">
        <v>999</v>
      </c>
      <c r="D34" s="151">
        <v>999</v>
      </c>
      <c r="E34" s="151">
        <v>999</v>
      </c>
      <c r="F34" s="151">
        <v>999</v>
      </c>
      <c r="G34" s="151">
        <v>999</v>
      </c>
      <c r="H34" s="151">
        <v>999</v>
      </c>
      <c r="I34" s="151">
        <v>999</v>
      </c>
      <c r="J34" s="151">
        <v>999</v>
      </c>
      <c r="K34" s="151">
        <v>999</v>
      </c>
      <c r="L34" s="151">
        <v>999</v>
      </c>
      <c r="M34" s="151">
        <v>999</v>
      </c>
      <c r="N34" s="151">
        <v>999</v>
      </c>
      <c r="O34" s="151">
        <v>999</v>
      </c>
      <c r="P34" s="151">
        <v>999</v>
      </c>
      <c r="Q34" s="151">
        <v>999</v>
      </c>
      <c r="R34" s="151">
        <v>999</v>
      </c>
      <c r="S34" s="151">
        <v>999</v>
      </c>
      <c r="T34" s="151">
        <v>999</v>
      </c>
      <c r="U34" s="151">
        <v>999</v>
      </c>
      <c r="V34" s="151">
        <v>999</v>
      </c>
      <c r="W34" s="151">
        <v>999</v>
      </c>
      <c r="X34" s="151">
        <v>999</v>
      </c>
      <c r="Y34" s="151">
        <v>999</v>
      </c>
      <c r="Z34" s="151">
        <v>999</v>
      </c>
      <c r="AA34" s="151">
        <v>999</v>
      </c>
      <c r="AB34" s="151">
        <v>999</v>
      </c>
      <c r="AC34" s="151">
        <v>999</v>
      </c>
      <c r="AD34" s="151">
        <v>999</v>
      </c>
      <c r="AE34" s="151">
        <v>999</v>
      </c>
      <c r="AF34" s="151">
        <v>999</v>
      </c>
      <c r="AG34" s="151">
        <v>999</v>
      </c>
      <c r="AH34" s="151">
        <v>999</v>
      </c>
      <c r="AI34" s="151">
        <v>999</v>
      </c>
      <c r="AJ34" s="151">
        <v>999</v>
      </c>
    </row>
    <row r="35" spans="1:36" x14ac:dyDescent="0.25">
      <c r="A35" s="66" t="s">
        <v>39</v>
      </c>
      <c r="B35" s="103" t="s">
        <v>77</v>
      </c>
      <c r="C35" s="151" t="s">
        <v>39</v>
      </c>
      <c r="D35" s="151" t="s">
        <v>39</v>
      </c>
      <c r="E35" s="151" t="s">
        <v>39</v>
      </c>
      <c r="F35" s="151" t="s">
        <v>39</v>
      </c>
      <c r="G35" s="151" t="s">
        <v>39</v>
      </c>
      <c r="H35" s="151" t="s">
        <v>39</v>
      </c>
      <c r="I35" s="151" t="s">
        <v>39</v>
      </c>
      <c r="J35" s="151" t="s">
        <v>39</v>
      </c>
      <c r="K35" s="151" t="s">
        <v>39</v>
      </c>
      <c r="L35" s="151" t="s">
        <v>39</v>
      </c>
      <c r="M35" s="151" t="s">
        <v>39</v>
      </c>
      <c r="N35" s="151" t="s">
        <v>39</v>
      </c>
      <c r="O35" s="151" t="s">
        <v>39</v>
      </c>
      <c r="P35" s="151" t="s">
        <v>39</v>
      </c>
      <c r="Q35" s="151" t="s">
        <v>39</v>
      </c>
      <c r="R35" s="151" t="s">
        <v>39</v>
      </c>
      <c r="S35" s="151" t="s">
        <v>39</v>
      </c>
      <c r="T35" s="151" t="s">
        <v>39</v>
      </c>
      <c r="U35" s="151" t="s">
        <v>39</v>
      </c>
      <c r="V35" s="151" t="s">
        <v>39</v>
      </c>
      <c r="W35" s="151" t="s">
        <v>39</v>
      </c>
      <c r="X35" s="151" t="s">
        <v>39</v>
      </c>
      <c r="Y35" s="151" t="s">
        <v>39</v>
      </c>
      <c r="Z35" s="151" t="s">
        <v>39</v>
      </c>
      <c r="AA35" s="151" t="s">
        <v>39</v>
      </c>
      <c r="AB35" s="151" t="s">
        <v>39</v>
      </c>
      <c r="AC35" s="151" t="s">
        <v>39</v>
      </c>
      <c r="AD35" s="151" t="s">
        <v>39</v>
      </c>
      <c r="AE35" s="151" t="s">
        <v>39</v>
      </c>
      <c r="AF35" s="151" t="s">
        <v>39</v>
      </c>
      <c r="AG35" s="151" t="s">
        <v>39</v>
      </c>
      <c r="AH35" s="151" t="s">
        <v>39</v>
      </c>
      <c r="AI35" s="151" t="s">
        <v>39</v>
      </c>
      <c r="AJ35" s="151" t="s">
        <v>39</v>
      </c>
    </row>
    <row r="36" spans="1:36" x14ac:dyDescent="0.25">
      <c r="A36" s="70">
        <v>1</v>
      </c>
      <c r="B36" s="132" t="s">
        <v>432</v>
      </c>
      <c r="C36" s="121">
        <v>1</v>
      </c>
      <c r="D36" s="121">
        <v>1</v>
      </c>
      <c r="E36" s="121">
        <v>1</v>
      </c>
      <c r="F36" s="121">
        <v>1</v>
      </c>
      <c r="G36" s="121">
        <v>1</v>
      </c>
      <c r="H36" s="121">
        <v>1</v>
      </c>
      <c r="I36" s="121">
        <v>1</v>
      </c>
      <c r="J36" s="121">
        <v>1</v>
      </c>
      <c r="K36" s="121">
        <v>1</v>
      </c>
      <c r="L36" s="121">
        <v>1</v>
      </c>
      <c r="M36" s="121">
        <v>1</v>
      </c>
      <c r="N36" s="121">
        <v>1</v>
      </c>
      <c r="O36" s="121">
        <v>1</v>
      </c>
      <c r="P36" s="121">
        <v>1</v>
      </c>
      <c r="Q36" s="121">
        <v>1</v>
      </c>
      <c r="R36" s="121">
        <v>1</v>
      </c>
      <c r="S36" s="121">
        <v>1</v>
      </c>
      <c r="T36" s="121">
        <v>1</v>
      </c>
      <c r="U36" s="121">
        <v>1</v>
      </c>
      <c r="V36" s="121">
        <v>1</v>
      </c>
      <c r="W36" s="121">
        <v>1</v>
      </c>
      <c r="X36" s="121">
        <v>1</v>
      </c>
      <c r="Y36" s="121">
        <v>1</v>
      </c>
      <c r="Z36" s="121">
        <v>1</v>
      </c>
      <c r="AA36" s="121">
        <v>1</v>
      </c>
      <c r="AB36" s="121">
        <v>1</v>
      </c>
      <c r="AC36" s="121">
        <v>1</v>
      </c>
      <c r="AD36" s="121">
        <v>1</v>
      </c>
      <c r="AE36" s="121">
        <v>1</v>
      </c>
      <c r="AF36" s="121">
        <v>1</v>
      </c>
      <c r="AG36" s="121">
        <v>1</v>
      </c>
      <c r="AH36" s="121">
        <v>1</v>
      </c>
      <c r="AI36" s="121">
        <v>1</v>
      </c>
      <c r="AJ36" s="121">
        <v>1</v>
      </c>
    </row>
    <row r="37" spans="1:36" x14ac:dyDescent="0.25">
      <c r="A37" s="68">
        <v>1</v>
      </c>
      <c r="B37" s="131" t="s">
        <v>78</v>
      </c>
      <c r="C37" s="155">
        <v>1</v>
      </c>
      <c r="D37" s="155">
        <v>1</v>
      </c>
      <c r="E37" s="155">
        <v>1</v>
      </c>
      <c r="F37" s="155">
        <v>1</v>
      </c>
      <c r="G37" s="155">
        <v>1</v>
      </c>
      <c r="H37" s="155">
        <v>1</v>
      </c>
      <c r="I37" s="155">
        <v>1</v>
      </c>
      <c r="J37" s="155">
        <v>1</v>
      </c>
      <c r="K37" s="155">
        <v>1</v>
      </c>
      <c r="L37" s="155">
        <v>1</v>
      </c>
      <c r="M37" s="155">
        <v>1</v>
      </c>
      <c r="N37" s="155">
        <v>1</v>
      </c>
      <c r="O37" s="155">
        <v>1</v>
      </c>
      <c r="P37" s="155">
        <v>1</v>
      </c>
      <c r="Q37" s="155">
        <v>1</v>
      </c>
      <c r="R37" s="155">
        <v>1</v>
      </c>
      <c r="S37" s="155">
        <v>1</v>
      </c>
      <c r="T37" s="155">
        <v>1</v>
      </c>
      <c r="U37" s="155">
        <v>1</v>
      </c>
      <c r="V37" s="155">
        <v>1</v>
      </c>
      <c r="W37" s="155">
        <v>1</v>
      </c>
      <c r="X37" s="155">
        <v>1</v>
      </c>
      <c r="Y37" s="155">
        <v>1</v>
      </c>
      <c r="Z37" s="155">
        <v>1</v>
      </c>
      <c r="AA37" s="155">
        <v>1</v>
      </c>
      <c r="AB37" s="155">
        <v>1</v>
      </c>
      <c r="AC37" s="155">
        <v>1</v>
      </c>
      <c r="AD37" s="155">
        <v>1</v>
      </c>
      <c r="AE37" s="155">
        <v>1</v>
      </c>
      <c r="AF37" s="155">
        <v>1</v>
      </c>
      <c r="AG37" s="155">
        <v>1</v>
      </c>
      <c r="AH37" s="155">
        <v>1</v>
      </c>
      <c r="AI37" s="155">
        <v>1</v>
      </c>
      <c r="AJ37" s="155">
        <v>1</v>
      </c>
    </row>
    <row r="38" spans="1:36" x14ac:dyDescent="0.25">
      <c r="A38" s="70">
        <v>0</v>
      </c>
      <c r="B38" s="130" t="s">
        <v>79</v>
      </c>
      <c r="C38" s="121">
        <v>0</v>
      </c>
      <c r="D38" s="121">
        <v>0</v>
      </c>
      <c r="E38" s="121">
        <v>0</v>
      </c>
      <c r="F38" s="121">
        <v>0</v>
      </c>
      <c r="G38" s="121">
        <v>0</v>
      </c>
      <c r="H38" s="121">
        <v>0</v>
      </c>
      <c r="I38" s="121">
        <v>0</v>
      </c>
      <c r="J38" s="121">
        <v>0</v>
      </c>
      <c r="K38" s="121">
        <v>0</v>
      </c>
      <c r="L38" s="121">
        <v>0</v>
      </c>
      <c r="M38" s="121">
        <v>0</v>
      </c>
      <c r="N38" s="121">
        <v>0</v>
      </c>
      <c r="O38" s="121">
        <v>0</v>
      </c>
      <c r="P38" s="121">
        <v>0</v>
      </c>
      <c r="Q38" s="121">
        <v>0</v>
      </c>
      <c r="R38" s="121">
        <v>0</v>
      </c>
      <c r="S38" s="121">
        <v>0</v>
      </c>
      <c r="T38" s="121">
        <v>0</v>
      </c>
      <c r="U38" s="121">
        <v>0</v>
      </c>
      <c r="V38" s="121">
        <v>0</v>
      </c>
      <c r="W38" s="121">
        <v>0</v>
      </c>
      <c r="X38" s="121">
        <v>0</v>
      </c>
      <c r="Y38" s="121">
        <v>0</v>
      </c>
      <c r="Z38" s="121">
        <v>0</v>
      </c>
      <c r="AA38" s="121">
        <v>0</v>
      </c>
      <c r="AB38" s="121">
        <v>0</v>
      </c>
      <c r="AC38" s="121">
        <v>0</v>
      </c>
      <c r="AD38" s="121">
        <v>0</v>
      </c>
      <c r="AE38" s="121">
        <v>0</v>
      </c>
      <c r="AF38" s="121">
        <v>0</v>
      </c>
      <c r="AG38" s="121">
        <v>0</v>
      </c>
      <c r="AH38" s="121">
        <v>0</v>
      </c>
      <c r="AI38" s="121">
        <v>0</v>
      </c>
      <c r="AJ38" s="121">
        <v>0</v>
      </c>
    </row>
    <row r="39" spans="1:36" x14ac:dyDescent="0.25">
      <c r="A39" s="66">
        <v>999</v>
      </c>
      <c r="B39" s="103" t="s">
        <v>80</v>
      </c>
      <c r="C39" s="151">
        <v>999</v>
      </c>
      <c r="D39" s="151">
        <v>999</v>
      </c>
      <c r="E39" s="151">
        <v>999</v>
      </c>
      <c r="F39" s="151">
        <v>999</v>
      </c>
      <c r="G39" s="151">
        <v>999</v>
      </c>
      <c r="H39" s="151">
        <v>999</v>
      </c>
      <c r="I39" s="151">
        <v>999</v>
      </c>
      <c r="J39" s="151">
        <v>999</v>
      </c>
      <c r="K39" s="151">
        <v>999</v>
      </c>
      <c r="L39" s="151">
        <v>999</v>
      </c>
      <c r="M39" s="151">
        <v>999</v>
      </c>
      <c r="N39" s="151">
        <v>999</v>
      </c>
      <c r="O39" s="151">
        <v>999</v>
      </c>
      <c r="P39" s="151">
        <v>999</v>
      </c>
      <c r="Q39" s="151">
        <v>999</v>
      </c>
      <c r="R39" s="151">
        <v>999</v>
      </c>
      <c r="S39" s="151">
        <v>999</v>
      </c>
      <c r="T39" s="151">
        <v>999</v>
      </c>
      <c r="U39" s="151">
        <v>999</v>
      </c>
      <c r="V39" s="151">
        <v>999</v>
      </c>
      <c r="W39" s="151">
        <v>999</v>
      </c>
      <c r="X39" s="151">
        <v>999</v>
      </c>
      <c r="Y39" s="151">
        <v>999</v>
      </c>
      <c r="Z39" s="151">
        <v>999</v>
      </c>
      <c r="AA39" s="151">
        <v>999</v>
      </c>
      <c r="AB39" s="151">
        <v>999</v>
      </c>
      <c r="AC39" s="151">
        <v>999</v>
      </c>
      <c r="AD39" s="151">
        <v>999</v>
      </c>
      <c r="AE39" s="151">
        <v>999</v>
      </c>
      <c r="AF39" s="151">
        <v>999</v>
      </c>
      <c r="AG39" s="151">
        <v>999</v>
      </c>
      <c r="AH39" s="151">
        <v>999</v>
      </c>
      <c r="AI39" s="151">
        <v>999</v>
      </c>
      <c r="AJ39" s="151">
        <v>999</v>
      </c>
    </row>
    <row r="40" spans="1:36" x14ac:dyDescent="0.25">
      <c r="A40" s="66" t="s">
        <v>5</v>
      </c>
      <c r="B40" s="103" t="s">
        <v>81</v>
      </c>
      <c r="C40" s="151" t="s">
        <v>5</v>
      </c>
      <c r="D40" s="151" t="s">
        <v>5</v>
      </c>
      <c r="E40" s="151" t="s">
        <v>5</v>
      </c>
      <c r="F40" s="151" t="s">
        <v>5</v>
      </c>
      <c r="G40" s="151" t="s">
        <v>5</v>
      </c>
      <c r="H40" s="151" t="s">
        <v>5</v>
      </c>
      <c r="I40" s="151" t="s">
        <v>5</v>
      </c>
      <c r="J40" s="151" t="s">
        <v>5</v>
      </c>
      <c r="K40" s="151" t="s">
        <v>5</v>
      </c>
      <c r="L40" s="151" t="s">
        <v>5</v>
      </c>
      <c r="M40" s="151" t="s">
        <v>5</v>
      </c>
      <c r="N40" s="151" t="s">
        <v>5</v>
      </c>
      <c r="O40" s="151" t="s">
        <v>5</v>
      </c>
      <c r="P40" s="151" t="s">
        <v>5</v>
      </c>
      <c r="Q40" s="151" t="s">
        <v>5</v>
      </c>
      <c r="R40" s="151" t="s">
        <v>5</v>
      </c>
      <c r="S40" s="151" t="s">
        <v>5</v>
      </c>
      <c r="T40" s="151" t="s">
        <v>5</v>
      </c>
      <c r="U40" s="151" t="s">
        <v>5</v>
      </c>
      <c r="V40" s="151" t="s">
        <v>5</v>
      </c>
      <c r="W40" s="151" t="s">
        <v>5</v>
      </c>
      <c r="X40" s="151" t="s">
        <v>5</v>
      </c>
      <c r="Y40" s="151" t="s">
        <v>5</v>
      </c>
      <c r="Z40" s="151" t="s">
        <v>5</v>
      </c>
      <c r="AA40" s="151" t="s">
        <v>5</v>
      </c>
      <c r="AB40" s="151" t="s">
        <v>5</v>
      </c>
      <c r="AC40" s="151" t="s">
        <v>5</v>
      </c>
      <c r="AD40" s="151" t="s">
        <v>5</v>
      </c>
      <c r="AE40" s="151" t="s">
        <v>5</v>
      </c>
      <c r="AF40" s="151" t="s">
        <v>5</v>
      </c>
      <c r="AG40" s="151" t="s">
        <v>5</v>
      </c>
      <c r="AH40" s="151" t="s">
        <v>5</v>
      </c>
      <c r="AI40" s="151" t="s">
        <v>5</v>
      </c>
      <c r="AJ40" s="151" t="s">
        <v>5</v>
      </c>
    </row>
    <row r="41" spans="1:36" x14ac:dyDescent="0.25">
      <c r="A41" s="70">
        <v>0</v>
      </c>
      <c r="B41" s="132" t="s">
        <v>431</v>
      </c>
      <c r="C41" s="121">
        <v>0</v>
      </c>
      <c r="D41" s="121">
        <v>0</v>
      </c>
      <c r="E41" s="121">
        <v>0</v>
      </c>
      <c r="F41" s="121">
        <v>0</v>
      </c>
      <c r="G41" s="121">
        <v>0</v>
      </c>
      <c r="H41" s="121">
        <v>0</v>
      </c>
      <c r="I41" s="121">
        <v>0</v>
      </c>
      <c r="J41" s="121">
        <v>0</v>
      </c>
      <c r="K41" s="121">
        <v>0</v>
      </c>
      <c r="L41" s="121">
        <v>0</v>
      </c>
      <c r="M41" s="121">
        <v>0</v>
      </c>
      <c r="N41" s="121">
        <v>0</v>
      </c>
      <c r="O41" s="121">
        <v>0</v>
      </c>
      <c r="P41" s="121">
        <v>0</v>
      </c>
      <c r="Q41" s="121">
        <v>0</v>
      </c>
      <c r="R41" s="121">
        <v>0</v>
      </c>
      <c r="S41" s="121">
        <v>0</v>
      </c>
      <c r="T41" s="121">
        <v>0</v>
      </c>
      <c r="U41" s="121">
        <v>0</v>
      </c>
      <c r="V41" s="121">
        <v>0</v>
      </c>
      <c r="W41" s="121">
        <v>0</v>
      </c>
      <c r="X41" s="121">
        <v>0</v>
      </c>
      <c r="Y41" s="121">
        <v>0</v>
      </c>
      <c r="Z41" s="121">
        <v>0</v>
      </c>
      <c r="AA41" s="121">
        <v>0</v>
      </c>
      <c r="AB41" s="121">
        <v>0</v>
      </c>
      <c r="AC41" s="121">
        <v>0</v>
      </c>
      <c r="AD41" s="121">
        <v>0</v>
      </c>
      <c r="AE41" s="121">
        <v>0</v>
      </c>
      <c r="AF41" s="121">
        <v>0</v>
      </c>
      <c r="AG41" s="121">
        <v>0</v>
      </c>
      <c r="AH41" s="121">
        <v>0</v>
      </c>
      <c r="AI41" s="121">
        <v>0</v>
      </c>
      <c r="AJ41" s="121">
        <v>0</v>
      </c>
    </row>
    <row r="42" spans="1:36" x14ac:dyDescent="0.25">
      <c r="A42" s="70">
        <v>0</v>
      </c>
      <c r="B42" s="130" t="s">
        <v>82</v>
      </c>
      <c r="C42" s="121">
        <v>0</v>
      </c>
      <c r="D42" s="121">
        <v>0</v>
      </c>
      <c r="E42" s="121">
        <v>0</v>
      </c>
      <c r="F42" s="121">
        <v>0</v>
      </c>
      <c r="G42" s="121">
        <v>0</v>
      </c>
      <c r="H42" s="121">
        <v>0</v>
      </c>
      <c r="I42" s="121">
        <v>0</v>
      </c>
      <c r="J42" s="121">
        <v>0</v>
      </c>
      <c r="K42" s="121">
        <v>0</v>
      </c>
      <c r="L42" s="121">
        <v>0</v>
      </c>
      <c r="M42" s="121">
        <v>0</v>
      </c>
      <c r="N42" s="121">
        <v>0</v>
      </c>
      <c r="O42" s="121">
        <v>0</v>
      </c>
      <c r="P42" s="121">
        <v>0</v>
      </c>
      <c r="Q42" s="121">
        <v>0</v>
      </c>
      <c r="R42" s="121">
        <v>0</v>
      </c>
      <c r="S42" s="121">
        <v>0</v>
      </c>
      <c r="T42" s="121">
        <v>0</v>
      </c>
      <c r="U42" s="121">
        <v>0</v>
      </c>
      <c r="V42" s="121">
        <v>0</v>
      </c>
      <c r="W42" s="121">
        <v>0</v>
      </c>
      <c r="X42" s="121">
        <v>0</v>
      </c>
      <c r="Y42" s="121">
        <v>0</v>
      </c>
      <c r="Z42" s="121">
        <v>0</v>
      </c>
      <c r="AA42" s="121">
        <v>0</v>
      </c>
      <c r="AB42" s="121">
        <v>0</v>
      </c>
      <c r="AC42" s="121">
        <v>0</v>
      </c>
      <c r="AD42" s="121">
        <v>0</v>
      </c>
      <c r="AE42" s="121">
        <v>0</v>
      </c>
      <c r="AF42" s="121">
        <v>0</v>
      </c>
      <c r="AG42" s="121">
        <v>0</v>
      </c>
      <c r="AH42" s="121">
        <v>0</v>
      </c>
      <c r="AI42" s="121">
        <v>0</v>
      </c>
      <c r="AJ42" s="121">
        <v>0</v>
      </c>
    </row>
    <row r="43" spans="1:36" x14ac:dyDescent="0.25">
      <c r="A43" s="70">
        <v>0</v>
      </c>
      <c r="B43" s="130" t="s">
        <v>83</v>
      </c>
      <c r="C43" s="121">
        <v>0</v>
      </c>
      <c r="D43" s="121">
        <v>0</v>
      </c>
      <c r="E43" s="121">
        <v>0</v>
      </c>
      <c r="F43" s="121">
        <v>0</v>
      </c>
      <c r="G43" s="121">
        <v>0</v>
      </c>
      <c r="H43" s="121">
        <v>0</v>
      </c>
      <c r="I43" s="121">
        <v>0</v>
      </c>
      <c r="J43" s="121">
        <v>0</v>
      </c>
      <c r="K43" s="121">
        <v>0</v>
      </c>
      <c r="L43" s="121">
        <v>0</v>
      </c>
      <c r="M43" s="121">
        <v>0</v>
      </c>
      <c r="N43" s="121">
        <v>0</v>
      </c>
      <c r="O43" s="121">
        <v>0</v>
      </c>
      <c r="P43" s="121">
        <v>0</v>
      </c>
      <c r="Q43" s="121">
        <v>0</v>
      </c>
      <c r="R43" s="121">
        <v>0</v>
      </c>
      <c r="S43" s="121">
        <v>0</v>
      </c>
      <c r="T43" s="121">
        <v>0</v>
      </c>
      <c r="U43" s="121">
        <v>0</v>
      </c>
      <c r="V43" s="121">
        <v>0</v>
      </c>
      <c r="W43" s="121">
        <v>0</v>
      </c>
      <c r="X43" s="121">
        <v>0</v>
      </c>
      <c r="Y43" s="121">
        <v>0</v>
      </c>
      <c r="Z43" s="121">
        <v>0</v>
      </c>
      <c r="AA43" s="121">
        <v>0</v>
      </c>
      <c r="AB43" s="121">
        <v>0</v>
      </c>
      <c r="AC43" s="121">
        <v>0</v>
      </c>
      <c r="AD43" s="121">
        <v>0</v>
      </c>
      <c r="AE43" s="121">
        <v>0</v>
      </c>
      <c r="AF43" s="121">
        <v>0</v>
      </c>
      <c r="AG43" s="121">
        <v>0</v>
      </c>
      <c r="AH43" s="121">
        <v>0</v>
      </c>
      <c r="AI43" s="121">
        <v>0</v>
      </c>
      <c r="AJ43" s="121">
        <v>0</v>
      </c>
    </row>
    <row r="44" spans="1:36" x14ac:dyDescent="0.25">
      <c r="A44" s="70">
        <v>0</v>
      </c>
      <c r="B44" s="130" t="s">
        <v>84</v>
      </c>
      <c r="C44" s="121">
        <v>0</v>
      </c>
      <c r="D44" s="121">
        <v>0</v>
      </c>
      <c r="E44" s="121">
        <v>0</v>
      </c>
      <c r="F44" s="121">
        <v>0</v>
      </c>
      <c r="G44" s="121">
        <v>0</v>
      </c>
      <c r="H44" s="121">
        <v>0</v>
      </c>
      <c r="I44" s="121">
        <v>0</v>
      </c>
      <c r="J44" s="121">
        <v>0</v>
      </c>
      <c r="K44" s="121">
        <v>0</v>
      </c>
      <c r="L44" s="121">
        <v>0</v>
      </c>
      <c r="M44" s="121">
        <v>0</v>
      </c>
      <c r="N44" s="121">
        <v>0</v>
      </c>
      <c r="O44" s="121">
        <v>0</v>
      </c>
      <c r="P44" s="121">
        <v>0</v>
      </c>
      <c r="Q44" s="121">
        <v>0</v>
      </c>
      <c r="R44" s="121">
        <v>0</v>
      </c>
      <c r="S44" s="121">
        <v>0</v>
      </c>
      <c r="T44" s="121">
        <v>0</v>
      </c>
      <c r="U44" s="121">
        <v>0</v>
      </c>
      <c r="V44" s="121">
        <v>0</v>
      </c>
      <c r="W44" s="121">
        <v>0</v>
      </c>
      <c r="X44" s="121">
        <v>0</v>
      </c>
      <c r="Y44" s="121">
        <v>0</v>
      </c>
      <c r="Z44" s="121">
        <v>0</v>
      </c>
      <c r="AA44" s="121">
        <v>0</v>
      </c>
      <c r="AB44" s="121">
        <v>0</v>
      </c>
      <c r="AC44" s="121">
        <v>0</v>
      </c>
      <c r="AD44" s="121">
        <v>0</v>
      </c>
      <c r="AE44" s="121">
        <v>0</v>
      </c>
      <c r="AF44" s="121">
        <v>0</v>
      </c>
      <c r="AG44" s="121">
        <v>0</v>
      </c>
      <c r="AH44" s="121">
        <v>0</v>
      </c>
      <c r="AI44" s="121">
        <v>0</v>
      </c>
      <c r="AJ44" s="121">
        <v>0</v>
      </c>
    </row>
    <row r="45" spans="1:36" x14ac:dyDescent="0.25">
      <c r="A45" s="70">
        <v>0</v>
      </c>
      <c r="B45" s="133" t="s">
        <v>85</v>
      </c>
      <c r="C45" s="244">
        <v>5.4474545189367764E-3</v>
      </c>
      <c r="D45" s="244">
        <v>2.7971610826403297E-3</v>
      </c>
      <c r="E45" s="244">
        <v>1.0547767328333462E-3</v>
      </c>
      <c r="F45" s="244">
        <v>1.0167246608260674E-2</v>
      </c>
      <c r="G45" s="136">
        <v>5.4474545189367764E-3</v>
      </c>
      <c r="H45" s="263">
        <v>2.7971610826403297E-3</v>
      </c>
      <c r="I45" s="263">
        <v>6.3653773085860496E-2</v>
      </c>
      <c r="J45" s="244">
        <v>3.0288114157372734E-2</v>
      </c>
      <c r="K45" s="136">
        <v>1.0167246608260674E-2</v>
      </c>
      <c r="L45" s="136">
        <v>5.4474545189367764E-3</v>
      </c>
      <c r="M45" s="136">
        <v>2.7971610826403297E-3</v>
      </c>
      <c r="N45" s="136">
        <v>1.0547767328333462E-3</v>
      </c>
      <c r="O45" s="136">
        <v>3.0288114157372734E-2</v>
      </c>
      <c r="P45" s="136">
        <v>1.0167246608260674E-2</v>
      </c>
      <c r="Q45" s="136">
        <v>5.4474545189367764E-3</v>
      </c>
      <c r="R45" s="136">
        <v>2.7971610826403297E-3</v>
      </c>
      <c r="S45" s="136">
        <v>1.0547767328333462E-3</v>
      </c>
      <c r="T45" s="136">
        <v>3.0288114157372734E-2</v>
      </c>
      <c r="U45" s="136">
        <v>1.0167246608260674E-2</v>
      </c>
      <c r="V45" s="263">
        <v>1.0167246608260674E-2</v>
      </c>
      <c r="W45" s="136">
        <v>5.4474545189367764E-3</v>
      </c>
      <c r="X45" s="136">
        <v>1.0167246608260674E-2</v>
      </c>
      <c r="Y45" s="136">
        <v>5.4474545189367764E-3</v>
      </c>
      <c r="Z45" s="136">
        <v>3.0288114157372734E-2</v>
      </c>
      <c r="AA45" s="136">
        <v>1.0167246608260674E-2</v>
      </c>
      <c r="AB45" s="136">
        <v>5.4474545189367764E-3</v>
      </c>
      <c r="AC45" s="136">
        <v>3.0288114157372734E-2</v>
      </c>
      <c r="AD45" s="136">
        <v>1.0167246608260674E-2</v>
      </c>
      <c r="AE45" s="136">
        <v>5.4474545189367764E-3</v>
      </c>
      <c r="AF45" s="136">
        <v>2.7971610826403297E-3</v>
      </c>
      <c r="AG45" s="136">
        <v>1.0547767328333462E-3</v>
      </c>
      <c r="AH45" s="136">
        <v>1.0167246608260674E-2</v>
      </c>
      <c r="AI45" s="136">
        <v>5.4474545189367764E-3</v>
      </c>
      <c r="AJ45" s="136">
        <v>1.0167246608260674E-2</v>
      </c>
    </row>
    <row r="46" spans="1:36" x14ac:dyDescent="0.25">
      <c r="A46" s="31"/>
      <c r="C46" s="73"/>
    </row>
    <row r="47" spans="1:36" ht="13" x14ac:dyDescent="0.25">
      <c r="A47" s="13" t="s">
        <v>9</v>
      </c>
      <c r="B47" s="17" t="str">
        <f ca="1">GetNameRange(B48)</f>
        <v>PurchAssetsDefnBondCallPutPricePct</v>
      </c>
      <c r="C47" s="73"/>
      <c r="D47" s="245"/>
    </row>
    <row r="48" spans="1:36" ht="13" x14ac:dyDescent="0.25">
      <c r="A48" s="32" t="s">
        <v>404</v>
      </c>
      <c r="B48" s="53" t="s">
        <v>89</v>
      </c>
      <c r="C48" s="179" t="s">
        <v>483</v>
      </c>
      <c r="D48" s="179" t="s">
        <v>483</v>
      </c>
      <c r="E48" s="179" t="s">
        <v>483</v>
      </c>
      <c r="F48" s="179" t="s">
        <v>483</v>
      </c>
      <c r="G48" s="179" t="s">
        <v>483</v>
      </c>
      <c r="H48" s="179" t="s">
        <v>483</v>
      </c>
      <c r="I48" s="179" t="s">
        <v>483</v>
      </c>
      <c r="J48" s="179" t="s">
        <v>483</v>
      </c>
      <c r="K48" s="179" t="s">
        <v>483</v>
      </c>
      <c r="L48" s="179" t="s">
        <v>483</v>
      </c>
      <c r="M48" s="179" t="s">
        <v>483</v>
      </c>
      <c r="N48" s="179" t="s">
        <v>483</v>
      </c>
      <c r="O48" s="179" t="s">
        <v>483</v>
      </c>
      <c r="P48" s="179" t="s">
        <v>483</v>
      </c>
      <c r="Q48" s="179" t="s">
        <v>483</v>
      </c>
      <c r="R48" s="179" t="s">
        <v>483</v>
      </c>
      <c r="S48" s="179" t="s">
        <v>483</v>
      </c>
      <c r="T48" s="179" t="s">
        <v>483</v>
      </c>
      <c r="U48" s="179" t="s">
        <v>483</v>
      </c>
      <c r="V48" s="179" t="s">
        <v>483</v>
      </c>
      <c r="W48" s="179" t="s">
        <v>483</v>
      </c>
      <c r="X48" s="179" t="s">
        <v>483</v>
      </c>
      <c r="Y48" s="179" t="s">
        <v>483</v>
      </c>
      <c r="Z48" s="179" t="s">
        <v>483</v>
      </c>
      <c r="AA48" s="179" t="s">
        <v>484</v>
      </c>
      <c r="AB48" s="179" t="s">
        <v>484</v>
      </c>
    </row>
    <row r="49" spans="1:28" ht="13" x14ac:dyDescent="0.25">
      <c r="B49" s="52" t="s">
        <v>366</v>
      </c>
      <c r="C49" s="26" t="s">
        <v>433</v>
      </c>
      <c r="D49" s="24" t="s">
        <v>90</v>
      </c>
      <c r="E49" s="26" t="s">
        <v>433</v>
      </c>
      <c r="F49" s="24" t="s">
        <v>90</v>
      </c>
      <c r="G49" s="24" t="s">
        <v>90</v>
      </c>
      <c r="H49" s="26" t="s">
        <v>433</v>
      </c>
      <c r="I49" s="24" t="s">
        <v>90</v>
      </c>
      <c r="J49" s="24" t="s">
        <v>90</v>
      </c>
      <c r="K49" s="24" t="s">
        <v>90</v>
      </c>
      <c r="L49" s="24" t="s">
        <v>90</v>
      </c>
      <c r="M49" s="24" t="s">
        <v>90</v>
      </c>
      <c r="N49" s="24" t="s">
        <v>90</v>
      </c>
      <c r="O49" s="24" t="s">
        <v>90</v>
      </c>
      <c r="P49" s="24" t="s">
        <v>90</v>
      </c>
      <c r="Q49" s="24" t="s">
        <v>90</v>
      </c>
      <c r="R49" s="24" t="s">
        <v>90</v>
      </c>
      <c r="S49" s="24" t="s">
        <v>90</v>
      </c>
      <c r="T49" s="24" t="s">
        <v>90</v>
      </c>
      <c r="U49" s="24" t="s">
        <v>90</v>
      </c>
      <c r="V49" s="24" t="s">
        <v>90</v>
      </c>
      <c r="W49" s="24" t="s">
        <v>90</v>
      </c>
      <c r="X49" s="24" t="s">
        <v>90</v>
      </c>
      <c r="Y49" s="24" t="s">
        <v>90</v>
      </c>
      <c r="Z49" s="24" t="s">
        <v>90</v>
      </c>
      <c r="AA49" s="26" t="s">
        <v>433</v>
      </c>
      <c r="AB49" s="24" t="s">
        <v>90</v>
      </c>
    </row>
    <row r="50" spans="1:28" ht="13" x14ac:dyDescent="0.25">
      <c r="B50" s="36" t="s">
        <v>91</v>
      </c>
      <c r="C50" s="34"/>
      <c r="D50" s="35"/>
      <c r="E50" s="34"/>
      <c r="F50" s="35"/>
      <c r="G50" s="35"/>
      <c r="H50" s="34"/>
      <c r="I50" s="35"/>
      <c r="J50" s="35"/>
      <c r="K50" s="35"/>
      <c r="L50" s="35"/>
      <c r="M50" s="35"/>
      <c r="N50" s="35"/>
      <c r="O50" s="35"/>
      <c r="P50" s="35"/>
      <c r="Q50" s="35"/>
      <c r="R50" s="35"/>
      <c r="S50" s="35"/>
      <c r="T50" s="35"/>
      <c r="U50" s="35"/>
      <c r="V50" s="35"/>
      <c r="W50" s="35"/>
      <c r="X50" s="35"/>
      <c r="Y50" s="35"/>
      <c r="Z50" s="35"/>
      <c r="AA50" s="34"/>
      <c r="AB50" s="35"/>
    </row>
    <row r="51" spans="1:28" x14ac:dyDescent="0.25">
      <c r="A51" s="70">
        <v>1</v>
      </c>
      <c r="B51" s="112">
        <v>1</v>
      </c>
      <c r="C51" s="76">
        <v>1</v>
      </c>
      <c r="D51" s="65">
        <v>1</v>
      </c>
      <c r="E51" s="76">
        <v>1</v>
      </c>
      <c r="F51" s="65">
        <v>1</v>
      </c>
      <c r="G51" s="65">
        <v>1</v>
      </c>
      <c r="H51" s="76">
        <v>1</v>
      </c>
      <c r="I51" s="65">
        <v>1</v>
      </c>
      <c r="J51" s="65">
        <v>1</v>
      </c>
      <c r="K51" s="65">
        <v>1</v>
      </c>
      <c r="L51" s="65">
        <v>1</v>
      </c>
      <c r="M51" s="65">
        <v>1</v>
      </c>
      <c r="N51" s="65">
        <v>1</v>
      </c>
      <c r="O51" s="65">
        <v>1</v>
      </c>
      <c r="P51" s="65">
        <v>1</v>
      </c>
      <c r="Q51" s="65">
        <v>1</v>
      </c>
      <c r="R51" s="65">
        <v>1</v>
      </c>
      <c r="S51" s="65">
        <v>1</v>
      </c>
      <c r="T51" s="65">
        <v>1</v>
      </c>
      <c r="U51" s="65">
        <v>1</v>
      </c>
      <c r="V51" s="65">
        <v>1</v>
      </c>
      <c r="W51" s="65">
        <v>1</v>
      </c>
      <c r="X51" s="65">
        <v>1</v>
      </c>
      <c r="Y51" s="65">
        <v>1</v>
      </c>
      <c r="Z51" s="65">
        <v>1</v>
      </c>
      <c r="AA51" s="76">
        <v>1</v>
      </c>
      <c r="AB51" s="65">
        <v>1</v>
      </c>
    </row>
    <row r="52" spans="1:28" x14ac:dyDescent="0.25">
      <c r="A52" s="70">
        <v>1</v>
      </c>
      <c r="B52" s="112">
        <v>12</v>
      </c>
      <c r="C52" s="76">
        <v>1</v>
      </c>
      <c r="D52" s="65">
        <v>1</v>
      </c>
      <c r="E52" s="76">
        <v>1</v>
      </c>
      <c r="F52" s="65">
        <v>1</v>
      </c>
      <c r="G52" s="65">
        <v>1</v>
      </c>
      <c r="H52" s="76">
        <v>1</v>
      </c>
      <c r="I52" s="65">
        <v>1</v>
      </c>
      <c r="J52" s="65">
        <v>1</v>
      </c>
      <c r="K52" s="65">
        <v>1</v>
      </c>
      <c r="L52" s="65">
        <v>1</v>
      </c>
      <c r="M52" s="65">
        <v>1</v>
      </c>
      <c r="N52" s="65">
        <v>1</v>
      </c>
      <c r="O52" s="65">
        <v>1</v>
      </c>
      <c r="P52" s="65">
        <v>1</v>
      </c>
      <c r="Q52" s="65">
        <v>1</v>
      </c>
      <c r="R52" s="65">
        <v>1</v>
      </c>
      <c r="S52" s="65">
        <v>1</v>
      </c>
      <c r="T52" s="65">
        <v>1</v>
      </c>
      <c r="U52" s="65">
        <v>1</v>
      </c>
      <c r="V52" s="65">
        <v>1</v>
      </c>
      <c r="W52" s="65">
        <v>1</v>
      </c>
      <c r="X52" s="65">
        <v>1</v>
      </c>
      <c r="Y52" s="65">
        <v>1</v>
      </c>
      <c r="Z52" s="65">
        <v>1</v>
      </c>
      <c r="AA52" s="76">
        <v>1</v>
      </c>
      <c r="AB52" s="65">
        <v>1</v>
      </c>
    </row>
    <row r="53" spans="1:28" x14ac:dyDescent="0.25">
      <c r="A53" s="70">
        <v>1</v>
      </c>
      <c r="B53" s="112">
        <v>60</v>
      </c>
      <c r="C53" s="76">
        <v>1</v>
      </c>
      <c r="D53" s="65">
        <v>1</v>
      </c>
      <c r="E53" s="76">
        <v>1</v>
      </c>
      <c r="F53" s="65">
        <v>1</v>
      </c>
      <c r="G53" s="65">
        <v>1</v>
      </c>
      <c r="H53" s="76">
        <v>1</v>
      </c>
      <c r="I53" s="65">
        <v>1</v>
      </c>
      <c r="J53" s="65">
        <v>1</v>
      </c>
      <c r="K53" s="65">
        <v>1</v>
      </c>
      <c r="L53" s="65">
        <v>1</v>
      </c>
      <c r="M53" s="65">
        <v>1</v>
      </c>
      <c r="N53" s="65">
        <v>1</v>
      </c>
      <c r="O53" s="65">
        <v>1</v>
      </c>
      <c r="P53" s="65">
        <v>1</v>
      </c>
      <c r="Q53" s="65">
        <v>1</v>
      </c>
      <c r="R53" s="65">
        <v>1</v>
      </c>
      <c r="S53" s="65">
        <v>1</v>
      </c>
      <c r="T53" s="65">
        <v>1</v>
      </c>
      <c r="U53" s="65">
        <v>1</v>
      </c>
      <c r="V53" s="65">
        <v>1</v>
      </c>
      <c r="W53" s="65">
        <v>1</v>
      </c>
      <c r="X53" s="65">
        <v>1</v>
      </c>
      <c r="Y53" s="65">
        <v>1</v>
      </c>
      <c r="Z53" s="65">
        <v>1</v>
      </c>
      <c r="AA53" s="76">
        <v>1</v>
      </c>
      <c r="AB53" s="65">
        <v>1</v>
      </c>
    </row>
    <row r="54" spans="1:28" x14ac:dyDescent="0.25">
      <c r="A54" s="70">
        <v>1</v>
      </c>
      <c r="B54" s="112">
        <v>120</v>
      </c>
      <c r="C54" s="76">
        <v>1</v>
      </c>
      <c r="D54" s="65">
        <v>1</v>
      </c>
      <c r="E54" s="76">
        <v>1</v>
      </c>
      <c r="F54" s="65">
        <v>1</v>
      </c>
      <c r="G54" s="65">
        <v>1</v>
      </c>
      <c r="H54" s="76">
        <v>1</v>
      </c>
      <c r="I54" s="65">
        <v>1</v>
      </c>
      <c r="J54" s="65">
        <v>1</v>
      </c>
      <c r="K54" s="65">
        <v>1</v>
      </c>
      <c r="L54" s="65">
        <v>1</v>
      </c>
      <c r="M54" s="65">
        <v>1</v>
      </c>
      <c r="N54" s="65">
        <v>1</v>
      </c>
      <c r="O54" s="65">
        <v>1</v>
      </c>
      <c r="P54" s="65">
        <v>1</v>
      </c>
      <c r="Q54" s="65">
        <v>1</v>
      </c>
      <c r="R54" s="65">
        <v>1</v>
      </c>
      <c r="S54" s="65">
        <v>1</v>
      </c>
      <c r="T54" s="65">
        <v>1</v>
      </c>
      <c r="U54" s="65">
        <v>1</v>
      </c>
      <c r="V54" s="65">
        <v>1</v>
      </c>
      <c r="W54" s="65">
        <v>1</v>
      </c>
      <c r="X54" s="65">
        <v>1</v>
      </c>
      <c r="Y54" s="65">
        <v>1</v>
      </c>
      <c r="Z54" s="65">
        <v>1</v>
      </c>
      <c r="AA54" s="76">
        <v>1</v>
      </c>
      <c r="AB54" s="65">
        <v>1</v>
      </c>
    </row>
    <row r="55" spans="1:28" x14ac:dyDescent="0.25">
      <c r="A55" s="70">
        <v>1</v>
      </c>
      <c r="B55" s="114">
        <v>999</v>
      </c>
      <c r="C55" s="115">
        <v>1</v>
      </c>
      <c r="D55" s="116">
        <v>1</v>
      </c>
      <c r="E55" s="115">
        <v>1</v>
      </c>
      <c r="F55" s="116">
        <v>1</v>
      </c>
      <c r="G55" s="116">
        <v>1</v>
      </c>
      <c r="H55" s="115">
        <v>1</v>
      </c>
      <c r="I55" s="116">
        <v>1</v>
      </c>
      <c r="J55" s="116">
        <v>1</v>
      </c>
      <c r="K55" s="116">
        <v>1</v>
      </c>
      <c r="L55" s="116">
        <v>1</v>
      </c>
      <c r="M55" s="116">
        <v>1</v>
      </c>
      <c r="N55" s="116">
        <v>1</v>
      </c>
      <c r="O55" s="116">
        <v>1</v>
      </c>
      <c r="P55" s="116">
        <v>1</v>
      </c>
      <c r="Q55" s="116">
        <v>1</v>
      </c>
      <c r="R55" s="116">
        <v>1</v>
      </c>
      <c r="S55" s="116">
        <v>1</v>
      </c>
      <c r="T55" s="116">
        <v>1</v>
      </c>
      <c r="U55" s="116">
        <v>1</v>
      </c>
      <c r="V55" s="116">
        <v>1</v>
      </c>
      <c r="W55" s="116">
        <v>1</v>
      </c>
      <c r="X55" s="116">
        <v>1</v>
      </c>
      <c r="Y55" s="116">
        <v>1</v>
      </c>
      <c r="Z55" s="116">
        <v>1</v>
      </c>
      <c r="AA55" s="115">
        <v>1</v>
      </c>
      <c r="AB55" s="116">
        <v>1</v>
      </c>
    </row>
    <row r="57" spans="1:28" ht="13" x14ac:dyDescent="0.25">
      <c r="A57" s="13" t="s">
        <v>9</v>
      </c>
      <c r="B57" s="17" t="str">
        <f ca="1">GetNameRange(B58)</f>
        <v>PurchAssetsDefnBondSinkFundPrinPmtPct</v>
      </c>
    </row>
    <row r="58" spans="1:28" ht="13" x14ac:dyDescent="0.25">
      <c r="A58" s="32" t="s">
        <v>404</v>
      </c>
      <c r="B58" s="117" t="s">
        <v>89</v>
      </c>
      <c r="C58" s="179" t="s">
        <v>483</v>
      </c>
      <c r="D58" s="179" t="s">
        <v>484</v>
      </c>
      <c r="E58" s="179" t="s">
        <v>483</v>
      </c>
      <c r="F58" s="179" t="s">
        <v>484</v>
      </c>
      <c r="G58" s="179" t="s">
        <v>484</v>
      </c>
      <c r="H58" s="179" t="s">
        <v>483</v>
      </c>
      <c r="I58" s="179" t="s">
        <v>484</v>
      </c>
      <c r="J58" s="179" t="s">
        <v>484</v>
      </c>
      <c r="K58" s="179" t="s">
        <v>484</v>
      </c>
      <c r="L58" s="179" t="s">
        <v>484</v>
      </c>
      <c r="M58" s="179" t="s">
        <v>484</v>
      </c>
      <c r="N58" s="179" t="s">
        <v>484</v>
      </c>
      <c r="O58" s="179" t="s">
        <v>484</v>
      </c>
      <c r="P58" s="179" t="s">
        <v>484</v>
      </c>
      <c r="Q58" s="179" t="s">
        <v>484</v>
      </c>
      <c r="R58" s="179" t="s">
        <v>484</v>
      </c>
      <c r="S58" s="179" t="s">
        <v>484</v>
      </c>
      <c r="T58" s="179" t="s">
        <v>484</v>
      </c>
      <c r="U58" s="179" t="s">
        <v>484</v>
      </c>
      <c r="V58" s="179" t="s">
        <v>484</v>
      </c>
      <c r="W58" s="179" t="s">
        <v>484</v>
      </c>
      <c r="X58" s="179" t="s">
        <v>484</v>
      </c>
      <c r="Y58" s="179" t="s">
        <v>484</v>
      </c>
      <c r="Z58" s="179" t="s">
        <v>484</v>
      </c>
    </row>
    <row r="59" spans="1:28" ht="13" x14ac:dyDescent="0.25">
      <c r="B59" s="118" t="s">
        <v>91</v>
      </c>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B59" s="226"/>
    </row>
    <row r="60" spans="1:28" x14ac:dyDescent="0.25">
      <c r="A60" s="70">
        <v>0</v>
      </c>
      <c r="B60" s="120">
        <v>1</v>
      </c>
      <c r="C60" s="76">
        <v>0</v>
      </c>
      <c r="D60" s="76">
        <v>0</v>
      </c>
      <c r="E60" s="76">
        <v>0</v>
      </c>
      <c r="F60" s="76">
        <v>0</v>
      </c>
      <c r="G60" s="76">
        <v>0</v>
      </c>
      <c r="H60" s="76">
        <v>0</v>
      </c>
      <c r="I60" s="76">
        <v>0</v>
      </c>
      <c r="J60" s="76">
        <v>0</v>
      </c>
      <c r="K60" s="76">
        <v>0</v>
      </c>
      <c r="L60" s="76">
        <v>0</v>
      </c>
      <c r="M60" s="76">
        <v>0</v>
      </c>
      <c r="N60" s="76">
        <v>0</v>
      </c>
      <c r="O60" s="76">
        <v>0</v>
      </c>
      <c r="P60" s="76">
        <v>0</v>
      </c>
      <c r="Q60" s="76">
        <v>0</v>
      </c>
      <c r="R60" s="76">
        <v>0</v>
      </c>
      <c r="S60" s="76">
        <v>0</v>
      </c>
      <c r="T60" s="76">
        <v>0</v>
      </c>
      <c r="U60" s="76">
        <v>0</v>
      </c>
      <c r="V60" s="76">
        <v>0</v>
      </c>
      <c r="W60" s="76">
        <v>0</v>
      </c>
      <c r="X60" s="76">
        <v>0</v>
      </c>
      <c r="Y60" s="76">
        <v>0</v>
      </c>
      <c r="Z60" s="76">
        <v>0</v>
      </c>
      <c r="AB60" s="226"/>
    </row>
    <row r="61" spans="1:28" x14ac:dyDescent="0.25">
      <c r="A61" s="70">
        <v>0</v>
      </c>
      <c r="B61" s="120">
        <v>60</v>
      </c>
      <c r="C61" s="76">
        <v>0</v>
      </c>
      <c r="D61" s="76">
        <v>0</v>
      </c>
      <c r="E61" s="76">
        <v>0</v>
      </c>
      <c r="F61" s="76">
        <v>0</v>
      </c>
      <c r="G61" s="76">
        <v>0</v>
      </c>
      <c r="H61" s="76">
        <v>0</v>
      </c>
      <c r="I61" s="76">
        <v>0</v>
      </c>
      <c r="J61" s="76">
        <v>0</v>
      </c>
      <c r="K61" s="76">
        <v>0</v>
      </c>
      <c r="L61" s="76">
        <v>0</v>
      </c>
      <c r="M61" s="76">
        <v>0</v>
      </c>
      <c r="N61" s="76">
        <v>0</v>
      </c>
      <c r="O61" s="76">
        <v>0</v>
      </c>
      <c r="P61" s="76">
        <v>0</v>
      </c>
      <c r="Q61" s="76">
        <v>0</v>
      </c>
      <c r="R61" s="76">
        <v>0</v>
      </c>
      <c r="S61" s="76">
        <v>0</v>
      </c>
      <c r="T61" s="76">
        <v>0</v>
      </c>
      <c r="U61" s="76">
        <v>0</v>
      </c>
      <c r="V61" s="76">
        <v>0</v>
      </c>
      <c r="W61" s="76">
        <v>0</v>
      </c>
      <c r="X61" s="76">
        <v>0</v>
      </c>
      <c r="Y61" s="76">
        <v>0</v>
      </c>
      <c r="Z61" s="76">
        <v>0</v>
      </c>
      <c r="AB61" s="226"/>
    </row>
    <row r="62" spans="1:28" x14ac:dyDescent="0.25">
      <c r="A62" s="70">
        <v>0</v>
      </c>
      <c r="B62" s="120">
        <v>120</v>
      </c>
      <c r="C62" s="76">
        <v>0</v>
      </c>
      <c r="D62" s="76">
        <v>0</v>
      </c>
      <c r="E62" s="76">
        <v>0</v>
      </c>
      <c r="F62" s="76">
        <v>0</v>
      </c>
      <c r="G62" s="76">
        <v>0</v>
      </c>
      <c r="H62" s="76">
        <v>0</v>
      </c>
      <c r="I62" s="76">
        <v>0</v>
      </c>
      <c r="J62" s="76">
        <v>0</v>
      </c>
      <c r="K62" s="76">
        <v>0</v>
      </c>
      <c r="L62" s="76">
        <v>0</v>
      </c>
      <c r="M62" s="76">
        <v>0</v>
      </c>
      <c r="N62" s="76">
        <v>0</v>
      </c>
      <c r="O62" s="76">
        <v>0</v>
      </c>
      <c r="P62" s="76">
        <v>0</v>
      </c>
      <c r="Q62" s="76">
        <v>0</v>
      </c>
      <c r="R62" s="76">
        <v>0</v>
      </c>
      <c r="S62" s="76">
        <v>0</v>
      </c>
      <c r="T62" s="76">
        <v>0</v>
      </c>
      <c r="U62" s="76">
        <v>0</v>
      </c>
      <c r="V62" s="76">
        <v>0</v>
      </c>
      <c r="W62" s="76">
        <v>0</v>
      </c>
      <c r="X62" s="76">
        <v>0</v>
      </c>
      <c r="Y62" s="76">
        <v>0</v>
      </c>
      <c r="Z62" s="76">
        <v>0</v>
      </c>
      <c r="AB62" s="226"/>
    </row>
    <row r="63" spans="1:28" x14ac:dyDescent="0.25">
      <c r="A63" s="70">
        <v>0</v>
      </c>
      <c r="B63" s="120">
        <v>180</v>
      </c>
      <c r="C63" s="76">
        <v>0</v>
      </c>
      <c r="D63" s="76">
        <v>0</v>
      </c>
      <c r="E63" s="76">
        <v>0</v>
      </c>
      <c r="F63" s="76">
        <v>0</v>
      </c>
      <c r="G63" s="76">
        <v>0</v>
      </c>
      <c r="H63" s="76">
        <v>0</v>
      </c>
      <c r="I63" s="76">
        <v>0</v>
      </c>
      <c r="J63" s="76">
        <v>0</v>
      </c>
      <c r="K63" s="76">
        <v>0</v>
      </c>
      <c r="L63" s="76">
        <v>0</v>
      </c>
      <c r="M63" s="76">
        <v>0</v>
      </c>
      <c r="N63" s="76">
        <v>0</v>
      </c>
      <c r="O63" s="76">
        <v>0</v>
      </c>
      <c r="P63" s="76">
        <v>0</v>
      </c>
      <c r="Q63" s="76">
        <v>0</v>
      </c>
      <c r="R63" s="76">
        <v>0</v>
      </c>
      <c r="S63" s="76">
        <v>0</v>
      </c>
      <c r="T63" s="76">
        <v>0</v>
      </c>
      <c r="U63" s="76">
        <v>0</v>
      </c>
      <c r="V63" s="76">
        <v>0</v>
      </c>
      <c r="W63" s="76">
        <v>0</v>
      </c>
      <c r="X63" s="76">
        <v>0</v>
      </c>
      <c r="Y63" s="76">
        <v>0</v>
      </c>
      <c r="Z63" s="76">
        <v>0</v>
      </c>
      <c r="AB63" s="226"/>
    </row>
    <row r="64" spans="1:28" x14ac:dyDescent="0.25">
      <c r="A64" s="70">
        <v>0</v>
      </c>
      <c r="B64" s="120">
        <v>240</v>
      </c>
      <c r="C64" s="76">
        <v>0</v>
      </c>
      <c r="D64" s="76">
        <v>0</v>
      </c>
      <c r="E64" s="76">
        <v>0</v>
      </c>
      <c r="F64" s="76">
        <v>0</v>
      </c>
      <c r="G64" s="76">
        <v>0</v>
      </c>
      <c r="H64" s="76">
        <v>0</v>
      </c>
      <c r="I64" s="76">
        <v>0</v>
      </c>
      <c r="J64" s="76">
        <v>0</v>
      </c>
      <c r="K64" s="76">
        <v>0</v>
      </c>
      <c r="L64" s="76">
        <v>0</v>
      </c>
      <c r="M64" s="76">
        <v>0</v>
      </c>
      <c r="N64" s="76">
        <v>0</v>
      </c>
      <c r="O64" s="76">
        <v>0</v>
      </c>
      <c r="P64" s="76">
        <v>0</v>
      </c>
      <c r="Q64" s="76">
        <v>0</v>
      </c>
      <c r="R64" s="76">
        <v>0</v>
      </c>
      <c r="S64" s="76">
        <v>0</v>
      </c>
      <c r="T64" s="76">
        <v>0</v>
      </c>
      <c r="U64" s="76">
        <v>0</v>
      </c>
      <c r="V64" s="76">
        <v>0</v>
      </c>
      <c r="W64" s="76">
        <v>0</v>
      </c>
      <c r="X64" s="76">
        <v>0</v>
      </c>
      <c r="Y64" s="76">
        <v>0</v>
      </c>
      <c r="Z64" s="76">
        <v>0</v>
      </c>
    </row>
  </sheetData>
  <conditionalFormatting sqref="I51:L55 I60:L64 D51:D55 D60:D64 M6:M45 R6:R45 W12 W16 W45 V6:V45 Y6:AI45 C6:E45 F45:L45 F16:L16 F12:L12 I6:K45 O12:Q12 O16:Q16 O45:Q45 O6:P45 S12:U12 S16:U16 S45:U45">
    <cfRule type="cellIs" dxfId="453" priority="673" operator="notEqual">
      <formula>$A6</formula>
    </cfRule>
  </conditionalFormatting>
  <conditionalFormatting sqref="C51:C55 Z51:Z55">
    <cfRule type="cellIs" dxfId="452" priority="667" operator="notEqual">
      <formula>$A51</formula>
    </cfRule>
  </conditionalFormatting>
  <conditionalFormatting sqref="C60:C64">
    <cfRule type="cellIs" dxfId="451" priority="666" operator="notEqual">
      <formula>$A60</formula>
    </cfRule>
  </conditionalFormatting>
  <conditionalFormatting sqref="AA51:AB55">
    <cfRule type="cellIs" dxfId="450" priority="662" operator="notEqual">
      <formula>$A51</formula>
    </cfRule>
  </conditionalFormatting>
  <conditionalFormatting sqref="Z60:Z64">
    <cfRule type="cellIs" dxfId="449" priority="661" operator="notEqual">
      <formula>$A60</formula>
    </cfRule>
  </conditionalFormatting>
  <conditionalFormatting sqref="H51:H55">
    <cfRule type="cellIs" dxfId="448" priority="643" operator="notEqual">
      <formula>$A51</formula>
    </cfRule>
  </conditionalFormatting>
  <conditionalFormatting sqref="H60:H64">
    <cfRule type="cellIs" dxfId="447" priority="642" operator="notEqual">
      <formula>$A60</formula>
    </cfRule>
  </conditionalFormatting>
  <conditionalFormatting sqref="H51:H55">
    <cfRule type="cellIs" dxfId="446" priority="639" operator="notEqual">
      <formula>$A51</formula>
    </cfRule>
  </conditionalFormatting>
  <conditionalFormatting sqref="H60:H64">
    <cfRule type="cellIs" dxfId="445" priority="636" operator="notEqual">
      <formula>$A60</formula>
    </cfRule>
  </conditionalFormatting>
  <conditionalFormatting sqref="D51:D55">
    <cfRule type="cellIs" dxfId="444" priority="633" operator="notEqual">
      <formula>$A51</formula>
    </cfRule>
  </conditionalFormatting>
  <conditionalFormatting sqref="D60:D64">
    <cfRule type="cellIs" dxfId="443" priority="630" operator="notEqual">
      <formula>$A60</formula>
    </cfRule>
  </conditionalFormatting>
  <conditionalFormatting sqref="M51:M55">
    <cfRule type="cellIs" dxfId="442" priority="619" operator="notEqual">
      <formula>$A51</formula>
    </cfRule>
  </conditionalFormatting>
  <conditionalFormatting sqref="M60:M64">
    <cfRule type="cellIs" dxfId="441" priority="616" operator="notEqual">
      <formula>$A60</formula>
    </cfRule>
  </conditionalFormatting>
  <conditionalFormatting sqref="S51:T55 X51:X55">
    <cfRule type="cellIs" dxfId="440" priority="613" operator="notEqual">
      <formula>$A51</formula>
    </cfRule>
  </conditionalFormatting>
  <conditionalFormatting sqref="S60:T64 X60:X64">
    <cfRule type="cellIs" dxfId="439" priority="610" operator="notEqual">
      <formula>$A60</formula>
    </cfRule>
  </conditionalFormatting>
  <conditionalFormatting sqref="R51:R55">
    <cfRule type="cellIs" dxfId="438" priority="607" operator="notEqual">
      <formula>$A51</formula>
    </cfRule>
  </conditionalFormatting>
  <conditionalFormatting sqref="R60:R64">
    <cfRule type="cellIs" dxfId="437" priority="604" operator="notEqual">
      <formula>$A60</formula>
    </cfRule>
  </conditionalFormatting>
  <conditionalFormatting sqref="N51:O55 Q51:Q55">
    <cfRule type="cellIs" dxfId="436" priority="601" operator="notEqual">
      <formula>$A51</formula>
    </cfRule>
  </conditionalFormatting>
  <conditionalFormatting sqref="N60:O64 Q60:Q64">
    <cfRule type="cellIs" dxfId="435" priority="598" operator="notEqual">
      <formula>$A60</formula>
    </cfRule>
  </conditionalFormatting>
  <conditionalFormatting sqref="Y51:Y55">
    <cfRule type="cellIs" dxfId="434" priority="595" operator="notEqual">
      <formula>$A51</formula>
    </cfRule>
  </conditionalFormatting>
  <conditionalFormatting sqref="Y60:Y64">
    <cfRule type="cellIs" dxfId="433" priority="592" operator="notEqual">
      <formula>$A60</formula>
    </cfRule>
  </conditionalFormatting>
  <conditionalFormatting sqref="W51:W55">
    <cfRule type="cellIs" dxfId="432" priority="589" operator="notEqual">
      <formula>$A51</formula>
    </cfRule>
  </conditionalFormatting>
  <conditionalFormatting sqref="W60:W64">
    <cfRule type="cellIs" dxfId="431" priority="586" operator="notEqual">
      <formula>$A60</formula>
    </cfRule>
  </conditionalFormatting>
  <conditionalFormatting sqref="U51:U55">
    <cfRule type="cellIs" dxfId="430" priority="583" operator="notEqual">
      <formula>$A51</formula>
    </cfRule>
  </conditionalFormatting>
  <conditionalFormatting sqref="U60:U64">
    <cfRule type="cellIs" dxfId="429" priority="580" operator="notEqual">
      <formula>$A60</formula>
    </cfRule>
  </conditionalFormatting>
  <conditionalFormatting sqref="V51:V55">
    <cfRule type="cellIs" dxfId="428" priority="577" operator="notEqual">
      <formula>$A51</formula>
    </cfRule>
  </conditionalFormatting>
  <conditionalFormatting sqref="V60:V64">
    <cfRule type="cellIs" dxfId="427" priority="574" operator="notEqual">
      <formula>$A60</formula>
    </cfRule>
  </conditionalFormatting>
  <conditionalFormatting sqref="E51:E55">
    <cfRule type="cellIs" dxfId="426" priority="570" operator="notEqual">
      <formula>$A51</formula>
    </cfRule>
  </conditionalFormatting>
  <conditionalFormatting sqref="E60:E64">
    <cfRule type="cellIs" dxfId="425" priority="569" operator="notEqual">
      <formula>$A60</formula>
    </cfRule>
  </conditionalFormatting>
  <conditionalFormatting sqref="E51:E55">
    <cfRule type="cellIs" dxfId="424" priority="566" operator="notEqual">
      <formula>$A51</formula>
    </cfRule>
  </conditionalFormatting>
  <conditionalFormatting sqref="E60:E64">
    <cfRule type="cellIs" dxfId="423" priority="563" operator="notEqual">
      <formula>$A60</formula>
    </cfRule>
  </conditionalFormatting>
  <conditionalFormatting sqref="F51:F55">
    <cfRule type="cellIs" dxfId="422" priority="560" operator="notEqual">
      <formula>$A51</formula>
    </cfRule>
  </conditionalFormatting>
  <conditionalFormatting sqref="F60:F64">
    <cfRule type="cellIs" dxfId="421" priority="557" operator="notEqual">
      <formula>$A60</formula>
    </cfRule>
  </conditionalFormatting>
  <conditionalFormatting sqref="AJ12 AJ16 AJ45">
    <cfRule type="cellIs" dxfId="420" priority="308" operator="notEqual">
      <formula>$A12</formula>
    </cfRule>
  </conditionalFormatting>
  <conditionalFormatting sqref="AJ6 AJ12:AJ14 AJ8:AJ10 AJ16:AJ19">
    <cfRule type="cellIs" dxfId="419" priority="306" operator="notEqual">
      <formula>$A6</formula>
    </cfRule>
  </conditionalFormatting>
  <conditionalFormatting sqref="AJ11">
    <cfRule type="cellIs" dxfId="418" priority="305" operator="notEqual">
      <formula>$A11</formula>
    </cfRule>
  </conditionalFormatting>
  <conditionalFormatting sqref="AJ20:AJ44">
    <cfRule type="cellIs" dxfId="417" priority="304" operator="notEqual">
      <formula>$A20</formula>
    </cfRule>
  </conditionalFormatting>
  <conditionalFormatting sqref="AJ45">
    <cfRule type="cellIs" dxfId="416" priority="303" operator="notEqual">
      <formula>$A45</formula>
    </cfRule>
  </conditionalFormatting>
  <conditionalFormatting sqref="H6 H12:H14 H8:H10 H16:H44">
    <cfRule type="cellIs" dxfId="415" priority="295" operator="notEqual">
      <formula>$A6</formula>
    </cfRule>
  </conditionalFormatting>
  <conditionalFormatting sqref="H11">
    <cfRule type="cellIs" dxfId="414" priority="294" operator="notEqual">
      <formula>$A11</formula>
    </cfRule>
  </conditionalFormatting>
  <conditionalFormatting sqref="H45">
    <cfRule type="cellIs" dxfId="413" priority="293" operator="notEqual">
      <formula>$A45</formula>
    </cfRule>
  </conditionalFormatting>
  <conditionalFormatting sqref="H6 H12:H14 H8:H10 H16:H19">
    <cfRule type="cellIs" dxfId="412" priority="292" operator="notEqual">
      <formula>$A6</formula>
    </cfRule>
  </conditionalFormatting>
  <conditionalFormatting sqref="H11">
    <cfRule type="cellIs" dxfId="411" priority="291" operator="notEqual">
      <formula>$A11</formula>
    </cfRule>
  </conditionalFormatting>
  <conditionalFormatting sqref="H20:H44">
    <cfRule type="cellIs" dxfId="410" priority="290" operator="notEqual">
      <formula>$A20</formula>
    </cfRule>
  </conditionalFormatting>
  <conditionalFormatting sqref="H45">
    <cfRule type="cellIs" dxfId="409" priority="289" operator="notEqual">
      <formula>$A45</formula>
    </cfRule>
  </conditionalFormatting>
  <conditionalFormatting sqref="E8:E10 E12:E14 E16:E19">
    <cfRule type="cellIs" dxfId="408" priority="288" operator="notEqual">
      <formula>$A8</formula>
    </cfRule>
  </conditionalFormatting>
  <conditionalFormatting sqref="E11">
    <cfRule type="cellIs" dxfId="407" priority="287" operator="notEqual">
      <formula>$A11</formula>
    </cfRule>
  </conditionalFormatting>
  <conditionalFormatting sqref="E20:E44">
    <cfRule type="cellIs" dxfId="406" priority="286" operator="notEqual">
      <formula>$A20</formula>
    </cfRule>
  </conditionalFormatting>
  <conditionalFormatting sqref="D45:E45">
    <cfRule type="cellIs" dxfId="405" priority="285" operator="notEqual">
      <formula>$A45</formula>
    </cfRule>
  </conditionalFormatting>
  <conditionalFormatting sqref="E6">
    <cfRule type="cellIs" dxfId="404" priority="283" operator="notEqual">
      <formula>$A6</formula>
    </cfRule>
  </conditionalFormatting>
  <conditionalFormatting sqref="L6 L12:L14 L8:L10 L16:L19">
    <cfRule type="cellIs" dxfId="403" priority="278" operator="notEqual">
      <formula>$A6</formula>
    </cfRule>
  </conditionalFormatting>
  <conditionalFormatting sqref="L11">
    <cfRule type="cellIs" dxfId="402" priority="277" operator="notEqual">
      <formula>$A11</formula>
    </cfRule>
  </conditionalFormatting>
  <conditionalFormatting sqref="L20:L44">
    <cfRule type="cellIs" dxfId="401" priority="276" operator="notEqual">
      <formula>$A20</formula>
    </cfRule>
  </conditionalFormatting>
  <conditionalFormatting sqref="L45">
    <cfRule type="cellIs" dxfId="400" priority="275" operator="notEqual">
      <formula>$A45</formula>
    </cfRule>
  </conditionalFormatting>
  <conditionalFormatting sqref="S6 S12:S14 W12:W14 W6 W8:W10 S8:S10 W16:W19 S16:S19">
    <cfRule type="cellIs" dxfId="399" priority="274" operator="notEqual">
      <formula>$A6</formula>
    </cfRule>
  </conditionalFormatting>
  <conditionalFormatting sqref="S11 W11">
    <cfRule type="cellIs" dxfId="398" priority="273" operator="notEqual">
      <formula>$A11</formula>
    </cfRule>
  </conditionalFormatting>
  <conditionalFormatting sqref="S20:S44 W20:W44">
    <cfRule type="cellIs" dxfId="397" priority="272" operator="notEqual">
      <formula>$A20</formula>
    </cfRule>
  </conditionalFormatting>
  <conditionalFormatting sqref="W45 S45">
    <cfRule type="cellIs" dxfId="396" priority="271" operator="notEqual">
      <formula>$A45</formula>
    </cfRule>
  </conditionalFormatting>
  <conditionalFormatting sqref="Q6 Q12:Q14 Q8:Q10 Q16:Q19">
    <cfRule type="cellIs" dxfId="395" priority="270" operator="notEqual">
      <formula>$A6</formula>
    </cfRule>
  </conditionalFormatting>
  <conditionalFormatting sqref="Q11">
    <cfRule type="cellIs" dxfId="394" priority="269" operator="notEqual">
      <formula>$A11</formula>
    </cfRule>
  </conditionalFormatting>
  <conditionalFormatting sqref="Q20:Q44">
    <cfRule type="cellIs" dxfId="393" priority="268" operator="notEqual">
      <formula>$A20</formula>
    </cfRule>
  </conditionalFormatting>
  <conditionalFormatting sqref="Q45">
    <cfRule type="cellIs" dxfId="392" priority="267" operator="notEqual">
      <formula>$A45</formula>
    </cfRule>
  </conditionalFormatting>
  <conditionalFormatting sqref="T12:T14 T6 T8:T10 T16:T19">
    <cfRule type="cellIs" dxfId="391" priority="254" operator="notEqual">
      <formula>$A6</formula>
    </cfRule>
  </conditionalFormatting>
  <conditionalFormatting sqref="T11">
    <cfRule type="cellIs" dxfId="390" priority="253" operator="notEqual">
      <formula>$A11</formula>
    </cfRule>
  </conditionalFormatting>
  <conditionalFormatting sqref="T20:T44">
    <cfRule type="cellIs" dxfId="389" priority="252" operator="notEqual">
      <formula>$A20</formula>
    </cfRule>
  </conditionalFormatting>
  <conditionalFormatting sqref="T45">
    <cfRule type="cellIs" dxfId="388" priority="251" operator="notEqual">
      <formula>$A45</formula>
    </cfRule>
  </conditionalFormatting>
  <conditionalFormatting sqref="U6 U12:U14 U8:U10 U16:U19">
    <cfRule type="cellIs" dxfId="387" priority="250" operator="notEqual">
      <formula>$A6</formula>
    </cfRule>
  </conditionalFormatting>
  <conditionalFormatting sqref="U11">
    <cfRule type="cellIs" dxfId="386" priority="249" operator="notEqual">
      <formula>$A11</formula>
    </cfRule>
  </conditionalFormatting>
  <conditionalFormatting sqref="U20:U44">
    <cfRule type="cellIs" dxfId="385" priority="248" operator="notEqual">
      <formula>$A20</formula>
    </cfRule>
  </conditionalFormatting>
  <conditionalFormatting sqref="U45">
    <cfRule type="cellIs" dxfId="384" priority="247" operator="notEqual">
      <formula>$A45</formula>
    </cfRule>
  </conditionalFormatting>
  <conditionalFormatting sqref="F6 F12:F14 F8:F10 F16:F44">
    <cfRule type="cellIs" dxfId="383" priority="246" operator="notEqual">
      <formula>$A6</formula>
    </cfRule>
  </conditionalFormatting>
  <conditionalFormatting sqref="F11">
    <cfRule type="cellIs" dxfId="382" priority="245" operator="notEqual">
      <formula>$A11</formula>
    </cfRule>
  </conditionalFormatting>
  <conditionalFormatting sqref="F45">
    <cfRule type="cellIs" dxfId="381" priority="244" operator="notEqual">
      <formula>$A45</formula>
    </cfRule>
  </conditionalFormatting>
  <conditionalFormatting sqref="F6 F12:F14 F8:F10 F16:F19">
    <cfRule type="cellIs" dxfId="380" priority="243" operator="notEqual">
      <formula>$A6</formula>
    </cfRule>
  </conditionalFormatting>
  <conditionalFormatting sqref="F11">
    <cfRule type="cellIs" dxfId="379" priority="242" operator="notEqual">
      <formula>$A11</formula>
    </cfRule>
  </conditionalFormatting>
  <conditionalFormatting sqref="F20:F44">
    <cfRule type="cellIs" dxfId="378" priority="241" operator="notEqual">
      <formula>$A20</formula>
    </cfRule>
  </conditionalFormatting>
  <conditionalFormatting sqref="F45">
    <cfRule type="cellIs" dxfId="377" priority="240" operator="notEqual">
      <formula>$A45</formula>
    </cfRule>
  </conditionalFormatting>
  <conditionalFormatting sqref="G6 G12:G14 G8:G10 G16:G19">
    <cfRule type="cellIs" dxfId="376" priority="239" operator="notEqual">
      <formula>$A6</formula>
    </cfRule>
  </conditionalFormatting>
  <conditionalFormatting sqref="G11">
    <cfRule type="cellIs" dxfId="375" priority="238" operator="notEqual">
      <formula>$A11</formula>
    </cfRule>
  </conditionalFormatting>
  <conditionalFormatting sqref="G20:G44">
    <cfRule type="cellIs" dxfId="374" priority="237" operator="notEqual">
      <formula>$A20</formula>
    </cfRule>
  </conditionalFormatting>
  <conditionalFormatting sqref="G45">
    <cfRule type="cellIs" dxfId="373" priority="236" operator="notEqual">
      <formula>$A45</formula>
    </cfRule>
  </conditionalFormatting>
  <conditionalFormatting sqref="AJ7">
    <cfRule type="cellIs" dxfId="372" priority="234" operator="notEqual">
      <formula>$A7</formula>
    </cfRule>
  </conditionalFormatting>
  <conditionalFormatting sqref="H7">
    <cfRule type="cellIs" dxfId="371" priority="231" operator="notEqual">
      <formula>$A7</formula>
    </cfRule>
  </conditionalFormatting>
  <conditionalFormatting sqref="H7">
    <cfRule type="cellIs" dxfId="370" priority="230" operator="notEqual">
      <formula>$A7</formula>
    </cfRule>
  </conditionalFormatting>
  <conditionalFormatting sqref="E7">
    <cfRule type="cellIs" dxfId="369" priority="229" operator="notEqual">
      <formula>$A7</formula>
    </cfRule>
  </conditionalFormatting>
  <conditionalFormatting sqref="L7">
    <cfRule type="cellIs" dxfId="368" priority="227" operator="notEqual">
      <formula>$A7</formula>
    </cfRule>
  </conditionalFormatting>
  <conditionalFormatting sqref="S7 W7">
    <cfRule type="cellIs" dxfId="367" priority="226" operator="notEqual">
      <formula>$A7</formula>
    </cfRule>
  </conditionalFormatting>
  <conditionalFormatting sqref="Q7">
    <cfRule type="cellIs" dxfId="366" priority="225" operator="notEqual">
      <formula>$A7</formula>
    </cfRule>
  </conditionalFormatting>
  <conditionalFormatting sqref="T7">
    <cfRule type="cellIs" dxfId="365" priority="221" operator="notEqual">
      <formula>$A7</formula>
    </cfRule>
  </conditionalFormatting>
  <conditionalFormatting sqref="U7">
    <cfRule type="cellIs" dxfId="364" priority="220" operator="notEqual">
      <formula>$A7</formula>
    </cfRule>
  </conditionalFormatting>
  <conditionalFormatting sqref="F7">
    <cfRule type="cellIs" dxfId="363" priority="219" operator="notEqual">
      <formula>$A7</formula>
    </cfRule>
  </conditionalFormatting>
  <conditionalFormatting sqref="F7">
    <cfRule type="cellIs" dxfId="362" priority="218" operator="notEqual">
      <formula>$A7</formula>
    </cfRule>
  </conditionalFormatting>
  <conditionalFormatting sqref="G7">
    <cfRule type="cellIs" dxfId="361" priority="217" operator="notEqual">
      <formula>$A7</formula>
    </cfRule>
  </conditionalFormatting>
  <conditionalFormatting sqref="F45">
    <cfRule type="cellIs" dxfId="360" priority="216" operator="notEqual">
      <formula>$A45</formula>
    </cfRule>
  </conditionalFormatting>
  <conditionalFormatting sqref="K45">
    <cfRule type="cellIs" dxfId="359" priority="215" operator="notEqual">
      <formula>$A45</formula>
    </cfRule>
  </conditionalFormatting>
  <conditionalFormatting sqref="P45">
    <cfRule type="cellIs" dxfId="358" priority="214" operator="notEqual">
      <formula>$A45</formula>
    </cfRule>
  </conditionalFormatting>
  <conditionalFormatting sqref="U45">
    <cfRule type="cellIs" dxfId="357" priority="213" operator="notEqual">
      <formula>$A45</formula>
    </cfRule>
  </conditionalFormatting>
  <conditionalFormatting sqref="AJ45">
    <cfRule type="cellIs" dxfId="356" priority="212" operator="notEqual">
      <formula>$A45</formula>
    </cfRule>
  </conditionalFormatting>
  <conditionalFormatting sqref="O45">
    <cfRule type="cellIs" dxfId="355" priority="211" operator="notEqual">
      <formula>$A45</formula>
    </cfRule>
  </conditionalFormatting>
  <conditionalFormatting sqref="T45">
    <cfRule type="cellIs" dxfId="354" priority="210" operator="notEqual">
      <formula>$A45</formula>
    </cfRule>
  </conditionalFormatting>
  <conditionalFormatting sqref="Q45">
    <cfRule type="cellIs" dxfId="353" priority="206" operator="notEqual">
      <formula>$A45</formula>
    </cfRule>
  </conditionalFormatting>
  <conditionalFormatting sqref="L45">
    <cfRule type="cellIs" dxfId="352" priority="205" operator="notEqual">
      <formula>$A45</formula>
    </cfRule>
  </conditionalFormatting>
  <conditionalFormatting sqref="G45:H45">
    <cfRule type="cellIs" dxfId="351" priority="204" operator="notEqual">
      <formula>$A45</formula>
    </cfRule>
  </conditionalFormatting>
  <conditionalFormatting sqref="U45">
    <cfRule type="cellIs" dxfId="350" priority="201" operator="notEqual">
      <formula>$A45</formula>
    </cfRule>
  </conditionalFormatting>
  <conditionalFormatting sqref="U45">
    <cfRule type="cellIs" dxfId="349" priority="200" operator="notEqual">
      <formula>$A45</formula>
    </cfRule>
  </conditionalFormatting>
  <conditionalFormatting sqref="P45">
    <cfRule type="cellIs" dxfId="348" priority="199" operator="notEqual">
      <formula>$A45</formula>
    </cfRule>
  </conditionalFormatting>
  <conditionalFormatting sqref="P45">
    <cfRule type="cellIs" dxfId="347" priority="198" operator="notEqual">
      <formula>$A45</formula>
    </cfRule>
  </conditionalFormatting>
  <conditionalFormatting sqref="K45">
    <cfRule type="cellIs" dxfId="346" priority="197" operator="notEqual">
      <formula>$A45</formula>
    </cfRule>
  </conditionalFormatting>
  <conditionalFormatting sqref="K45">
    <cfRule type="cellIs" dxfId="345" priority="196" operator="notEqual">
      <formula>$A45</formula>
    </cfRule>
  </conditionalFormatting>
  <conditionalFormatting sqref="F45">
    <cfRule type="cellIs" dxfId="344" priority="195" operator="notEqual">
      <formula>$A45</formula>
    </cfRule>
  </conditionalFormatting>
  <conditionalFormatting sqref="F45">
    <cfRule type="cellIs" dxfId="343" priority="194" operator="notEqual">
      <formula>$A45</formula>
    </cfRule>
  </conditionalFormatting>
  <conditionalFormatting sqref="O45">
    <cfRule type="cellIs" dxfId="342" priority="191" operator="notEqual">
      <formula>$A45</formula>
    </cfRule>
  </conditionalFormatting>
  <conditionalFormatting sqref="O45">
    <cfRule type="cellIs" dxfId="341" priority="190" operator="notEqual">
      <formula>$A45</formula>
    </cfRule>
  </conditionalFormatting>
  <conditionalFormatting sqref="J45">
    <cfRule type="cellIs" dxfId="340" priority="189" operator="notEqual">
      <formula>$A45</formula>
    </cfRule>
  </conditionalFormatting>
  <conditionalFormatting sqref="J45">
    <cfRule type="cellIs" dxfId="339" priority="188" operator="notEqual">
      <formula>$A45</formula>
    </cfRule>
  </conditionalFormatting>
  <conditionalFormatting sqref="I45">
    <cfRule type="cellIs" dxfId="338" priority="185" operator="notEqual">
      <formula>$A45</formula>
    </cfRule>
  </conditionalFormatting>
  <conditionalFormatting sqref="I45">
    <cfRule type="cellIs" dxfId="337" priority="184" operator="notEqual">
      <formula>$A45</formula>
    </cfRule>
  </conditionalFormatting>
  <conditionalFormatting sqref="AJ15">
    <cfRule type="cellIs" dxfId="336" priority="182" operator="notEqual">
      <formula>$A15</formula>
    </cfRule>
  </conditionalFormatting>
  <conditionalFormatting sqref="H15">
    <cfRule type="cellIs" dxfId="335" priority="179" operator="notEqual">
      <formula>$A15</formula>
    </cfRule>
  </conditionalFormatting>
  <conditionalFormatting sqref="H15">
    <cfRule type="cellIs" dxfId="334" priority="178" operator="notEqual">
      <formula>$A15</formula>
    </cfRule>
  </conditionalFormatting>
  <conditionalFormatting sqref="E15">
    <cfRule type="cellIs" dxfId="333" priority="177" operator="notEqual">
      <formula>$A15</formula>
    </cfRule>
  </conditionalFormatting>
  <conditionalFormatting sqref="L15">
    <cfRule type="cellIs" dxfId="332" priority="175" operator="notEqual">
      <formula>$A15</formula>
    </cfRule>
  </conditionalFormatting>
  <conditionalFormatting sqref="S15 W15">
    <cfRule type="cellIs" dxfId="331" priority="174" operator="notEqual">
      <formula>$A15</formula>
    </cfRule>
  </conditionalFormatting>
  <conditionalFormatting sqref="Q15">
    <cfRule type="cellIs" dxfId="330" priority="173" operator="notEqual">
      <formula>$A15</formula>
    </cfRule>
  </conditionalFormatting>
  <conditionalFormatting sqref="T15">
    <cfRule type="cellIs" dxfId="329" priority="169" operator="notEqual">
      <formula>$A15</formula>
    </cfRule>
  </conditionalFormatting>
  <conditionalFormatting sqref="U15">
    <cfRule type="cellIs" dxfId="328" priority="168" operator="notEqual">
      <formula>$A15</formula>
    </cfRule>
  </conditionalFormatting>
  <conditionalFormatting sqref="F15">
    <cfRule type="cellIs" dxfId="327" priority="167" operator="notEqual">
      <formula>$A15</formula>
    </cfRule>
  </conditionalFormatting>
  <conditionalFormatting sqref="F15">
    <cfRule type="cellIs" dxfId="326" priority="166" operator="notEqual">
      <formula>$A15</formula>
    </cfRule>
  </conditionalFormatting>
  <conditionalFormatting sqref="G15">
    <cfRule type="cellIs" dxfId="325" priority="165" operator="notEqual">
      <formula>$A15</formula>
    </cfRule>
  </conditionalFormatting>
  <conditionalFormatting sqref="G45">
    <cfRule type="cellIs" dxfId="324" priority="164" operator="notEqual">
      <formula>$A45</formula>
    </cfRule>
  </conditionalFormatting>
  <conditionalFormatting sqref="G45">
    <cfRule type="cellIs" dxfId="323" priority="163" operator="notEqual">
      <formula>$A45</formula>
    </cfRule>
  </conditionalFormatting>
  <conditionalFormatting sqref="G45">
    <cfRule type="cellIs" dxfId="322" priority="162" operator="notEqual">
      <formula>$A45</formula>
    </cfRule>
  </conditionalFormatting>
  <conditionalFormatting sqref="G45">
    <cfRule type="cellIs" dxfId="321" priority="161" operator="notEqual">
      <formula>$A45</formula>
    </cfRule>
  </conditionalFormatting>
  <conditionalFormatting sqref="H45">
    <cfRule type="cellIs" dxfId="320" priority="156" operator="notEqual">
      <formula>$A45</formula>
    </cfRule>
  </conditionalFormatting>
  <conditionalFormatting sqref="H45">
    <cfRule type="cellIs" dxfId="319" priority="155" operator="notEqual">
      <formula>$A45</formula>
    </cfRule>
  </conditionalFormatting>
  <conditionalFormatting sqref="H45">
    <cfRule type="cellIs" dxfId="318" priority="154" operator="notEqual">
      <formula>$A45</formula>
    </cfRule>
  </conditionalFormatting>
  <conditionalFormatting sqref="H45">
    <cfRule type="cellIs" dxfId="317" priority="153" operator="notEqual">
      <formula>$A45</formula>
    </cfRule>
  </conditionalFormatting>
  <conditionalFormatting sqref="L45">
    <cfRule type="cellIs" dxfId="316" priority="152" operator="notEqual">
      <formula>$A45</formula>
    </cfRule>
  </conditionalFormatting>
  <conditionalFormatting sqref="L45">
    <cfRule type="cellIs" dxfId="315" priority="151" operator="notEqual">
      <formula>$A45</formula>
    </cfRule>
  </conditionalFormatting>
  <conditionalFormatting sqref="L45">
    <cfRule type="cellIs" dxfId="314" priority="150" operator="notEqual">
      <formula>$A45</formula>
    </cfRule>
  </conditionalFormatting>
  <conditionalFormatting sqref="L45">
    <cfRule type="cellIs" dxfId="313" priority="149" operator="notEqual">
      <formula>$A45</formula>
    </cfRule>
  </conditionalFormatting>
  <conditionalFormatting sqref="L45">
    <cfRule type="cellIs" dxfId="312" priority="148" operator="notEqual">
      <formula>$A45</formula>
    </cfRule>
  </conditionalFormatting>
  <conditionalFormatting sqref="L45">
    <cfRule type="cellIs" dxfId="311" priority="147" operator="notEqual">
      <formula>$A45</formula>
    </cfRule>
  </conditionalFormatting>
  <conditionalFormatting sqref="Q45">
    <cfRule type="cellIs" dxfId="310" priority="146" operator="notEqual">
      <formula>$A45</formula>
    </cfRule>
  </conditionalFormatting>
  <conditionalFormatting sqref="Q45">
    <cfRule type="cellIs" dxfId="309" priority="145" operator="notEqual">
      <formula>$A45</formula>
    </cfRule>
  </conditionalFormatting>
  <conditionalFormatting sqref="Q45">
    <cfRule type="cellIs" dxfId="308" priority="144" operator="notEqual">
      <formula>$A45</formula>
    </cfRule>
  </conditionalFormatting>
  <conditionalFormatting sqref="Q45">
    <cfRule type="cellIs" dxfId="307" priority="143" operator="notEqual">
      <formula>$A45</formula>
    </cfRule>
  </conditionalFormatting>
  <conditionalFormatting sqref="Q45">
    <cfRule type="cellIs" dxfId="306" priority="142" operator="notEqual">
      <formula>$A45</formula>
    </cfRule>
  </conditionalFormatting>
  <conditionalFormatting sqref="Q45">
    <cfRule type="cellIs" dxfId="305" priority="141" operator="notEqual">
      <formula>$A45</formula>
    </cfRule>
  </conditionalFormatting>
  <conditionalFormatting sqref="S45">
    <cfRule type="cellIs" dxfId="304" priority="140" operator="notEqual">
      <formula>$A45</formula>
    </cfRule>
  </conditionalFormatting>
  <conditionalFormatting sqref="S45">
    <cfRule type="cellIs" dxfId="303" priority="139" operator="notEqual">
      <formula>$A45</formula>
    </cfRule>
  </conditionalFormatting>
  <conditionalFormatting sqref="S45">
    <cfRule type="cellIs" dxfId="302" priority="138" operator="notEqual">
      <formula>$A45</formula>
    </cfRule>
  </conditionalFormatting>
  <conditionalFormatting sqref="S45">
    <cfRule type="cellIs" dxfId="301" priority="137" operator="notEqual">
      <formula>$A45</formula>
    </cfRule>
  </conditionalFormatting>
  <conditionalFormatting sqref="S45">
    <cfRule type="cellIs" dxfId="300" priority="136" operator="notEqual">
      <formula>$A45</formula>
    </cfRule>
  </conditionalFormatting>
  <conditionalFormatting sqref="S45">
    <cfRule type="cellIs" dxfId="299" priority="135" operator="notEqual">
      <formula>$A45</formula>
    </cfRule>
  </conditionalFormatting>
  <conditionalFormatting sqref="W45">
    <cfRule type="cellIs" dxfId="298" priority="134" operator="notEqual">
      <formula>$A45</formula>
    </cfRule>
  </conditionalFormatting>
  <conditionalFormatting sqref="W45">
    <cfRule type="cellIs" dxfId="297" priority="133" operator="notEqual">
      <formula>$A45</formula>
    </cfRule>
  </conditionalFormatting>
  <conditionalFormatting sqref="W45">
    <cfRule type="cellIs" dxfId="296" priority="132" operator="notEqual">
      <formula>$A45</formula>
    </cfRule>
  </conditionalFormatting>
  <conditionalFormatting sqref="W45">
    <cfRule type="cellIs" dxfId="295" priority="131" operator="notEqual">
      <formula>$A45</formula>
    </cfRule>
  </conditionalFormatting>
  <conditionalFormatting sqref="W45">
    <cfRule type="cellIs" dxfId="294" priority="130" operator="notEqual">
      <formula>$A45</formula>
    </cfRule>
  </conditionalFormatting>
  <conditionalFormatting sqref="W45">
    <cfRule type="cellIs" dxfId="293" priority="129" operator="notEqual">
      <formula>$A45</formula>
    </cfRule>
  </conditionalFormatting>
  <conditionalFormatting sqref="K45">
    <cfRule type="cellIs" dxfId="292" priority="122" operator="notEqual">
      <formula>$A45</formula>
    </cfRule>
  </conditionalFormatting>
  <conditionalFormatting sqref="K45">
    <cfRule type="cellIs" dxfId="291" priority="121" operator="notEqual">
      <formula>$A45</formula>
    </cfRule>
  </conditionalFormatting>
  <conditionalFormatting sqref="K45">
    <cfRule type="cellIs" dxfId="290" priority="120" operator="notEqual">
      <formula>$A45</formula>
    </cfRule>
  </conditionalFormatting>
  <conditionalFormatting sqref="K45">
    <cfRule type="cellIs" dxfId="289" priority="119" operator="notEqual">
      <formula>$A45</formula>
    </cfRule>
  </conditionalFormatting>
  <conditionalFormatting sqref="K45">
    <cfRule type="cellIs" dxfId="288" priority="118" operator="notEqual">
      <formula>$A45</formula>
    </cfRule>
  </conditionalFormatting>
  <conditionalFormatting sqref="P45">
    <cfRule type="cellIs" dxfId="287" priority="117" operator="notEqual">
      <formula>$A45</formula>
    </cfRule>
  </conditionalFormatting>
  <conditionalFormatting sqref="P45">
    <cfRule type="cellIs" dxfId="286" priority="116" operator="notEqual">
      <formula>$A45</formula>
    </cfRule>
  </conditionalFormatting>
  <conditionalFormatting sqref="P45">
    <cfRule type="cellIs" dxfId="285" priority="115" operator="notEqual">
      <formula>$A45</formula>
    </cfRule>
  </conditionalFormatting>
  <conditionalFormatting sqref="P45">
    <cfRule type="cellIs" dxfId="284" priority="114" operator="notEqual">
      <formula>$A45</formula>
    </cfRule>
  </conditionalFormatting>
  <conditionalFormatting sqref="P45">
    <cfRule type="cellIs" dxfId="283" priority="113" operator="notEqual">
      <formula>$A45</formula>
    </cfRule>
  </conditionalFormatting>
  <conditionalFormatting sqref="U45">
    <cfRule type="cellIs" dxfId="282" priority="112" operator="notEqual">
      <formula>$A45</formula>
    </cfRule>
  </conditionalFormatting>
  <conditionalFormatting sqref="U45">
    <cfRule type="cellIs" dxfId="281" priority="111" operator="notEqual">
      <formula>$A45</formula>
    </cfRule>
  </conditionalFormatting>
  <conditionalFormatting sqref="U45">
    <cfRule type="cellIs" dxfId="280" priority="110" operator="notEqual">
      <formula>$A45</formula>
    </cfRule>
  </conditionalFormatting>
  <conditionalFormatting sqref="U45">
    <cfRule type="cellIs" dxfId="279" priority="109" operator="notEqual">
      <formula>$A45</formula>
    </cfRule>
  </conditionalFormatting>
  <conditionalFormatting sqref="U45">
    <cfRule type="cellIs" dxfId="278" priority="108" operator="notEqual">
      <formula>$A45</formula>
    </cfRule>
  </conditionalFormatting>
  <conditionalFormatting sqref="AJ45">
    <cfRule type="cellIs" dxfId="277" priority="107" operator="notEqual">
      <formula>$A45</formula>
    </cfRule>
  </conditionalFormatting>
  <conditionalFormatting sqref="AJ45">
    <cfRule type="cellIs" dxfId="276" priority="106" operator="notEqual">
      <formula>$A45</formula>
    </cfRule>
  </conditionalFormatting>
  <conditionalFormatting sqref="AJ45">
    <cfRule type="cellIs" dxfId="275" priority="105" operator="notEqual">
      <formula>$A45</formula>
    </cfRule>
  </conditionalFormatting>
  <conditionalFormatting sqref="AJ45">
    <cfRule type="cellIs" dxfId="274" priority="104" operator="notEqual">
      <formula>$A45</formula>
    </cfRule>
  </conditionalFormatting>
  <conditionalFormatting sqref="AJ45">
    <cfRule type="cellIs" dxfId="273" priority="103" operator="notEqual">
      <formula>$A45</formula>
    </cfRule>
  </conditionalFormatting>
  <conditionalFormatting sqref="T45">
    <cfRule type="cellIs" dxfId="272" priority="102" operator="notEqual">
      <formula>$A45</formula>
    </cfRule>
  </conditionalFormatting>
  <conditionalFormatting sqref="T45">
    <cfRule type="cellIs" dxfId="271" priority="101" operator="notEqual">
      <formula>$A45</formula>
    </cfRule>
  </conditionalFormatting>
  <conditionalFormatting sqref="T45">
    <cfRule type="cellIs" dxfId="270" priority="100" operator="notEqual">
      <formula>$A45</formula>
    </cfRule>
  </conditionalFormatting>
  <conditionalFormatting sqref="T45">
    <cfRule type="cellIs" dxfId="269" priority="99" operator="notEqual">
      <formula>$A45</formula>
    </cfRule>
  </conditionalFormatting>
  <conditionalFormatting sqref="X12 X16 X45">
    <cfRule type="cellIs" dxfId="268" priority="94" operator="notEqual">
      <formula>$A12</formula>
    </cfRule>
  </conditionalFormatting>
  <conditionalFormatting sqref="X6 X12:X14 X8:X10 X16:X19">
    <cfRule type="cellIs" dxfId="267" priority="93" operator="notEqual">
      <formula>$A6</formula>
    </cfRule>
  </conditionalFormatting>
  <conditionalFormatting sqref="X11">
    <cfRule type="cellIs" dxfId="266" priority="92" operator="notEqual">
      <formula>$A11</formula>
    </cfRule>
  </conditionalFormatting>
  <conditionalFormatting sqref="X20:X44">
    <cfRule type="cellIs" dxfId="265" priority="91" operator="notEqual">
      <formula>$A20</formula>
    </cfRule>
  </conditionalFormatting>
  <conditionalFormatting sqref="X45">
    <cfRule type="cellIs" dxfId="264" priority="90" operator="notEqual">
      <formula>$A45</formula>
    </cfRule>
  </conditionalFormatting>
  <conditionalFormatting sqref="X7">
    <cfRule type="cellIs" dxfId="263" priority="89" operator="notEqual">
      <formula>$A7</formula>
    </cfRule>
  </conditionalFormatting>
  <conditionalFormatting sqref="X45">
    <cfRule type="cellIs" dxfId="262" priority="88" operator="notEqual">
      <formula>$A45</formula>
    </cfRule>
  </conditionalFormatting>
  <conditionalFormatting sqref="X15">
    <cfRule type="cellIs" dxfId="261" priority="87" operator="notEqual">
      <formula>$A15</formula>
    </cfRule>
  </conditionalFormatting>
  <conditionalFormatting sqref="X45">
    <cfRule type="cellIs" dxfId="260" priority="86" operator="notEqual">
      <formula>$A45</formula>
    </cfRule>
  </conditionalFormatting>
  <conditionalFormatting sqref="X45">
    <cfRule type="cellIs" dxfId="259" priority="85" operator="notEqual">
      <formula>$A45</formula>
    </cfRule>
  </conditionalFormatting>
  <conditionalFormatting sqref="X45">
    <cfRule type="cellIs" dxfId="258" priority="84" operator="notEqual">
      <formula>$A45</formula>
    </cfRule>
  </conditionalFormatting>
  <conditionalFormatting sqref="X45">
    <cfRule type="cellIs" dxfId="257" priority="83" operator="notEqual">
      <formula>$A45</formula>
    </cfRule>
  </conditionalFormatting>
  <conditionalFormatting sqref="X45">
    <cfRule type="cellIs" dxfId="256" priority="82" operator="notEqual">
      <formula>$A45</formula>
    </cfRule>
  </conditionalFormatting>
  <conditionalFormatting sqref="S45">
    <cfRule type="cellIs" dxfId="255" priority="68" operator="notEqual">
      <formula>$A45</formula>
    </cfRule>
  </conditionalFormatting>
  <conditionalFormatting sqref="S45">
    <cfRule type="cellIs" dxfId="254" priority="67" operator="notEqual">
      <formula>$A45</formula>
    </cfRule>
  </conditionalFormatting>
  <conditionalFormatting sqref="S45">
    <cfRule type="cellIs" dxfId="253" priority="66" operator="notEqual">
      <formula>$A45</formula>
    </cfRule>
  </conditionalFormatting>
  <conditionalFormatting sqref="S45">
    <cfRule type="cellIs" dxfId="252" priority="65" operator="notEqual">
      <formula>$A45</formula>
    </cfRule>
  </conditionalFormatting>
  <conditionalFormatting sqref="S45">
    <cfRule type="cellIs" dxfId="251" priority="64" operator="notEqual">
      <formula>$A45</formula>
    </cfRule>
  </conditionalFormatting>
  <conditionalFormatting sqref="S45">
    <cfRule type="cellIs" dxfId="250" priority="63" operator="notEqual">
      <formula>$A45</formula>
    </cfRule>
  </conditionalFormatting>
  <conditionalFormatting sqref="P51:P55 P60:P64">
    <cfRule type="cellIs" dxfId="249" priority="17" operator="notEqual">
      <formula>$A51</formula>
    </cfRule>
  </conditionalFormatting>
  <conditionalFormatting sqref="N45 N12">
    <cfRule type="cellIs" dxfId="248" priority="16" operator="notEqual">
      <formula>$A12</formula>
    </cfRule>
  </conditionalFormatting>
  <conditionalFormatting sqref="N12:N14 N6 N8:N9 N17:N19">
    <cfRule type="cellIs" dxfId="247" priority="15" operator="notEqual">
      <formula>$A6</formula>
    </cfRule>
  </conditionalFormatting>
  <conditionalFormatting sqref="N11">
    <cfRule type="cellIs" dxfId="246" priority="14" operator="notEqual">
      <formula>$A11</formula>
    </cfRule>
  </conditionalFormatting>
  <conditionalFormatting sqref="N20:N44">
    <cfRule type="cellIs" dxfId="245" priority="13" operator="notEqual">
      <formula>$A20</formula>
    </cfRule>
  </conditionalFormatting>
  <conditionalFormatting sqref="N45">
    <cfRule type="cellIs" dxfId="244" priority="12" operator="notEqual">
      <formula>$A45</formula>
    </cfRule>
  </conditionalFormatting>
  <conditionalFormatting sqref="G51:G55 G60:G64">
    <cfRule type="cellIs" dxfId="243" priority="43" operator="notEqual">
      <formula>$A51</formula>
    </cfRule>
  </conditionalFormatting>
  <conditionalFormatting sqref="N7">
    <cfRule type="cellIs" dxfId="242" priority="11" operator="notEqual">
      <formula>$A7</formula>
    </cfRule>
  </conditionalFormatting>
  <conditionalFormatting sqref="N45">
    <cfRule type="cellIs" dxfId="241" priority="10" operator="notEqual">
      <formula>$A45</formula>
    </cfRule>
  </conditionalFormatting>
  <conditionalFormatting sqref="N15">
    <cfRule type="cellIs" dxfId="240" priority="9" operator="notEqual">
      <formula>$A15</formula>
    </cfRule>
  </conditionalFormatting>
  <conditionalFormatting sqref="N45">
    <cfRule type="cellIs" dxfId="239" priority="8" operator="notEqual">
      <formula>$A45</formula>
    </cfRule>
  </conditionalFormatting>
  <conditionalFormatting sqref="N45">
    <cfRule type="cellIs" dxfId="238" priority="7" operator="notEqual">
      <formula>$A45</formula>
    </cfRule>
  </conditionalFormatting>
  <conditionalFormatting sqref="N45">
    <cfRule type="cellIs" dxfId="237" priority="6" operator="notEqual">
      <formula>$A45</formula>
    </cfRule>
  </conditionalFormatting>
  <conditionalFormatting sqref="N45">
    <cfRule type="cellIs" dxfId="236" priority="5" operator="notEqual">
      <formula>$A45</formula>
    </cfRule>
  </conditionalFormatting>
  <conditionalFormatting sqref="N10">
    <cfRule type="cellIs" dxfId="235" priority="4" operator="notEqual">
      <formula>$A10</formula>
    </cfRule>
  </conditionalFormatting>
  <conditionalFormatting sqref="N16">
    <cfRule type="cellIs" dxfId="234" priority="3" operator="notEqual">
      <formula>$A16</formula>
    </cfRule>
  </conditionalFormatting>
  <conditionalFormatting sqref="N16">
    <cfRule type="cellIs" dxfId="233" priority="2" operator="notEqual">
      <formula>$A16</formula>
    </cfRule>
  </conditionalFormatting>
  <dataValidations disablePrompts="1" count="6">
    <dataValidation type="list" allowBlank="1" showInputMessage="1" showErrorMessage="1" sqref="C12:AJ12" xr:uid="{00000000-0002-0000-0C00-000000000000}">
      <formula1>"Refinancing Rate,Fixed Rate,Floating Rate"</formula1>
    </dataValidation>
    <dataValidation type="list" allowBlank="1" showInputMessage="1" showErrorMessage="1" sqref="C13:AJ13" xr:uid="{BD4D1991-76CF-4146-8BE8-58E25D2AC2D4}">
      <formula1>"Semi-Annual,Monthly,Quarterly,Annual"</formula1>
    </dataValidation>
    <dataValidation type="list" allowBlank="1" showInputMessage="1" showErrorMessage="1" sqref="C25:AJ25" xr:uid="{C811A2C4-5AE5-4FBB-B154-B75200113F90}">
      <formula1>"Price Schedule,Yield Maintenance,Cash Flow Maintenance,Related to Coupon"</formula1>
    </dataValidation>
    <dataValidation type="list" allowBlank="1" showInputMessage="1" showErrorMessage="1" sqref="C27:AJ27 C35:AJ35" xr:uid="{F47ED16D-6A63-47BA-A5C3-669F9F5E0557}">
      <formula1>"Not Applicable,American,European"</formula1>
    </dataValidation>
    <dataValidation type="list" allowBlank="1" showInputMessage="1" showErrorMessage="1" sqref="C33:AJ33" xr:uid="{8BF60319-9178-4C13-AF4C-AA266019FEC6}">
      <formula1>"Price Schedule,Related to Coupon"</formula1>
    </dataValidation>
    <dataValidation type="list" allowBlank="1" showInputMessage="1" showErrorMessage="1" sqref="C40:AJ40" xr:uid="{BEFD711C-8196-45FC-805C-B9A2047BB969}">
      <formula1>"Yes,No"</formula1>
    </dataValidation>
  </dataValidations>
  <hyperlinks>
    <hyperlink ref="A1" location="'Table of Contents'!A1" display="Go to TOC" xr:uid="{00000000-0004-0000-0C00-000000000000}"/>
    <hyperlink ref="A47" location="'Table of Contents'!A1" display="Go to TOC" xr:uid="{00000000-0004-0000-0C00-000001000000}"/>
    <hyperlink ref="A48" location="'Purch Bond Defn'!B26" display="Back To Main" xr:uid="{00000000-0004-0000-0C00-000002000000}"/>
    <hyperlink ref="A57" location="'Table of Contents'!A1" display="Go to TOC" xr:uid="{00000000-0004-0000-0C00-000003000000}"/>
    <hyperlink ref="A58" location="'Purch Bond Defn'!B39" display="Back To Main" xr:uid="{00000000-0004-0000-0C00-000004000000}"/>
    <hyperlink ref="B28" location="PurchAssetsDefnBondCallPutPricePct" display="purch_bond_call_price_pct" xr:uid="{00000000-0004-0000-0C00-000005000000}"/>
    <hyperlink ref="B36" location="PurchAssetsDefnBondCallPutPricePct" display="purch_bond_put_price_pct" xr:uid="{00000000-0004-0000-0C00-000006000000}"/>
    <hyperlink ref="B41" location="PurchAssetsDefnBondSinkFundPrinPmtPct" display="purch_bond_sinking_fund_prin_pmt_pct" xr:uid="{00000000-0004-0000-0C00-000007000000}"/>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G85"/>
  <sheetViews>
    <sheetView showGridLines="0" topLeftCell="A4" workbookViewId="0"/>
  </sheetViews>
  <sheetFormatPr defaultColWidth="15.54296875" defaultRowHeight="12.5" x14ac:dyDescent="0.25"/>
  <cols>
    <col min="1" max="1" width="15.54296875" style="14"/>
    <col min="2" max="2" width="42" style="11" customWidth="1"/>
    <col min="3" max="3" width="18.1796875" style="11" customWidth="1"/>
    <col min="4" max="16384" width="15.54296875" style="11"/>
  </cols>
  <sheetData>
    <row r="1" spans="1:3" ht="15.5" x14ac:dyDescent="0.25">
      <c r="A1" s="21" t="s">
        <v>9</v>
      </c>
      <c r="B1" s="18" t="s">
        <v>415</v>
      </c>
    </row>
    <row r="2" spans="1:3" ht="15.5" x14ac:dyDescent="0.25">
      <c r="A2" s="21"/>
      <c r="B2" s="18"/>
    </row>
    <row r="3" spans="1:3" ht="13" x14ac:dyDescent="0.25">
      <c r="B3" s="17" t="str">
        <f ca="1">GetNameRange(B4)</f>
        <v>PurchAssetsDefnSec</v>
      </c>
    </row>
    <row r="4" spans="1:3" ht="13" x14ac:dyDescent="0.25">
      <c r="A4" s="55"/>
      <c r="B4" s="53" t="s">
        <v>89</v>
      </c>
      <c r="C4" s="54" t="s">
        <v>406</v>
      </c>
    </row>
    <row r="5" spans="1:3" ht="13" x14ac:dyDescent="0.25">
      <c r="A5" s="56" t="s">
        <v>8</v>
      </c>
      <c r="B5" s="19" t="s">
        <v>0</v>
      </c>
      <c r="C5" s="24"/>
    </row>
    <row r="6" spans="1:3" x14ac:dyDescent="0.25">
      <c r="A6" s="66" t="s">
        <v>6</v>
      </c>
      <c r="B6" s="39" t="s">
        <v>518</v>
      </c>
      <c r="C6" s="63" t="s">
        <v>6</v>
      </c>
    </row>
    <row r="7" spans="1:3" x14ac:dyDescent="0.25">
      <c r="A7" s="66" t="s">
        <v>149</v>
      </c>
      <c r="B7" s="39" t="s">
        <v>123</v>
      </c>
      <c r="C7" s="63" t="s">
        <v>149</v>
      </c>
    </row>
    <row r="8" spans="1:3" x14ac:dyDescent="0.25">
      <c r="A8" s="70" t="s">
        <v>525</v>
      </c>
      <c r="B8" s="39" t="s">
        <v>526</v>
      </c>
      <c r="C8" s="63" t="s">
        <v>525</v>
      </c>
    </row>
    <row r="9" spans="1:3" x14ac:dyDescent="0.25">
      <c r="A9" s="180" t="s">
        <v>149</v>
      </c>
      <c r="B9" s="39" t="s">
        <v>527</v>
      </c>
      <c r="C9" s="63" t="s">
        <v>149</v>
      </c>
    </row>
    <row r="10" spans="1:3" x14ac:dyDescent="0.25">
      <c r="A10" s="66" t="s">
        <v>51</v>
      </c>
      <c r="B10" s="39" t="s">
        <v>124</v>
      </c>
      <c r="C10" s="155" t="s">
        <v>51</v>
      </c>
    </row>
    <row r="11" spans="1:3" x14ac:dyDescent="0.25">
      <c r="A11" s="66" t="s">
        <v>150</v>
      </c>
      <c r="B11" s="39" t="s">
        <v>125</v>
      </c>
      <c r="C11" s="63" t="s">
        <v>150</v>
      </c>
    </row>
    <row r="12" spans="1:3" x14ac:dyDescent="0.25">
      <c r="A12" s="66" t="s">
        <v>50</v>
      </c>
      <c r="B12" s="39" t="s">
        <v>126</v>
      </c>
      <c r="C12" s="63" t="s">
        <v>50</v>
      </c>
    </row>
    <row r="13" spans="1:3" x14ac:dyDescent="0.25">
      <c r="A13" s="66" t="s">
        <v>151</v>
      </c>
      <c r="B13" s="39" t="s">
        <v>127</v>
      </c>
      <c r="C13" s="63" t="s">
        <v>151</v>
      </c>
    </row>
    <row r="14" spans="1:3" x14ac:dyDescent="0.25">
      <c r="A14" s="66" t="s">
        <v>52</v>
      </c>
      <c r="B14" s="103" t="s">
        <v>528</v>
      </c>
      <c r="C14" s="181" t="s">
        <v>52</v>
      </c>
    </row>
    <row r="15" spans="1:3" x14ac:dyDescent="0.25">
      <c r="A15" s="66">
        <v>0.25</v>
      </c>
      <c r="B15" s="39" t="s">
        <v>128</v>
      </c>
      <c r="C15" s="62">
        <v>0.25</v>
      </c>
    </row>
    <row r="16" spans="1:3" x14ac:dyDescent="0.25">
      <c r="A16" s="68">
        <v>1</v>
      </c>
      <c r="B16" s="39" t="s">
        <v>129</v>
      </c>
      <c r="C16" s="63">
        <v>1</v>
      </c>
    </row>
    <row r="17" spans="1:3" x14ac:dyDescent="0.25">
      <c r="A17" s="70">
        <v>0</v>
      </c>
      <c r="B17" s="39" t="s">
        <v>130</v>
      </c>
      <c r="C17" s="65">
        <v>0</v>
      </c>
    </row>
    <row r="18" spans="1:3" x14ac:dyDescent="0.25">
      <c r="A18" s="67">
        <v>100</v>
      </c>
      <c r="B18" s="39" t="s">
        <v>131</v>
      </c>
      <c r="C18" s="62">
        <v>100</v>
      </c>
    </row>
    <row r="19" spans="1:3" x14ac:dyDescent="0.25">
      <c r="A19" s="67">
        <v>100</v>
      </c>
      <c r="B19" s="39" t="s">
        <v>132</v>
      </c>
      <c r="C19" s="62">
        <v>100</v>
      </c>
    </row>
    <row r="20" spans="1:3" x14ac:dyDescent="0.25">
      <c r="A20" s="70">
        <v>0</v>
      </c>
      <c r="B20" s="39" t="s">
        <v>133</v>
      </c>
      <c r="C20" s="65">
        <v>0</v>
      </c>
    </row>
    <row r="21" spans="1:3" x14ac:dyDescent="0.25">
      <c r="A21" s="70">
        <v>0</v>
      </c>
      <c r="B21" s="39" t="s">
        <v>134</v>
      </c>
      <c r="C21" s="65">
        <v>0</v>
      </c>
    </row>
    <row r="22" spans="1:3" x14ac:dyDescent="0.25">
      <c r="A22" s="70">
        <v>0</v>
      </c>
      <c r="B22" s="39" t="s">
        <v>135</v>
      </c>
      <c r="C22" s="65">
        <v>0</v>
      </c>
    </row>
    <row r="23" spans="1:3" x14ac:dyDescent="0.25">
      <c r="A23" s="70">
        <v>0</v>
      </c>
      <c r="B23" s="39" t="s">
        <v>136</v>
      </c>
      <c r="C23" s="65">
        <v>0</v>
      </c>
    </row>
    <row r="24" spans="1:3" x14ac:dyDescent="0.25">
      <c r="A24" s="66" t="s">
        <v>152</v>
      </c>
      <c r="B24" s="39" t="s">
        <v>137</v>
      </c>
      <c r="C24" s="63" t="s">
        <v>152</v>
      </c>
    </row>
    <row r="25" spans="1:3" x14ac:dyDescent="0.25">
      <c r="A25" s="67">
        <v>100</v>
      </c>
      <c r="B25" s="39" t="s">
        <v>138</v>
      </c>
      <c r="C25" s="62">
        <v>100</v>
      </c>
    </row>
    <row r="26" spans="1:3" x14ac:dyDescent="0.25">
      <c r="A26" s="66" t="s">
        <v>153</v>
      </c>
      <c r="B26" s="39" t="s">
        <v>139</v>
      </c>
      <c r="C26" s="63" t="s">
        <v>153</v>
      </c>
    </row>
    <row r="27" spans="1:3" x14ac:dyDescent="0.25">
      <c r="A27" s="70">
        <v>0</v>
      </c>
      <c r="B27" s="39" t="s">
        <v>140</v>
      </c>
      <c r="C27" s="65">
        <v>0</v>
      </c>
    </row>
    <row r="28" spans="1:3" x14ac:dyDescent="0.25">
      <c r="A28" s="70">
        <v>0</v>
      </c>
      <c r="B28" s="95" t="s">
        <v>416</v>
      </c>
      <c r="C28" s="65" t="s">
        <v>369</v>
      </c>
    </row>
    <row r="29" spans="1:3" x14ac:dyDescent="0.25">
      <c r="A29" s="70">
        <v>0</v>
      </c>
      <c r="B29" s="95" t="s">
        <v>417</v>
      </c>
      <c r="C29" s="65" t="s">
        <v>369</v>
      </c>
    </row>
    <row r="30" spans="1:3" x14ac:dyDescent="0.25">
      <c r="A30" s="70">
        <v>0</v>
      </c>
      <c r="B30" s="39" t="s">
        <v>141</v>
      </c>
      <c r="C30" s="65">
        <v>0</v>
      </c>
    </row>
    <row r="31" spans="1:3" x14ac:dyDescent="0.25">
      <c r="A31" s="66" t="s">
        <v>154</v>
      </c>
      <c r="B31" s="39" t="s">
        <v>142</v>
      </c>
      <c r="C31" s="63" t="s">
        <v>154</v>
      </c>
    </row>
    <row r="32" spans="1:3" x14ac:dyDescent="0.25">
      <c r="A32" s="70">
        <v>0</v>
      </c>
      <c r="B32" s="95" t="s">
        <v>418</v>
      </c>
      <c r="C32" s="65" t="s">
        <v>369</v>
      </c>
    </row>
    <row r="33" spans="1:3" x14ac:dyDescent="0.25">
      <c r="A33" s="70">
        <v>0</v>
      </c>
      <c r="B33" s="95" t="s">
        <v>419</v>
      </c>
      <c r="C33" s="65" t="s">
        <v>369</v>
      </c>
    </row>
    <row r="34" spans="1:3" x14ac:dyDescent="0.25">
      <c r="A34" s="70">
        <v>0</v>
      </c>
      <c r="B34" s="39" t="s">
        <v>143</v>
      </c>
      <c r="C34" s="65">
        <v>0</v>
      </c>
    </row>
    <row r="35" spans="1:3" x14ac:dyDescent="0.25">
      <c r="A35" s="70">
        <v>0</v>
      </c>
      <c r="B35" s="95" t="s">
        <v>420</v>
      </c>
      <c r="C35" s="65" t="s">
        <v>369</v>
      </c>
    </row>
    <row r="36" spans="1:3" x14ac:dyDescent="0.25">
      <c r="A36" s="70">
        <v>0</v>
      </c>
      <c r="B36" s="39" t="s">
        <v>144</v>
      </c>
      <c r="C36" s="65">
        <v>0</v>
      </c>
    </row>
    <row r="37" spans="1:3" x14ac:dyDescent="0.25">
      <c r="A37" s="70">
        <v>0</v>
      </c>
      <c r="B37" s="39" t="s">
        <v>145</v>
      </c>
      <c r="C37" s="65">
        <v>0</v>
      </c>
    </row>
    <row r="38" spans="1:3" x14ac:dyDescent="0.25">
      <c r="A38" s="70">
        <v>0</v>
      </c>
      <c r="B38" s="39" t="s">
        <v>146</v>
      </c>
      <c r="C38" s="65">
        <v>0</v>
      </c>
    </row>
    <row r="39" spans="1:3" x14ac:dyDescent="0.25">
      <c r="A39" s="70">
        <v>0</v>
      </c>
      <c r="B39" s="39" t="s">
        <v>147</v>
      </c>
      <c r="C39" s="65">
        <v>0</v>
      </c>
    </row>
    <row r="40" spans="1:3" x14ac:dyDescent="0.25">
      <c r="A40" s="70">
        <v>0</v>
      </c>
      <c r="B40" s="39" t="s">
        <v>148</v>
      </c>
      <c r="C40" s="65">
        <v>0</v>
      </c>
    </row>
    <row r="41" spans="1:3" x14ac:dyDescent="0.25">
      <c r="A41" s="180">
        <v>0</v>
      </c>
      <c r="B41" s="39" t="s">
        <v>529</v>
      </c>
      <c r="C41" s="181">
        <v>0</v>
      </c>
    </row>
    <row r="42" spans="1:3" x14ac:dyDescent="0.25">
      <c r="A42" s="180">
        <v>0</v>
      </c>
      <c r="B42" s="39" t="s">
        <v>530</v>
      </c>
      <c r="C42" s="181">
        <v>0</v>
      </c>
    </row>
    <row r="43" spans="1:3" x14ac:dyDescent="0.25">
      <c r="A43" s="180" t="s">
        <v>86</v>
      </c>
      <c r="B43" s="39" t="s">
        <v>531</v>
      </c>
      <c r="C43" s="181" t="s">
        <v>86</v>
      </c>
    </row>
    <row r="44" spans="1:3" x14ac:dyDescent="0.25">
      <c r="A44" s="70">
        <v>0</v>
      </c>
      <c r="B44" s="39" t="s">
        <v>532</v>
      </c>
      <c r="C44" s="65">
        <v>0</v>
      </c>
    </row>
    <row r="45" spans="1:3" x14ac:dyDescent="0.25">
      <c r="A45" s="180" t="s">
        <v>121</v>
      </c>
      <c r="B45" s="39" t="s">
        <v>533</v>
      </c>
      <c r="C45" s="181" t="s">
        <v>121</v>
      </c>
    </row>
    <row r="46" spans="1:3" x14ac:dyDescent="0.25">
      <c r="A46" s="70">
        <v>0</v>
      </c>
      <c r="B46" s="39" t="s">
        <v>534</v>
      </c>
      <c r="C46" s="65">
        <v>0</v>
      </c>
    </row>
    <row r="47" spans="1:3" x14ac:dyDescent="0.25">
      <c r="A47" s="180" t="s">
        <v>52</v>
      </c>
      <c r="B47" s="39" t="s">
        <v>535</v>
      </c>
      <c r="C47" s="181" t="s">
        <v>52</v>
      </c>
    </row>
    <row r="48" spans="1:3" x14ac:dyDescent="0.25">
      <c r="A48" s="180">
        <v>0.25</v>
      </c>
      <c r="B48" s="39" t="s">
        <v>536</v>
      </c>
      <c r="C48" s="181">
        <v>0.25</v>
      </c>
    </row>
    <row r="49" spans="1:3" x14ac:dyDescent="0.25">
      <c r="A49" s="86">
        <v>1</v>
      </c>
      <c r="B49" s="39" t="s">
        <v>537</v>
      </c>
      <c r="C49" s="182">
        <v>1</v>
      </c>
    </row>
    <row r="50" spans="1:3" x14ac:dyDescent="0.25">
      <c r="A50" s="70">
        <v>0</v>
      </c>
      <c r="B50" s="39" t="s">
        <v>538</v>
      </c>
      <c r="C50" s="65">
        <v>0</v>
      </c>
    </row>
    <row r="51" spans="1:3" x14ac:dyDescent="0.25">
      <c r="A51" s="70">
        <v>0</v>
      </c>
      <c r="B51" s="39" t="s">
        <v>539</v>
      </c>
      <c r="C51" s="65">
        <v>0</v>
      </c>
    </row>
    <row r="52" spans="1:3" x14ac:dyDescent="0.25">
      <c r="A52" s="180">
        <v>12</v>
      </c>
      <c r="B52" s="39" t="s">
        <v>540</v>
      </c>
      <c r="C52" s="181">
        <v>12</v>
      </c>
    </row>
    <row r="53" spans="1:3" x14ac:dyDescent="0.25">
      <c r="A53" s="70">
        <v>1</v>
      </c>
      <c r="B53" s="39" t="s">
        <v>541</v>
      </c>
      <c r="C53" s="65">
        <v>1</v>
      </c>
    </row>
    <row r="54" spans="1:3" x14ac:dyDescent="0.25">
      <c r="A54" s="70">
        <v>1</v>
      </c>
      <c r="B54" s="39" t="s">
        <v>542</v>
      </c>
      <c r="C54" s="65">
        <v>1</v>
      </c>
    </row>
    <row r="55" spans="1:3" x14ac:dyDescent="0.25">
      <c r="A55" s="70">
        <v>1</v>
      </c>
      <c r="B55" s="39" t="s">
        <v>543</v>
      </c>
      <c r="C55" s="65">
        <v>1</v>
      </c>
    </row>
    <row r="56" spans="1:3" x14ac:dyDescent="0.25">
      <c r="A56" s="70">
        <v>1</v>
      </c>
      <c r="B56" s="39" t="s">
        <v>544</v>
      </c>
      <c r="C56" s="65">
        <v>1</v>
      </c>
    </row>
    <row r="57" spans="1:3" x14ac:dyDescent="0.25">
      <c r="A57" s="180" t="s">
        <v>39</v>
      </c>
      <c r="B57" s="39" t="s">
        <v>545</v>
      </c>
      <c r="C57" s="181" t="s">
        <v>39</v>
      </c>
    </row>
    <row r="58" spans="1:3" x14ac:dyDescent="0.25">
      <c r="A58" s="180">
        <v>999</v>
      </c>
      <c r="B58" s="39" t="s">
        <v>546</v>
      </c>
      <c r="C58" s="181">
        <v>999</v>
      </c>
    </row>
    <row r="59" spans="1:3" x14ac:dyDescent="0.25">
      <c r="A59" s="70">
        <v>0</v>
      </c>
      <c r="B59" s="183" t="s">
        <v>547</v>
      </c>
      <c r="C59" s="65" t="s">
        <v>369</v>
      </c>
    </row>
    <row r="60" spans="1:3" x14ac:dyDescent="0.25">
      <c r="A60" s="70">
        <v>0</v>
      </c>
      <c r="B60" s="39" t="s">
        <v>548</v>
      </c>
      <c r="C60" s="65">
        <v>0</v>
      </c>
    </row>
    <row r="61" spans="1:3" x14ac:dyDescent="0.25">
      <c r="A61" s="86">
        <v>1</v>
      </c>
      <c r="B61" s="39" t="s">
        <v>549</v>
      </c>
      <c r="C61" s="182">
        <v>1</v>
      </c>
    </row>
    <row r="62" spans="1:3" x14ac:dyDescent="0.25">
      <c r="A62" s="70">
        <v>0</v>
      </c>
      <c r="B62" s="39" t="s">
        <v>550</v>
      </c>
      <c r="C62" s="65">
        <v>0</v>
      </c>
    </row>
    <row r="63" spans="1:3" x14ac:dyDescent="0.25">
      <c r="A63" s="180">
        <v>999</v>
      </c>
      <c r="B63" s="39" t="s">
        <v>551</v>
      </c>
      <c r="C63" s="181">
        <v>999</v>
      </c>
    </row>
    <row r="64" spans="1:3" x14ac:dyDescent="0.25">
      <c r="A64" s="184">
        <v>999.99</v>
      </c>
      <c r="B64" s="40" t="s">
        <v>552</v>
      </c>
      <c r="C64" s="185">
        <v>999.99</v>
      </c>
    </row>
    <row r="65" spans="1:7" x14ac:dyDescent="0.25">
      <c r="A65" s="31"/>
    </row>
    <row r="66" spans="1:7" ht="13" x14ac:dyDescent="0.25">
      <c r="A66" s="13" t="s">
        <v>9</v>
      </c>
      <c r="B66" s="17" t="str">
        <f ca="1">GetNameRange(B67)</f>
        <v>PurchAssetsDefnSecSchedules</v>
      </c>
    </row>
    <row r="67" spans="1:7" ht="13" x14ac:dyDescent="0.25">
      <c r="A67" s="32" t="s">
        <v>404</v>
      </c>
      <c r="B67" s="117" t="s">
        <v>89</v>
      </c>
      <c r="C67" s="101" t="s">
        <v>406</v>
      </c>
      <c r="D67" s="101" t="s">
        <v>406</v>
      </c>
      <c r="E67" s="101" t="s">
        <v>406</v>
      </c>
      <c r="F67" s="101" t="s">
        <v>406</v>
      </c>
      <c r="G67" s="134" t="s">
        <v>406</v>
      </c>
    </row>
    <row r="68" spans="1:7" ht="13" x14ac:dyDescent="0.25">
      <c r="B68" s="144" t="s">
        <v>422</v>
      </c>
      <c r="C68" s="47" t="s">
        <v>423</v>
      </c>
      <c r="D68" s="47" t="s">
        <v>424</v>
      </c>
      <c r="E68" s="26" t="s">
        <v>425</v>
      </c>
      <c r="F68" s="26" t="s">
        <v>426</v>
      </c>
      <c r="G68" s="145" t="s">
        <v>427</v>
      </c>
    </row>
    <row r="69" spans="1:7" ht="13" x14ac:dyDescent="0.25">
      <c r="B69" s="102" t="s">
        <v>91</v>
      </c>
      <c r="C69" s="26"/>
      <c r="D69" s="26"/>
      <c r="E69" s="26"/>
      <c r="F69" s="26"/>
      <c r="G69" s="145"/>
    </row>
    <row r="70" spans="1:7" x14ac:dyDescent="0.25">
      <c r="A70" s="70">
        <v>0</v>
      </c>
      <c r="B70" s="103">
        <v>1</v>
      </c>
      <c r="C70" s="76">
        <v>0</v>
      </c>
      <c r="D70" s="76">
        <v>0</v>
      </c>
      <c r="E70" s="76">
        <v>0</v>
      </c>
      <c r="F70" s="76">
        <v>0</v>
      </c>
      <c r="G70" s="76">
        <v>0</v>
      </c>
    </row>
    <row r="71" spans="1:7" x14ac:dyDescent="0.25">
      <c r="A71" s="70">
        <v>0</v>
      </c>
      <c r="B71" s="103">
        <v>60</v>
      </c>
      <c r="C71" s="76">
        <v>0</v>
      </c>
      <c r="D71" s="76">
        <v>0</v>
      </c>
      <c r="E71" s="76">
        <v>0</v>
      </c>
      <c r="F71" s="76">
        <v>0</v>
      </c>
      <c r="G71" s="76">
        <v>0</v>
      </c>
    </row>
    <row r="72" spans="1:7" x14ac:dyDescent="0.25">
      <c r="A72" s="70">
        <v>0</v>
      </c>
      <c r="B72" s="103">
        <v>120</v>
      </c>
      <c r="C72" s="76">
        <v>0</v>
      </c>
      <c r="D72" s="76">
        <v>0</v>
      </c>
      <c r="E72" s="76">
        <v>0</v>
      </c>
      <c r="F72" s="76">
        <v>0</v>
      </c>
      <c r="G72" s="76">
        <v>0</v>
      </c>
    </row>
    <row r="73" spans="1:7" x14ac:dyDescent="0.25">
      <c r="A73" s="70">
        <v>0</v>
      </c>
      <c r="B73" s="103">
        <v>180</v>
      </c>
      <c r="C73" s="76">
        <v>0</v>
      </c>
      <c r="D73" s="76">
        <v>0</v>
      </c>
      <c r="E73" s="76">
        <v>0</v>
      </c>
      <c r="F73" s="76">
        <v>0</v>
      </c>
      <c r="G73" s="76">
        <v>0</v>
      </c>
    </row>
    <row r="74" spans="1:7" x14ac:dyDescent="0.25">
      <c r="A74" s="70">
        <v>0</v>
      </c>
      <c r="B74" s="103">
        <v>240</v>
      </c>
      <c r="C74" s="76">
        <v>0</v>
      </c>
      <c r="D74" s="76">
        <v>0</v>
      </c>
      <c r="E74" s="76">
        <v>0</v>
      </c>
      <c r="F74" s="76">
        <v>0</v>
      </c>
      <c r="G74" s="76">
        <v>0</v>
      </c>
    </row>
    <row r="75" spans="1:7" x14ac:dyDescent="0.25">
      <c r="A75" s="70">
        <v>0</v>
      </c>
      <c r="B75" s="128">
        <v>360</v>
      </c>
      <c r="C75" s="76">
        <v>0</v>
      </c>
      <c r="D75" s="76">
        <v>0</v>
      </c>
      <c r="E75" s="76">
        <v>0</v>
      </c>
      <c r="F75" s="76">
        <v>0</v>
      </c>
      <c r="G75" s="76">
        <v>0</v>
      </c>
    </row>
    <row r="77" spans="1:7" ht="13" x14ac:dyDescent="0.25">
      <c r="A77" s="13" t="s">
        <v>9</v>
      </c>
      <c r="B77" s="17" t="str">
        <f ca="1">GetNameRange(B78)</f>
        <v>PurchAssetsDefnSecCpPrepmtPenaltyPct</v>
      </c>
    </row>
    <row r="78" spans="1:7" ht="13" x14ac:dyDescent="0.25">
      <c r="A78" s="32" t="s">
        <v>404</v>
      </c>
      <c r="B78" s="117" t="s">
        <v>526</v>
      </c>
      <c r="C78" s="134" t="s">
        <v>525</v>
      </c>
    </row>
    <row r="79" spans="1:7" ht="13" x14ac:dyDescent="0.25">
      <c r="B79" s="102" t="s">
        <v>91</v>
      </c>
      <c r="C79" s="145"/>
    </row>
    <row r="80" spans="1:7" x14ac:dyDescent="0.25">
      <c r="A80" s="70">
        <v>0</v>
      </c>
      <c r="B80" s="103">
        <v>1</v>
      </c>
      <c r="C80" s="121">
        <v>0</v>
      </c>
    </row>
    <row r="81" spans="1:3" x14ac:dyDescent="0.25">
      <c r="A81" s="70">
        <v>0</v>
      </c>
      <c r="B81" s="103">
        <v>60</v>
      </c>
      <c r="C81" s="121">
        <v>0</v>
      </c>
    </row>
    <row r="82" spans="1:3" x14ac:dyDescent="0.25">
      <c r="A82" s="70">
        <v>0</v>
      </c>
      <c r="B82" s="103">
        <v>120</v>
      </c>
      <c r="C82" s="121">
        <v>0</v>
      </c>
    </row>
    <row r="83" spans="1:3" x14ac:dyDescent="0.25">
      <c r="A83" s="70">
        <v>0</v>
      </c>
      <c r="B83" s="103">
        <v>180</v>
      </c>
      <c r="C83" s="121">
        <v>0</v>
      </c>
    </row>
    <row r="84" spans="1:3" x14ac:dyDescent="0.25">
      <c r="A84" s="70">
        <v>0</v>
      </c>
      <c r="B84" s="103">
        <v>240</v>
      </c>
      <c r="C84" s="121">
        <v>0</v>
      </c>
    </row>
    <row r="85" spans="1:3" x14ac:dyDescent="0.25">
      <c r="A85" s="70">
        <v>0</v>
      </c>
      <c r="B85" s="128">
        <v>360</v>
      </c>
      <c r="C85" s="136">
        <v>0</v>
      </c>
    </row>
  </sheetData>
  <conditionalFormatting sqref="C70:G75">
    <cfRule type="cellIs" dxfId="232" priority="35" operator="notEqual">
      <formula>$A70</formula>
    </cfRule>
  </conditionalFormatting>
  <conditionalFormatting sqref="C41:C42 C15:C39 C6:C9 C11:C13">
    <cfRule type="cellIs" dxfId="231" priority="34" operator="notEqual">
      <formula>$A6</formula>
    </cfRule>
  </conditionalFormatting>
  <conditionalFormatting sqref="C40">
    <cfRule type="cellIs" dxfId="230" priority="33" operator="notEqual">
      <formula>$A40</formula>
    </cfRule>
  </conditionalFormatting>
  <conditionalFormatting sqref="C43:C58 C60:C64">
    <cfRule type="cellIs" dxfId="229" priority="28" operator="notEqual">
      <formula>$A43</formula>
    </cfRule>
    <cfRule type="cellIs" dxfId="228" priority="29" operator="equal">
      <formula>"""&lt;&gt;$A6"""</formula>
    </cfRule>
    <cfRule type="cellIs" dxfId="227" priority="30" operator="equal">
      <formula>"&lt;&gt;$A6"</formula>
    </cfRule>
    <cfRule type="cellIs" dxfId="226" priority="31" operator="equal">
      <formula>$A43</formula>
    </cfRule>
    <cfRule type="cellIs" dxfId="225" priority="32" operator="equal">
      <formula>$A43</formula>
    </cfRule>
  </conditionalFormatting>
  <conditionalFormatting sqref="C14">
    <cfRule type="cellIs" dxfId="224" priority="23" operator="notEqual">
      <formula>$A14</formula>
    </cfRule>
    <cfRule type="cellIs" dxfId="223" priority="24" operator="equal">
      <formula>"""&lt;&gt;$A6"""</formula>
    </cfRule>
    <cfRule type="cellIs" dxfId="222" priority="25" operator="equal">
      <formula>"&lt;&gt;$A6"</formula>
    </cfRule>
    <cfRule type="cellIs" dxfId="221" priority="26" operator="equal">
      <formula>$A14</formula>
    </cfRule>
    <cfRule type="cellIs" dxfId="220" priority="27" operator="equal">
      <formula>$A14</formula>
    </cfRule>
  </conditionalFormatting>
  <conditionalFormatting sqref="C59">
    <cfRule type="cellIs" dxfId="219" priority="22" operator="notEqual">
      <formula>$A59</formula>
    </cfRule>
  </conditionalFormatting>
  <conditionalFormatting sqref="C10">
    <cfRule type="cellIs" dxfId="218" priority="21" operator="notEqual">
      <formula>$A10</formula>
    </cfRule>
  </conditionalFormatting>
  <conditionalFormatting sqref="C80">
    <cfRule type="cellIs" dxfId="217" priority="16" operator="notEqual">
      <formula>$A80</formula>
    </cfRule>
    <cfRule type="cellIs" dxfId="216" priority="17" operator="equal">
      <formula>"""&lt;&gt;$A6"""</formula>
    </cfRule>
    <cfRule type="cellIs" dxfId="215" priority="18" operator="equal">
      <formula>"&lt;&gt;$A6"</formula>
    </cfRule>
    <cfRule type="cellIs" dxfId="214" priority="19" operator="equal">
      <formula>$A80</formula>
    </cfRule>
    <cfRule type="cellIs" dxfId="213" priority="20" operator="equal">
      <formula>$A80</formula>
    </cfRule>
  </conditionalFormatting>
  <conditionalFormatting sqref="C84">
    <cfRule type="cellIs" dxfId="212" priority="11" operator="notEqual">
      <formula>$A84</formula>
    </cfRule>
    <cfRule type="cellIs" dxfId="211" priority="12" operator="equal">
      <formula>"""&lt;&gt;$A6"""</formula>
    </cfRule>
    <cfRule type="cellIs" dxfId="210" priority="13" operator="equal">
      <formula>"&lt;&gt;$A6"</formula>
    </cfRule>
    <cfRule type="cellIs" dxfId="209" priority="14" operator="equal">
      <formula>$A84</formula>
    </cfRule>
    <cfRule type="cellIs" dxfId="208" priority="15" operator="equal">
      <formula>$A84</formula>
    </cfRule>
  </conditionalFormatting>
  <conditionalFormatting sqref="C85">
    <cfRule type="cellIs" dxfId="207" priority="6" operator="notEqual">
      <formula>$A85</formula>
    </cfRule>
    <cfRule type="cellIs" dxfId="206" priority="7" operator="equal">
      <formula>"""&lt;&gt;$A6"""</formula>
    </cfRule>
    <cfRule type="cellIs" dxfId="205" priority="8" operator="equal">
      <formula>"&lt;&gt;$A6"</formula>
    </cfRule>
    <cfRule type="cellIs" dxfId="204" priority="9" operator="equal">
      <formula>$A85</formula>
    </cfRule>
    <cfRule type="cellIs" dxfId="203" priority="10" operator="equal">
      <formula>$A85</formula>
    </cfRule>
  </conditionalFormatting>
  <conditionalFormatting sqref="C81:C83">
    <cfRule type="cellIs" dxfId="202" priority="1" operator="notEqual">
      <formula>$A81</formula>
    </cfRule>
    <cfRule type="cellIs" dxfId="201" priority="2" operator="equal">
      <formula>"""&lt;&gt;$A6"""</formula>
    </cfRule>
    <cfRule type="cellIs" dxfId="200" priority="3" operator="equal">
      <formula>"&lt;&gt;$A6"</formula>
    </cfRule>
    <cfRule type="cellIs" dxfId="199" priority="4" operator="equal">
      <formula>$A81</formula>
    </cfRule>
    <cfRule type="cellIs" dxfId="198" priority="5" operator="equal">
      <formula>$A81</formula>
    </cfRule>
  </conditionalFormatting>
  <dataValidations disablePrompts="1" count="10">
    <dataValidation type="list" allowBlank="1" showInputMessage="1" showErrorMessage="1" sqref="C11" xr:uid="{00000000-0002-0000-0F00-000000000000}">
      <formula1>"Tranche B,Tranche Z, PAC2A"</formula1>
    </dataValidation>
    <dataValidation type="list" allowBlank="1" showInputMessage="1" showErrorMessage="1" sqref="C12" xr:uid="{00000000-0002-0000-0F00-000001000000}">
      <formula1>"Both,IO,PO"</formula1>
    </dataValidation>
    <dataValidation type="list" allowBlank="1" showInputMessage="1" showErrorMessage="1" sqref="C13" xr:uid="{00000000-0002-0000-0F00-000002000000}">
      <formula1>"Fixed Rate,Floating Rate"</formula1>
    </dataValidation>
    <dataValidation type="list" allowBlank="1" showInputMessage="1" showErrorMessage="1" sqref="C24" xr:uid="{00000000-0002-0000-0F00-000003000000}">
      <formula1>"Accrual Only,Jump,Jump/Stick"</formula1>
    </dataValidation>
    <dataValidation type="list" allowBlank="1" showInputMessage="1" showErrorMessage="1" sqref="C26" xr:uid="{00000000-0002-0000-0F00-000004000000}">
      <formula1>"Before PAC2,After PAC2"</formula1>
    </dataValidation>
    <dataValidation type="list" allowBlank="1" showInputMessage="1" showErrorMessage="1" sqref="C31" xr:uid="{00000000-0002-0000-0F00-000005000000}">
      <formula1>"Non Accrual,Z PAC"</formula1>
    </dataValidation>
    <dataValidation type="list" allowBlank="1" showInputMessage="1" showErrorMessage="1" sqref="C10" xr:uid="{00000000-0002-0000-0F00-000006000000}">
      <formula1>"Not Assigned,Available for Sale,Trading,Held to Maturity"</formula1>
    </dataValidation>
    <dataValidation type="list" allowBlank="1" showInputMessage="1" showErrorMessage="1" sqref="C57" xr:uid="{00000000-0002-0000-0F00-000007000000}">
      <formula1>"Not Applicable,Penalty Percent,Yield Maintenance,Cash Flow Maintenance,Related to Payment Rate"</formula1>
    </dataValidation>
    <dataValidation type="list" allowBlank="1" showInputMessage="1" showErrorMessage="1" sqref="C43" xr:uid="{00000000-0002-0000-0F00-000008000000}">
      <formula1>"Refinancing Rate,Fixed Rate,Floating Rate"</formula1>
    </dataValidation>
    <dataValidation type="list" allowBlank="1" showInputMessage="1" showErrorMessage="1" sqref="C45" xr:uid="{00000000-0002-0000-0F00-000009000000}">
      <formula1>"Monthly,Quarterly,Semi-Annual,Annual"</formula1>
    </dataValidation>
  </dataValidations>
  <hyperlinks>
    <hyperlink ref="A1" location="'Table of Contents'!A1" display="Go to TOC" xr:uid="{00000000-0004-0000-0F00-000000000000}"/>
    <hyperlink ref="A66" location="'Table of Contents'!A1" display="Go to TOC" xr:uid="{00000000-0004-0000-0F00-000001000000}"/>
    <hyperlink ref="A67" location="'Purch Sec Defn'!B26" display="Back To Main" xr:uid="{00000000-0004-0000-0F00-000002000000}"/>
    <hyperlink ref="B28" location="PurchAssetsDefnSecSchedules" display="purch_sec_pac1_std_sch" xr:uid="{00000000-0004-0000-0F00-000003000000}"/>
    <hyperlink ref="B29" location="PurchAssetsDefnSecSchedules" display="purch_sec_pac1z_sch" xr:uid="{00000000-0004-0000-0F00-000004000000}"/>
    <hyperlink ref="B32" location="PurchAssetsDefnSecSchedules" display="purch_sec_pac2a_sch" xr:uid="{00000000-0004-0000-0F00-000005000000}"/>
    <hyperlink ref="B33" location="PurchAssetsDefnSecSchedules" display="purch_sec_pac2b_sch" xr:uid="{00000000-0004-0000-0F00-000006000000}"/>
    <hyperlink ref="B35" location="PurchAssetsDefnSecSchedules" display="purch_sec_pac3_sch" xr:uid="{00000000-0004-0000-0F00-000007000000}"/>
    <hyperlink ref="B59" location="PurchAssetsDefnSecCpPrepmtPenaltyPct" display="purch_sec_cp_prepmt_penalty_pct" xr:uid="{00000000-0004-0000-0F00-000008000000}"/>
    <hyperlink ref="A77" location="'Table of Contents'!A1" display="Go to TOC" xr:uid="{00000000-0004-0000-0F00-000009000000}"/>
    <hyperlink ref="A78" location="'Purch Sec Defn'!B59" display="Back To Main" xr:uid="{00000000-0004-0000-0F00-00000A000000}"/>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28"/>
  <sheetViews>
    <sheetView showGridLines="0" workbookViewId="0"/>
  </sheetViews>
  <sheetFormatPr defaultColWidth="15.54296875" defaultRowHeight="12.5" x14ac:dyDescent="0.25"/>
  <cols>
    <col min="1" max="1" width="15.54296875" style="14"/>
    <col min="2" max="2" width="30.453125" style="11" customWidth="1"/>
    <col min="3" max="16384" width="15.54296875" style="11"/>
  </cols>
  <sheetData>
    <row r="1" spans="1:4" ht="15.5" x14ac:dyDescent="0.25">
      <c r="A1" s="21" t="s">
        <v>9</v>
      </c>
      <c r="B1" s="18" t="s">
        <v>414</v>
      </c>
    </row>
    <row r="2" spans="1:4" ht="15.5" x14ac:dyDescent="0.25">
      <c r="A2" s="21"/>
      <c r="B2" s="18"/>
    </row>
    <row r="3" spans="1:4" ht="13" x14ac:dyDescent="0.25">
      <c r="B3" s="17" t="str">
        <f ca="1">GetNameRange(B4)</f>
        <v>PurchAssetsDefnIrd</v>
      </c>
    </row>
    <row r="4" spans="1:4" ht="13" x14ac:dyDescent="0.25">
      <c r="A4" s="55"/>
      <c r="B4" s="53" t="s">
        <v>89</v>
      </c>
      <c r="C4" s="54" t="s">
        <v>407</v>
      </c>
    </row>
    <row r="5" spans="1:4" ht="13" x14ac:dyDescent="0.25">
      <c r="A5" s="56" t="s">
        <v>8</v>
      </c>
      <c r="B5" s="19" t="s">
        <v>0</v>
      </c>
      <c r="C5" s="24"/>
    </row>
    <row r="6" spans="1:4" x14ac:dyDescent="0.25">
      <c r="A6" s="66" t="s">
        <v>6</v>
      </c>
      <c r="B6" s="39" t="s">
        <v>519</v>
      </c>
      <c r="C6" s="63" t="s">
        <v>6</v>
      </c>
    </row>
    <row r="7" spans="1:4" x14ac:dyDescent="0.25">
      <c r="A7" s="66" t="s">
        <v>149</v>
      </c>
      <c r="B7" s="39" t="s">
        <v>155</v>
      </c>
      <c r="C7" s="63" t="s">
        <v>149</v>
      </c>
    </row>
    <row r="8" spans="1:4" x14ac:dyDescent="0.25">
      <c r="A8" s="66" t="s">
        <v>48</v>
      </c>
      <c r="B8" s="39" t="s">
        <v>156</v>
      </c>
      <c r="C8" s="63" t="s">
        <v>48</v>
      </c>
    </row>
    <row r="9" spans="1:4" x14ac:dyDescent="0.25">
      <c r="A9" s="66" t="s">
        <v>51</v>
      </c>
      <c r="B9" s="39" t="s">
        <v>157</v>
      </c>
      <c r="C9" s="63" t="s">
        <v>51</v>
      </c>
    </row>
    <row r="10" spans="1:4" x14ac:dyDescent="0.25">
      <c r="A10" s="66" t="s">
        <v>175</v>
      </c>
      <c r="B10" s="39" t="s">
        <v>158</v>
      </c>
      <c r="C10" s="63" t="s">
        <v>175</v>
      </c>
    </row>
    <row r="11" spans="1:4" x14ac:dyDescent="0.25">
      <c r="A11" s="66" t="s">
        <v>122</v>
      </c>
      <c r="B11" s="39" t="s">
        <v>159</v>
      </c>
      <c r="C11" s="63" t="s">
        <v>122</v>
      </c>
    </row>
    <row r="12" spans="1:4" x14ac:dyDescent="0.25">
      <c r="A12" s="66" t="s">
        <v>122</v>
      </c>
      <c r="B12" s="39" t="s">
        <v>160</v>
      </c>
      <c r="C12" s="63" t="s">
        <v>122</v>
      </c>
    </row>
    <row r="13" spans="1:4" x14ac:dyDescent="0.25">
      <c r="A13" s="66">
        <v>0</v>
      </c>
      <c r="B13" s="39" t="s">
        <v>161</v>
      </c>
      <c r="C13" s="107">
        <v>0</v>
      </c>
    </row>
    <row r="14" spans="1:4" x14ac:dyDescent="0.25">
      <c r="A14" s="66">
        <v>0.25</v>
      </c>
      <c r="B14" s="39" t="s">
        <v>162</v>
      </c>
      <c r="C14" s="62">
        <v>0.25</v>
      </c>
      <c r="D14" s="58"/>
    </row>
    <row r="15" spans="1:4" x14ac:dyDescent="0.25">
      <c r="A15" s="66" t="s">
        <v>151</v>
      </c>
      <c r="B15" s="39" t="s">
        <v>163</v>
      </c>
      <c r="C15" s="63" t="s">
        <v>151</v>
      </c>
    </row>
    <row r="16" spans="1:4" x14ac:dyDescent="0.25">
      <c r="A16" s="66" t="s">
        <v>52</v>
      </c>
      <c r="B16" s="39" t="s">
        <v>523</v>
      </c>
      <c r="C16" s="11" t="s">
        <v>52</v>
      </c>
    </row>
    <row r="17" spans="1:3" x14ac:dyDescent="0.25">
      <c r="A17" s="66">
        <v>0.25</v>
      </c>
      <c r="B17" s="39" t="s">
        <v>164</v>
      </c>
      <c r="C17" s="62">
        <v>0.25</v>
      </c>
    </row>
    <row r="18" spans="1:3" x14ac:dyDescent="0.25">
      <c r="A18" s="68">
        <v>1</v>
      </c>
      <c r="B18" s="39" t="s">
        <v>165</v>
      </c>
      <c r="C18" s="63">
        <v>1</v>
      </c>
    </row>
    <row r="19" spans="1:3" x14ac:dyDescent="0.25">
      <c r="A19" s="70">
        <v>0</v>
      </c>
      <c r="B19" s="39" t="s">
        <v>166</v>
      </c>
      <c r="C19" s="65">
        <v>0</v>
      </c>
    </row>
    <row r="20" spans="1:3" x14ac:dyDescent="0.25">
      <c r="A20" s="66" t="s">
        <v>151</v>
      </c>
      <c r="B20" s="39" t="s">
        <v>167</v>
      </c>
      <c r="C20" s="63" t="s">
        <v>151</v>
      </c>
    </row>
    <row r="21" spans="1:3" x14ac:dyDescent="0.25">
      <c r="A21" s="66" t="s">
        <v>52</v>
      </c>
      <c r="B21" s="39" t="s">
        <v>524</v>
      </c>
      <c r="C21" s="11" t="s">
        <v>52</v>
      </c>
    </row>
    <row r="22" spans="1:3" x14ac:dyDescent="0.25">
      <c r="A22" s="66">
        <v>0.25</v>
      </c>
      <c r="B22" s="39" t="s">
        <v>168</v>
      </c>
      <c r="C22" s="62">
        <v>0.25</v>
      </c>
    </row>
    <row r="23" spans="1:3" x14ac:dyDescent="0.25">
      <c r="A23" s="68">
        <v>1</v>
      </c>
      <c r="B23" s="39" t="s">
        <v>169</v>
      </c>
      <c r="C23" s="63">
        <v>1</v>
      </c>
    </row>
    <row r="24" spans="1:3" x14ac:dyDescent="0.25">
      <c r="A24" s="70">
        <v>0</v>
      </c>
      <c r="B24" s="39" t="s">
        <v>170</v>
      </c>
      <c r="C24" s="65">
        <v>0</v>
      </c>
    </row>
    <row r="25" spans="1:3" x14ac:dyDescent="0.25">
      <c r="A25" s="70">
        <v>0</v>
      </c>
      <c r="B25" s="39" t="s">
        <v>171</v>
      </c>
      <c r="C25" s="65">
        <v>0</v>
      </c>
    </row>
    <row r="26" spans="1:3" x14ac:dyDescent="0.25">
      <c r="A26" s="70">
        <v>0</v>
      </c>
      <c r="B26" s="39" t="s">
        <v>172</v>
      </c>
      <c r="C26" s="65">
        <v>0</v>
      </c>
    </row>
    <row r="27" spans="1:3" x14ac:dyDescent="0.25">
      <c r="A27" s="70">
        <v>0</v>
      </c>
      <c r="B27" s="39" t="s">
        <v>173</v>
      </c>
      <c r="C27" s="65">
        <v>0</v>
      </c>
    </row>
    <row r="28" spans="1:3" x14ac:dyDescent="0.25">
      <c r="A28" s="70">
        <v>0</v>
      </c>
      <c r="B28" s="40" t="s">
        <v>174</v>
      </c>
      <c r="C28" s="116">
        <v>0</v>
      </c>
    </row>
  </sheetData>
  <conditionalFormatting sqref="C6:C15 C17:C20 C22:C28">
    <cfRule type="cellIs" dxfId="197" priority="1" operator="notEqual">
      <formula>$A6</formula>
    </cfRule>
  </conditionalFormatting>
  <dataValidations count="4">
    <dataValidation type="list" allowBlank="1" showInputMessage="1" showErrorMessage="1" sqref="C8" xr:uid="{00000000-0002-0000-1000-000000000000}">
      <formula1>"Investment,Hedging"</formula1>
    </dataValidation>
    <dataValidation type="list" allowBlank="1" showInputMessage="1" showErrorMessage="1" sqref="C11:C12" xr:uid="{00000000-0002-0000-1000-000001000000}">
      <formula1>"Monthly,Quarterly,Semi-Annual,Annual"</formula1>
    </dataValidation>
    <dataValidation type="list" allowBlank="1" showInputMessage="1" showErrorMessage="1" sqref="C10" xr:uid="{00000000-0002-0000-1000-000002000000}">
      <formula1>"Always,If Positive"</formula1>
    </dataValidation>
    <dataValidation type="list" allowBlank="1" showInputMessage="1" showErrorMessage="1" sqref="C15 C20" xr:uid="{00000000-0002-0000-1000-000003000000}">
      <formula1>"Fixed Rate,Floating Rate"</formula1>
    </dataValidation>
  </dataValidations>
  <hyperlinks>
    <hyperlink ref="A1" location="'Table of Contents'!A1" display="Go to TOC" xr:uid="{00000000-0004-0000-1000-000000000000}"/>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C21"/>
  <sheetViews>
    <sheetView showGridLines="0" workbookViewId="0"/>
  </sheetViews>
  <sheetFormatPr defaultColWidth="15.54296875" defaultRowHeight="12.5" x14ac:dyDescent="0.25"/>
  <cols>
    <col min="1" max="1" width="15.54296875" style="14"/>
    <col min="2" max="2" width="34" style="11" customWidth="1"/>
    <col min="3" max="16384" width="15.54296875" style="11"/>
  </cols>
  <sheetData>
    <row r="1" spans="1:3" ht="15.5" x14ac:dyDescent="0.25">
      <c r="A1" s="21" t="s">
        <v>9</v>
      </c>
      <c r="B1" s="18" t="s">
        <v>413</v>
      </c>
    </row>
    <row r="3" spans="1:3" ht="13" x14ac:dyDescent="0.25">
      <c r="B3" s="17" t="str">
        <f ca="1">GetNameRange(B4)</f>
        <v>PurchAssetsDefnRe</v>
      </c>
    </row>
    <row r="4" spans="1:3" ht="13" x14ac:dyDescent="0.25">
      <c r="A4" s="55"/>
      <c r="B4" s="53" t="s">
        <v>89</v>
      </c>
      <c r="C4" s="54" t="s">
        <v>409</v>
      </c>
    </row>
    <row r="5" spans="1:3" ht="13" x14ac:dyDescent="0.25">
      <c r="A5" s="56" t="s">
        <v>8</v>
      </c>
      <c r="B5" s="19" t="s">
        <v>0</v>
      </c>
      <c r="C5" s="24"/>
    </row>
    <row r="6" spans="1:3" x14ac:dyDescent="0.25">
      <c r="A6" s="66" t="s">
        <v>6</v>
      </c>
      <c r="B6" s="39" t="s">
        <v>520</v>
      </c>
      <c r="C6" s="63" t="s">
        <v>6</v>
      </c>
    </row>
    <row r="7" spans="1:3" x14ac:dyDescent="0.25">
      <c r="A7" s="66" t="s">
        <v>190</v>
      </c>
      <c r="B7" s="39" t="s">
        <v>176</v>
      </c>
      <c r="C7" s="63" t="s">
        <v>190</v>
      </c>
    </row>
    <row r="8" spans="1:3" x14ac:dyDescent="0.25">
      <c r="A8" s="66" t="s">
        <v>149</v>
      </c>
      <c r="B8" s="39" t="s">
        <v>177</v>
      </c>
      <c r="C8" s="63" t="s">
        <v>149</v>
      </c>
    </row>
    <row r="9" spans="1:3" x14ac:dyDescent="0.25">
      <c r="A9" s="66" t="s">
        <v>51</v>
      </c>
      <c r="B9" s="39" t="s">
        <v>178</v>
      </c>
      <c r="C9" s="63" t="s">
        <v>51</v>
      </c>
    </row>
    <row r="10" spans="1:3" x14ac:dyDescent="0.25">
      <c r="A10" s="68">
        <v>1</v>
      </c>
      <c r="B10" s="39" t="s">
        <v>179</v>
      </c>
      <c r="C10" s="63">
        <v>1</v>
      </c>
    </row>
    <row r="11" spans="1:3" x14ac:dyDescent="0.25">
      <c r="A11" s="70">
        <v>0</v>
      </c>
      <c r="B11" s="39" t="s">
        <v>180</v>
      </c>
      <c r="C11" s="65">
        <v>0</v>
      </c>
    </row>
    <row r="12" spans="1:3" x14ac:dyDescent="0.25">
      <c r="A12" s="66">
        <v>0</v>
      </c>
      <c r="B12" s="39" t="s">
        <v>181</v>
      </c>
      <c r="C12" s="107">
        <v>0</v>
      </c>
    </row>
    <row r="13" spans="1:3" x14ac:dyDescent="0.25">
      <c r="A13" s="66" t="s">
        <v>122</v>
      </c>
      <c r="B13" s="39" t="s">
        <v>182</v>
      </c>
      <c r="C13" s="63" t="s">
        <v>122</v>
      </c>
    </row>
    <row r="14" spans="1:3" x14ac:dyDescent="0.25">
      <c r="A14" s="68">
        <v>1</v>
      </c>
      <c r="B14" s="39" t="s">
        <v>183</v>
      </c>
      <c r="C14" s="63">
        <v>1</v>
      </c>
    </row>
    <row r="15" spans="1:3" x14ac:dyDescent="0.25">
      <c r="A15" s="70">
        <v>0</v>
      </c>
      <c r="B15" s="39" t="s">
        <v>184</v>
      </c>
      <c r="C15" s="65">
        <v>0</v>
      </c>
    </row>
    <row r="16" spans="1:3" x14ac:dyDescent="0.25">
      <c r="A16" s="66" t="s">
        <v>41</v>
      </c>
      <c r="B16" s="39" t="s">
        <v>185</v>
      </c>
      <c r="C16" s="63" t="s">
        <v>41</v>
      </c>
    </row>
    <row r="17" spans="1:3" x14ac:dyDescent="0.25">
      <c r="A17" s="70">
        <v>0</v>
      </c>
      <c r="B17" s="39" t="s">
        <v>186</v>
      </c>
      <c r="C17" s="65">
        <v>0</v>
      </c>
    </row>
    <row r="18" spans="1:3" x14ac:dyDescent="0.25">
      <c r="A18" s="70">
        <v>0</v>
      </c>
      <c r="B18" s="39" t="s">
        <v>187</v>
      </c>
      <c r="C18" s="65">
        <v>0</v>
      </c>
    </row>
    <row r="19" spans="1:3" x14ac:dyDescent="0.25">
      <c r="A19" s="70">
        <v>0</v>
      </c>
      <c r="B19" s="39" t="s">
        <v>188</v>
      </c>
      <c r="C19" s="65">
        <v>0</v>
      </c>
    </row>
    <row r="20" spans="1:3" x14ac:dyDescent="0.25">
      <c r="A20" s="70">
        <v>0</v>
      </c>
      <c r="B20" s="40" t="s">
        <v>189</v>
      </c>
      <c r="C20" s="116">
        <v>0</v>
      </c>
    </row>
    <row r="21" spans="1:3" x14ac:dyDescent="0.25">
      <c r="A21" s="31"/>
      <c r="C21" s="25"/>
    </row>
  </sheetData>
  <conditionalFormatting sqref="C6:C20">
    <cfRule type="cellIs" dxfId="196" priority="1" operator="notEqual">
      <formula>$A6</formula>
    </cfRule>
  </conditionalFormatting>
  <dataValidations count="2">
    <dataValidation type="list" allowBlank="1" showInputMessage="1" showErrorMessage="1" sqref="C13" xr:uid="{00000000-0002-0000-1100-000000000000}">
      <formula1>"Monthly,Quarterly,Semi-Annual,Annual"</formula1>
    </dataValidation>
    <dataValidation type="list" allowBlank="1" showInputMessage="1" showErrorMessage="1" sqref="C16" xr:uid="{00000000-0002-0000-1100-000001000000}">
      <formula1>"Yes,No"</formula1>
    </dataValidation>
  </dataValidations>
  <hyperlinks>
    <hyperlink ref="A1" location="'Table of Contents'!A1" display="Go to TOC" xr:uid="{00000000-0004-0000-1100-000000000000}"/>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C18"/>
  <sheetViews>
    <sheetView showGridLines="0" workbookViewId="0"/>
  </sheetViews>
  <sheetFormatPr defaultColWidth="15.54296875" defaultRowHeight="12.5" x14ac:dyDescent="0.25"/>
  <cols>
    <col min="1" max="1" width="15.453125" style="14" customWidth="1"/>
    <col min="2" max="2" width="32.453125" style="11" customWidth="1"/>
    <col min="3" max="3" width="18.453125" style="11" customWidth="1"/>
    <col min="4" max="16384" width="15.54296875" style="11"/>
  </cols>
  <sheetData>
    <row r="1" spans="1:3" ht="15.5" x14ac:dyDescent="0.25">
      <c r="A1" s="21" t="s">
        <v>9</v>
      </c>
      <c r="B1" s="18" t="s">
        <v>412</v>
      </c>
    </row>
    <row r="3" spans="1:3" ht="13" x14ac:dyDescent="0.25">
      <c r="B3" s="17" t="str">
        <f ca="1">GetNameRange(B4)</f>
        <v>PurchAssetsDefnEqt</v>
      </c>
    </row>
    <row r="4" spans="1:3" ht="13" x14ac:dyDescent="0.25">
      <c r="A4" s="55"/>
      <c r="B4" s="53" t="s">
        <v>89</v>
      </c>
      <c r="C4" s="54" t="s">
        <v>408</v>
      </c>
    </row>
    <row r="5" spans="1:3" ht="13" x14ac:dyDescent="0.25">
      <c r="A5" s="56" t="s">
        <v>8</v>
      </c>
      <c r="B5" s="19" t="s">
        <v>0</v>
      </c>
      <c r="C5" s="24"/>
    </row>
    <row r="6" spans="1:3" x14ac:dyDescent="0.25">
      <c r="A6" s="66" t="s">
        <v>6</v>
      </c>
      <c r="B6" s="39" t="s">
        <v>521</v>
      </c>
      <c r="C6" s="63" t="s">
        <v>6</v>
      </c>
    </row>
    <row r="7" spans="1:3" x14ac:dyDescent="0.25">
      <c r="A7" s="66" t="s">
        <v>47</v>
      </c>
      <c r="B7" s="39" t="s">
        <v>191</v>
      </c>
      <c r="C7" s="63" t="s">
        <v>47</v>
      </c>
    </row>
    <row r="8" spans="1:3" x14ac:dyDescent="0.25">
      <c r="A8" s="66" t="s">
        <v>149</v>
      </c>
      <c r="B8" s="39" t="s">
        <v>192</v>
      </c>
      <c r="C8" s="63" t="s">
        <v>149</v>
      </c>
    </row>
    <row r="9" spans="1:3" x14ac:dyDescent="0.25">
      <c r="A9" s="66" t="s">
        <v>51</v>
      </c>
      <c r="B9" s="39" t="s">
        <v>193</v>
      </c>
      <c r="C9" s="63" t="s">
        <v>51</v>
      </c>
    </row>
    <row r="10" spans="1:3" x14ac:dyDescent="0.25">
      <c r="A10" s="66" t="s">
        <v>122</v>
      </c>
      <c r="B10" s="39" t="s">
        <v>194</v>
      </c>
      <c r="C10" s="63" t="s">
        <v>122</v>
      </c>
    </row>
    <row r="11" spans="1:3" x14ac:dyDescent="0.25">
      <c r="A11" s="68">
        <v>1</v>
      </c>
      <c r="B11" s="39" t="s">
        <v>195</v>
      </c>
      <c r="C11" s="63">
        <v>1</v>
      </c>
    </row>
    <row r="12" spans="1:3" x14ac:dyDescent="0.25">
      <c r="A12" s="70">
        <v>0</v>
      </c>
      <c r="B12" s="39" t="s">
        <v>196</v>
      </c>
      <c r="C12" s="65">
        <v>0</v>
      </c>
    </row>
    <row r="13" spans="1:3" x14ac:dyDescent="0.25">
      <c r="A13" s="68">
        <v>1</v>
      </c>
      <c r="B13" s="39" t="s">
        <v>197</v>
      </c>
      <c r="C13" s="63">
        <v>1</v>
      </c>
    </row>
    <row r="14" spans="1:3" x14ac:dyDescent="0.25">
      <c r="A14" s="70">
        <v>0</v>
      </c>
      <c r="B14" s="39" t="s">
        <v>198</v>
      </c>
      <c r="C14" s="65">
        <v>0</v>
      </c>
    </row>
    <row r="15" spans="1:3" x14ac:dyDescent="0.25">
      <c r="A15" s="70">
        <v>0</v>
      </c>
      <c r="B15" s="39" t="s">
        <v>199</v>
      </c>
      <c r="C15" s="65">
        <v>0</v>
      </c>
    </row>
    <row r="16" spans="1:3" x14ac:dyDescent="0.25">
      <c r="A16" s="70">
        <v>0</v>
      </c>
      <c r="B16" s="39" t="s">
        <v>200</v>
      </c>
      <c r="C16" s="65">
        <v>0</v>
      </c>
    </row>
    <row r="17" spans="1:3" x14ac:dyDescent="0.25">
      <c r="A17" s="70">
        <v>0</v>
      </c>
      <c r="B17" s="39" t="s">
        <v>201</v>
      </c>
      <c r="C17" s="65">
        <v>0</v>
      </c>
    </row>
    <row r="18" spans="1:3" x14ac:dyDescent="0.25">
      <c r="A18" s="70">
        <v>0</v>
      </c>
      <c r="B18" s="40" t="s">
        <v>202</v>
      </c>
      <c r="C18" s="116">
        <v>0</v>
      </c>
    </row>
  </sheetData>
  <conditionalFormatting sqref="C6:C18">
    <cfRule type="cellIs" dxfId="195" priority="1" operator="notEqual">
      <formula>$A6</formula>
    </cfRule>
  </conditionalFormatting>
  <dataValidations count="2">
    <dataValidation type="list" allowBlank="1" showInputMessage="1" showErrorMessage="1" sqref="C9" xr:uid="{00000000-0002-0000-1200-000000000000}">
      <formula1>"Not Assigned,Available for Sale,Trading,Held to Maturity"</formula1>
    </dataValidation>
    <dataValidation type="list" allowBlank="1" showInputMessage="1" showErrorMessage="1" sqref="C10" xr:uid="{00000000-0002-0000-1200-000001000000}">
      <formula1>"Monthly,Quarterly,Semi-Annual,Annual"</formula1>
    </dataValidation>
  </dataValidations>
  <hyperlinks>
    <hyperlink ref="A1" location="'Table of Contents'!A1" display="Go to TOC" xr:uid="{00000000-0004-0000-12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I25"/>
  <sheetViews>
    <sheetView showGridLines="0" workbookViewId="0"/>
  </sheetViews>
  <sheetFormatPr defaultColWidth="15.54296875" defaultRowHeight="12.5" x14ac:dyDescent="0.25"/>
  <cols>
    <col min="1" max="1" width="18.1796875" style="14" customWidth="1"/>
    <col min="2" max="2" width="36" style="11" customWidth="1"/>
    <col min="3" max="16384" width="15.54296875" style="11"/>
  </cols>
  <sheetData>
    <row r="1" spans="1:9" ht="15.5" x14ac:dyDescent="0.25">
      <c r="A1" s="21" t="s">
        <v>9</v>
      </c>
      <c r="B1" s="18" t="s">
        <v>411</v>
      </c>
    </row>
    <row r="3" spans="1:9" ht="13" x14ac:dyDescent="0.25">
      <c r="B3" s="17" t="str">
        <f ca="1">GetNameRange(B4)</f>
        <v>PurchAssetsDefnEio</v>
      </c>
    </row>
    <row r="4" spans="1:9" ht="13" x14ac:dyDescent="0.25">
      <c r="A4" s="55"/>
      <c r="B4" s="53" t="s">
        <v>89</v>
      </c>
      <c r="C4" s="175" t="s">
        <v>458</v>
      </c>
      <c r="D4" s="175" t="s">
        <v>459</v>
      </c>
      <c r="E4" s="175" t="s">
        <v>460</v>
      </c>
      <c r="F4" s="175" t="s">
        <v>461</v>
      </c>
      <c r="G4" s="175" t="s">
        <v>462</v>
      </c>
      <c r="H4" s="175" t="s">
        <v>463</v>
      </c>
      <c r="I4" s="176" t="s">
        <v>464</v>
      </c>
    </row>
    <row r="5" spans="1:9" ht="13" x14ac:dyDescent="0.25">
      <c r="A5" s="56" t="s">
        <v>8</v>
      </c>
      <c r="B5" s="19" t="s">
        <v>0</v>
      </c>
      <c r="C5" s="26"/>
      <c r="D5" s="26"/>
      <c r="E5" s="26"/>
      <c r="F5" s="26"/>
      <c r="G5" s="26"/>
      <c r="H5" s="26"/>
      <c r="I5" s="145"/>
    </row>
    <row r="6" spans="1:9" x14ac:dyDescent="0.25">
      <c r="A6" s="66" t="s">
        <v>6</v>
      </c>
      <c r="B6" s="39" t="s">
        <v>522</v>
      </c>
      <c r="C6" s="75" t="s">
        <v>465</v>
      </c>
      <c r="D6" s="75" t="s">
        <v>465</v>
      </c>
      <c r="E6" s="75" t="s">
        <v>465</v>
      </c>
      <c r="F6" s="75" t="s">
        <v>465</v>
      </c>
      <c r="G6" s="75" t="s">
        <v>465</v>
      </c>
      <c r="H6" s="75" t="s">
        <v>465</v>
      </c>
      <c r="I6" s="155" t="s">
        <v>465</v>
      </c>
    </row>
    <row r="7" spans="1:9" x14ac:dyDescent="0.25">
      <c r="A7" s="66" t="s">
        <v>47</v>
      </c>
      <c r="B7" s="39" t="s">
        <v>203</v>
      </c>
      <c r="C7" s="75" t="s">
        <v>222</v>
      </c>
      <c r="D7" s="75" t="s">
        <v>222</v>
      </c>
      <c r="E7" s="75" t="s">
        <v>222</v>
      </c>
      <c r="F7" s="75" t="s">
        <v>222</v>
      </c>
      <c r="G7" s="75" t="s">
        <v>222</v>
      </c>
      <c r="H7" s="75" t="s">
        <v>222</v>
      </c>
      <c r="I7" s="155" t="s">
        <v>222</v>
      </c>
    </row>
    <row r="8" spans="1:9" x14ac:dyDescent="0.25">
      <c r="A8" s="66" t="s">
        <v>6</v>
      </c>
      <c r="B8" s="39" t="s">
        <v>204</v>
      </c>
      <c r="C8" s="75" t="s">
        <v>222</v>
      </c>
      <c r="D8" s="75" t="s">
        <v>222</v>
      </c>
      <c r="E8" s="75" t="s">
        <v>222</v>
      </c>
      <c r="F8" s="75" t="s">
        <v>222</v>
      </c>
      <c r="G8" s="75" t="s">
        <v>222</v>
      </c>
      <c r="H8" s="75" t="s">
        <v>222</v>
      </c>
      <c r="I8" s="155" t="s">
        <v>222</v>
      </c>
    </row>
    <row r="9" spans="1:9" x14ac:dyDescent="0.25">
      <c r="A9" s="66" t="s">
        <v>48</v>
      </c>
      <c r="B9" s="39" t="s">
        <v>205</v>
      </c>
      <c r="C9" s="75" t="s">
        <v>466</v>
      </c>
      <c r="D9" s="75" t="s">
        <v>466</v>
      </c>
      <c r="E9" s="75" t="s">
        <v>466</v>
      </c>
      <c r="F9" s="75" t="s">
        <v>466</v>
      </c>
      <c r="G9" s="75" t="s">
        <v>466</v>
      </c>
      <c r="H9" s="75" t="s">
        <v>466</v>
      </c>
      <c r="I9" s="155" t="s">
        <v>466</v>
      </c>
    </row>
    <row r="10" spans="1:9" x14ac:dyDescent="0.25">
      <c r="A10" s="66" t="s">
        <v>51</v>
      </c>
      <c r="B10" s="39" t="s">
        <v>206</v>
      </c>
      <c r="C10" s="75" t="s">
        <v>51</v>
      </c>
      <c r="D10" s="75" t="s">
        <v>51</v>
      </c>
      <c r="E10" s="75" t="s">
        <v>51</v>
      </c>
      <c r="F10" s="75" t="s">
        <v>51</v>
      </c>
      <c r="G10" s="75" t="s">
        <v>51</v>
      </c>
      <c r="H10" s="75" t="s">
        <v>51</v>
      </c>
      <c r="I10" s="155" t="s">
        <v>51</v>
      </c>
    </row>
    <row r="11" spans="1:9" x14ac:dyDescent="0.25">
      <c r="A11" s="66" t="s">
        <v>223</v>
      </c>
      <c r="B11" s="39" t="s">
        <v>207</v>
      </c>
      <c r="C11" s="75" t="s">
        <v>223</v>
      </c>
      <c r="D11" s="75" t="s">
        <v>223</v>
      </c>
      <c r="E11" s="75" t="s">
        <v>223</v>
      </c>
      <c r="F11" s="75" t="s">
        <v>223</v>
      </c>
      <c r="G11" s="75" t="s">
        <v>223</v>
      </c>
      <c r="H11" s="75" t="s">
        <v>223</v>
      </c>
      <c r="I11" s="75" t="s">
        <v>223</v>
      </c>
    </row>
    <row r="12" spans="1:9" x14ac:dyDescent="0.25">
      <c r="A12" s="67">
        <v>0</v>
      </c>
      <c r="B12" s="39" t="s">
        <v>208</v>
      </c>
      <c r="C12" s="33">
        <v>1</v>
      </c>
      <c r="D12" s="33">
        <v>1</v>
      </c>
      <c r="E12" s="33">
        <v>1</v>
      </c>
      <c r="F12" s="33">
        <v>1</v>
      </c>
      <c r="G12" s="33">
        <v>1</v>
      </c>
      <c r="H12" s="33">
        <v>1</v>
      </c>
      <c r="I12" s="157">
        <v>1</v>
      </c>
    </row>
    <row r="13" spans="1:9" x14ac:dyDescent="0.25">
      <c r="A13" s="66">
        <v>999.99</v>
      </c>
      <c r="B13" s="39" t="s">
        <v>209</v>
      </c>
      <c r="C13" s="33">
        <v>100</v>
      </c>
      <c r="D13" s="33">
        <v>100</v>
      </c>
      <c r="E13" s="33">
        <v>100</v>
      </c>
      <c r="F13" s="33">
        <v>100</v>
      </c>
      <c r="G13" s="33">
        <v>100</v>
      </c>
      <c r="H13" s="33">
        <v>100</v>
      </c>
      <c r="I13" s="157">
        <v>100</v>
      </c>
    </row>
    <row r="14" spans="1:9" x14ac:dyDescent="0.25">
      <c r="A14" s="66">
        <v>0</v>
      </c>
      <c r="B14" s="39" t="s">
        <v>210</v>
      </c>
      <c r="C14" s="110">
        <v>1</v>
      </c>
      <c r="D14" s="110">
        <v>1</v>
      </c>
      <c r="E14" s="110">
        <v>1</v>
      </c>
      <c r="F14" s="110">
        <v>1</v>
      </c>
      <c r="G14" s="110">
        <v>1</v>
      </c>
      <c r="H14" s="110">
        <v>1</v>
      </c>
      <c r="I14" s="168">
        <v>1</v>
      </c>
    </row>
    <row r="15" spans="1:9" x14ac:dyDescent="0.25">
      <c r="A15" s="68">
        <v>1</v>
      </c>
      <c r="B15" s="39" t="s">
        <v>211</v>
      </c>
      <c r="C15" s="75">
        <v>1</v>
      </c>
      <c r="D15" s="75">
        <v>1</v>
      </c>
      <c r="E15" s="75">
        <v>1</v>
      </c>
      <c r="F15" s="75">
        <v>1</v>
      </c>
      <c r="G15" s="75">
        <v>1</v>
      </c>
      <c r="H15" s="75">
        <v>1</v>
      </c>
      <c r="I15" s="155">
        <v>1</v>
      </c>
    </row>
    <row r="16" spans="1:9" x14ac:dyDescent="0.25">
      <c r="A16" s="70">
        <v>0</v>
      </c>
      <c r="B16" s="39" t="s">
        <v>212</v>
      </c>
      <c r="C16" s="76">
        <v>0</v>
      </c>
      <c r="D16" s="76">
        <v>0</v>
      </c>
      <c r="E16" s="76">
        <v>0</v>
      </c>
      <c r="F16" s="76">
        <v>0</v>
      </c>
      <c r="G16" s="76">
        <v>0</v>
      </c>
      <c r="H16" s="76">
        <v>0</v>
      </c>
      <c r="I16" s="121">
        <v>0</v>
      </c>
    </row>
    <row r="17" spans="1:9" x14ac:dyDescent="0.25">
      <c r="A17" s="66" t="s">
        <v>224</v>
      </c>
      <c r="B17" s="39" t="s">
        <v>213</v>
      </c>
      <c r="C17" s="75" t="s">
        <v>224</v>
      </c>
      <c r="D17" s="75" t="s">
        <v>224</v>
      </c>
      <c r="E17" s="75" t="s">
        <v>224</v>
      </c>
      <c r="F17" s="75" t="s">
        <v>224</v>
      </c>
      <c r="G17" s="75" t="s">
        <v>224</v>
      </c>
      <c r="H17" s="75" t="s">
        <v>467</v>
      </c>
      <c r="I17" s="75" t="s">
        <v>467</v>
      </c>
    </row>
    <row r="18" spans="1:9" x14ac:dyDescent="0.25">
      <c r="A18" s="66" t="s">
        <v>225</v>
      </c>
      <c r="B18" s="39" t="s">
        <v>214</v>
      </c>
      <c r="C18" s="75" t="s">
        <v>225</v>
      </c>
      <c r="D18" s="75" t="s">
        <v>225</v>
      </c>
      <c r="E18" s="75" t="s">
        <v>225</v>
      </c>
      <c r="F18" s="75" t="s">
        <v>225</v>
      </c>
      <c r="G18" s="75" t="s">
        <v>225</v>
      </c>
      <c r="H18" s="75" t="s">
        <v>225</v>
      </c>
      <c r="I18" s="155" t="s">
        <v>225</v>
      </c>
    </row>
    <row r="19" spans="1:9" x14ac:dyDescent="0.25">
      <c r="A19" s="66">
        <v>0</v>
      </c>
      <c r="B19" s="39" t="s">
        <v>215</v>
      </c>
      <c r="C19" s="110">
        <v>0</v>
      </c>
      <c r="D19" s="110">
        <v>0</v>
      </c>
      <c r="E19" s="110">
        <v>0</v>
      </c>
      <c r="F19" s="110">
        <v>0</v>
      </c>
      <c r="G19" s="110">
        <v>0</v>
      </c>
      <c r="H19" s="110">
        <v>1</v>
      </c>
      <c r="I19" s="168">
        <v>1</v>
      </c>
    </row>
    <row r="20" spans="1:9" x14ac:dyDescent="0.25">
      <c r="A20" s="68">
        <v>1</v>
      </c>
      <c r="B20" s="39" t="s">
        <v>216</v>
      </c>
      <c r="C20" s="75">
        <v>1</v>
      </c>
      <c r="D20" s="75">
        <v>1</v>
      </c>
      <c r="E20" s="75">
        <v>1</v>
      </c>
      <c r="F20" s="75">
        <v>1</v>
      </c>
      <c r="G20" s="75">
        <v>1</v>
      </c>
      <c r="H20" s="75">
        <v>1</v>
      </c>
      <c r="I20" s="155">
        <v>1</v>
      </c>
    </row>
    <row r="21" spans="1:9" x14ac:dyDescent="0.25">
      <c r="A21" s="70">
        <v>0</v>
      </c>
      <c r="B21" s="39" t="s">
        <v>217</v>
      </c>
      <c r="C21" s="76">
        <v>0</v>
      </c>
      <c r="D21" s="76">
        <v>0</v>
      </c>
      <c r="E21" s="76">
        <v>0</v>
      </c>
      <c r="F21" s="76">
        <v>0</v>
      </c>
      <c r="G21" s="76">
        <v>0</v>
      </c>
      <c r="H21" s="76">
        <v>0</v>
      </c>
      <c r="I21" s="121">
        <v>0</v>
      </c>
    </row>
    <row r="22" spans="1:9" x14ac:dyDescent="0.25">
      <c r="A22" s="70">
        <v>0</v>
      </c>
      <c r="B22" s="39" t="s">
        <v>218</v>
      </c>
      <c r="C22" s="76">
        <v>0.01</v>
      </c>
      <c r="D22" s="76">
        <v>0.01</v>
      </c>
      <c r="E22" s="76">
        <v>0</v>
      </c>
      <c r="F22" s="76">
        <v>0.01</v>
      </c>
      <c r="G22" s="76">
        <v>0.01</v>
      </c>
      <c r="H22" s="76">
        <v>0.01</v>
      </c>
      <c r="I22" s="121">
        <v>0.01</v>
      </c>
    </row>
    <row r="23" spans="1:9" x14ac:dyDescent="0.25">
      <c r="A23" s="70">
        <v>0</v>
      </c>
      <c r="B23" s="39" t="s">
        <v>219</v>
      </c>
      <c r="C23" s="76">
        <v>0.02</v>
      </c>
      <c r="D23" s="76">
        <v>0.02</v>
      </c>
      <c r="E23" s="76">
        <v>0</v>
      </c>
      <c r="F23" s="76">
        <v>0.02</v>
      </c>
      <c r="G23" s="76">
        <v>0.02</v>
      </c>
      <c r="H23" s="76">
        <v>0.02</v>
      </c>
      <c r="I23" s="121">
        <v>0.02</v>
      </c>
    </row>
    <row r="24" spans="1:9" x14ac:dyDescent="0.25">
      <c r="A24" s="70">
        <v>0</v>
      </c>
      <c r="B24" s="39" t="s">
        <v>220</v>
      </c>
      <c r="C24" s="76">
        <v>0.01</v>
      </c>
      <c r="D24" s="76">
        <v>0.01</v>
      </c>
      <c r="E24" s="76">
        <v>0</v>
      </c>
      <c r="F24" s="76">
        <v>0.01</v>
      </c>
      <c r="G24" s="76">
        <v>0.01</v>
      </c>
      <c r="H24" s="76">
        <v>0.01</v>
      </c>
      <c r="I24" s="121">
        <v>0.01</v>
      </c>
    </row>
    <row r="25" spans="1:9" x14ac:dyDescent="0.25">
      <c r="A25" s="70">
        <v>0</v>
      </c>
      <c r="B25" s="40" t="s">
        <v>221</v>
      </c>
      <c r="C25" s="123">
        <v>0.03</v>
      </c>
      <c r="D25" s="123">
        <v>0.03</v>
      </c>
      <c r="E25" s="123">
        <v>0.01</v>
      </c>
      <c r="F25" s="123">
        <v>0.03</v>
      </c>
      <c r="G25" s="123">
        <v>0.03</v>
      </c>
      <c r="H25" s="123">
        <v>0.03</v>
      </c>
      <c r="I25" s="136">
        <v>0.03</v>
      </c>
    </row>
  </sheetData>
  <conditionalFormatting sqref="C6:D6">
    <cfRule type="cellIs" dxfId="194" priority="216" operator="notEqual">
      <formula>$A6</formula>
    </cfRule>
    <cfRule type="cellIs" dxfId="193" priority="217" operator="equal">
      <formula>"""&lt;&gt;$A6"""</formula>
    </cfRule>
    <cfRule type="cellIs" dxfId="192" priority="218" operator="equal">
      <formula>"&lt;&gt;$A6"</formula>
    </cfRule>
    <cfRule type="cellIs" dxfId="191" priority="219" operator="equal">
      <formula>$A6</formula>
    </cfRule>
    <cfRule type="cellIs" dxfId="190" priority="220" operator="equal">
      <formula>$A6</formula>
    </cfRule>
  </conditionalFormatting>
  <conditionalFormatting sqref="C7:D25">
    <cfRule type="cellIs" dxfId="189" priority="211" operator="notEqual">
      <formula>$A7</formula>
    </cfRule>
    <cfRule type="cellIs" dxfId="188" priority="212" operator="equal">
      <formula>"""&lt;&gt;$A6"""</formula>
    </cfRule>
    <cfRule type="cellIs" dxfId="187" priority="213" operator="equal">
      <formula>"&lt;&gt;$A6"</formula>
    </cfRule>
    <cfRule type="cellIs" dxfId="186" priority="214" operator="equal">
      <formula>$A7</formula>
    </cfRule>
    <cfRule type="cellIs" dxfId="185" priority="215" operator="equal">
      <formula>$A7</formula>
    </cfRule>
  </conditionalFormatting>
  <conditionalFormatting sqref="F7:F8 F12:F16 F19:F25">
    <cfRule type="cellIs" dxfId="184" priority="196" operator="notEqual">
      <formula>$A7</formula>
    </cfRule>
    <cfRule type="cellIs" dxfId="183" priority="197" operator="equal">
      <formula>"""&lt;&gt;$A6"""</formula>
    </cfRule>
    <cfRule type="cellIs" dxfId="182" priority="198" operator="equal">
      <formula>"&lt;&gt;$A6"</formula>
    </cfRule>
    <cfRule type="cellIs" dxfId="181" priority="199" operator="equal">
      <formula>$A7</formula>
    </cfRule>
    <cfRule type="cellIs" dxfId="180" priority="200" operator="equal">
      <formula>$A7</formula>
    </cfRule>
  </conditionalFormatting>
  <conditionalFormatting sqref="E6">
    <cfRule type="cellIs" dxfId="179" priority="206" operator="notEqual">
      <formula>$A6</formula>
    </cfRule>
    <cfRule type="cellIs" dxfId="178" priority="207" operator="equal">
      <formula>"""&lt;&gt;$A6"""</formula>
    </cfRule>
    <cfRule type="cellIs" dxfId="177" priority="208" operator="equal">
      <formula>"&lt;&gt;$A6"</formula>
    </cfRule>
    <cfRule type="cellIs" dxfId="176" priority="209" operator="equal">
      <formula>$A6</formula>
    </cfRule>
    <cfRule type="cellIs" dxfId="175" priority="210" operator="equal">
      <formula>$A6</formula>
    </cfRule>
  </conditionalFormatting>
  <conditionalFormatting sqref="E7 E12:E16">
    <cfRule type="cellIs" dxfId="174" priority="201" operator="notEqual">
      <formula>$A7</formula>
    </cfRule>
    <cfRule type="cellIs" dxfId="173" priority="202" operator="equal">
      <formula>"""&lt;&gt;$A6"""</formula>
    </cfRule>
    <cfRule type="cellIs" dxfId="172" priority="203" operator="equal">
      <formula>"&lt;&gt;$A6"</formula>
    </cfRule>
    <cfRule type="cellIs" dxfId="171" priority="204" operator="equal">
      <formula>$A7</formula>
    </cfRule>
    <cfRule type="cellIs" dxfId="170" priority="205" operator="equal">
      <formula>$A7</formula>
    </cfRule>
  </conditionalFormatting>
  <conditionalFormatting sqref="G7:G8 G12:G16 G19:G25">
    <cfRule type="cellIs" dxfId="169" priority="191" operator="notEqual">
      <formula>$A7</formula>
    </cfRule>
    <cfRule type="cellIs" dxfId="168" priority="192" operator="equal">
      <formula>"""&lt;&gt;$A6"""</formula>
    </cfRule>
    <cfRule type="cellIs" dxfId="167" priority="193" operator="equal">
      <formula>"&lt;&gt;$A6"</formula>
    </cfRule>
    <cfRule type="cellIs" dxfId="166" priority="194" operator="equal">
      <formula>$A7</formula>
    </cfRule>
    <cfRule type="cellIs" dxfId="165" priority="195" operator="equal">
      <formula>$A7</formula>
    </cfRule>
  </conditionalFormatting>
  <conditionalFormatting sqref="H7:H8 H12:H16 H19:H25">
    <cfRule type="cellIs" dxfId="164" priority="186" operator="notEqual">
      <formula>$A7</formula>
    </cfRule>
    <cfRule type="cellIs" dxfId="163" priority="187" operator="equal">
      <formula>"""&lt;&gt;$A6"""</formula>
    </cfRule>
    <cfRule type="cellIs" dxfId="162" priority="188" operator="equal">
      <formula>"&lt;&gt;$A6"</formula>
    </cfRule>
    <cfRule type="cellIs" dxfId="161" priority="189" operator="equal">
      <formula>$A7</formula>
    </cfRule>
    <cfRule type="cellIs" dxfId="160" priority="190" operator="equal">
      <formula>$A7</formula>
    </cfRule>
  </conditionalFormatting>
  <conditionalFormatting sqref="I7:I8 I12:I16 I19:I25">
    <cfRule type="cellIs" dxfId="159" priority="181" operator="notEqual">
      <formula>$A7</formula>
    </cfRule>
    <cfRule type="cellIs" dxfId="158" priority="182" operator="equal">
      <formula>"""&lt;&gt;$A6"""</formula>
    </cfRule>
    <cfRule type="cellIs" dxfId="157" priority="183" operator="equal">
      <formula>"&lt;&gt;$A6"</formula>
    </cfRule>
    <cfRule type="cellIs" dxfId="156" priority="184" operator="equal">
      <formula>$A7</formula>
    </cfRule>
    <cfRule type="cellIs" dxfId="155" priority="185" operator="equal">
      <formula>$A7</formula>
    </cfRule>
  </conditionalFormatting>
  <conditionalFormatting sqref="E8">
    <cfRule type="cellIs" dxfId="154" priority="176" operator="notEqual">
      <formula>$A8</formula>
    </cfRule>
    <cfRule type="cellIs" dxfId="153" priority="177" operator="equal">
      <formula>"""&lt;&gt;$A6"""</formula>
    </cfRule>
    <cfRule type="cellIs" dxfId="152" priority="178" operator="equal">
      <formula>"&lt;&gt;$A6"</formula>
    </cfRule>
    <cfRule type="cellIs" dxfId="151" priority="179" operator="equal">
      <formula>$A8</formula>
    </cfRule>
    <cfRule type="cellIs" dxfId="150" priority="180" operator="equal">
      <formula>$A8</formula>
    </cfRule>
  </conditionalFormatting>
  <conditionalFormatting sqref="E10">
    <cfRule type="cellIs" dxfId="149" priority="171" operator="notEqual">
      <formula>$A10</formula>
    </cfRule>
    <cfRule type="cellIs" dxfId="148" priority="172" operator="equal">
      <formula>"""&lt;&gt;$A6"""</formula>
    </cfRule>
    <cfRule type="cellIs" dxfId="147" priority="173" operator="equal">
      <formula>"&lt;&gt;$A6"</formula>
    </cfRule>
    <cfRule type="cellIs" dxfId="146" priority="174" operator="equal">
      <formula>$A10</formula>
    </cfRule>
    <cfRule type="cellIs" dxfId="145" priority="175" operator="equal">
      <formula>$A10</formula>
    </cfRule>
  </conditionalFormatting>
  <conditionalFormatting sqref="E19:E25">
    <cfRule type="cellIs" dxfId="144" priority="161" operator="notEqual">
      <formula>$A19</formula>
    </cfRule>
    <cfRule type="cellIs" dxfId="143" priority="162" operator="equal">
      <formula>"""&lt;&gt;$A6"""</formula>
    </cfRule>
    <cfRule type="cellIs" dxfId="142" priority="163" operator="equal">
      <formula>"&lt;&gt;$A6"</formula>
    </cfRule>
    <cfRule type="cellIs" dxfId="141" priority="164" operator="equal">
      <formula>$A19</formula>
    </cfRule>
    <cfRule type="cellIs" dxfId="140" priority="165" operator="equal">
      <formula>$A19</formula>
    </cfRule>
  </conditionalFormatting>
  <conditionalFormatting sqref="E9">
    <cfRule type="cellIs" dxfId="139" priority="156" operator="notEqual">
      <formula>$A9</formula>
    </cfRule>
    <cfRule type="cellIs" dxfId="138" priority="157" operator="equal">
      <formula>"""&lt;&gt;$A6"""</formula>
    </cfRule>
    <cfRule type="cellIs" dxfId="137" priority="158" operator="equal">
      <formula>"&lt;&gt;$A6"</formula>
    </cfRule>
    <cfRule type="cellIs" dxfId="136" priority="159" operator="equal">
      <formula>$A9</formula>
    </cfRule>
    <cfRule type="cellIs" dxfId="135" priority="160" operator="equal">
      <formula>$A9</formula>
    </cfRule>
  </conditionalFormatting>
  <conditionalFormatting sqref="F9">
    <cfRule type="cellIs" dxfId="134" priority="151" operator="notEqual">
      <formula>$A9</formula>
    </cfRule>
    <cfRule type="cellIs" dxfId="133" priority="152" operator="equal">
      <formula>"""&lt;&gt;$A6"""</formula>
    </cfRule>
    <cfRule type="cellIs" dxfId="132" priority="153" operator="equal">
      <formula>"&lt;&gt;$A6"</formula>
    </cfRule>
    <cfRule type="cellIs" dxfId="131" priority="154" operator="equal">
      <formula>$A9</formula>
    </cfRule>
    <cfRule type="cellIs" dxfId="130" priority="155" operator="equal">
      <formula>$A9</formula>
    </cfRule>
  </conditionalFormatting>
  <conditionalFormatting sqref="G9">
    <cfRule type="cellIs" dxfId="129" priority="146" operator="notEqual">
      <formula>$A9</formula>
    </cfRule>
    <cfRule type="cellIs" dxfId="128" priority="147" operator="equal">
      <formula>"""&lt;&gt;$A6"""</formula>
    </cfRule>
    <cfRule type="cellIs" dxfId="127" priority="148" operator="equal">
      <formula>"&lt;&gt;$A6"</formula>
    </cfRule>
    <cfRule type="cellIs" dxfId="126" priority="149" operator="equal">
      <formula>$A9</formula>
    </cfRule>
    <cfRule type="cellIs" dxfId="125" priority="150" operator="equal">
      <formula>$A9</formula>
    </cfRule>
  </conditionalFormatting>
  <conditionalFormatting sqref="H9">
    <cfRule type="cellIs" dxfId="124" priority="141" operator="notEqual">
      <formula>$A9</formula>
    </cfRule>
    <cfRule type="cellIs" dxfId="123" priority="142" operator="equal">
      <formula>"""&lt;&gt;$A6"""</formula>
    </cfRule>
    <cfRule type="cellIs" dxfId="122" priority="143" operator="equal">
      <formula>"&lt;&gt;$A6"</formula>
    </cfRule>
    <cfRule type="cellIs" dxfId="121" priority="144" operator="equal">
      <formula>$A9</formula>
    </cfRule>
    <cfRule type="cellIs" dxfId="120" priority="145" operator="equal">
      <formula>$A9</formula>
    </cfRule>
  </conditionalFormatting>
  <conditionalFormatting sqref="I9">
    <cfRule type="cellIs" dxfId="119" priority="136" operator="notEqual">
      <formula>$A9</formula>
    </cfRule>
    <cfRule type="cellIs" dxfId="118" priority="137" operator="equal">
      <formula>"""&lt;&gt;$A6"""</formula>
    </cfRule>
    <cfRule type="cellIs" dxfId="117" priority="138" operator="equal">
      <formula>"&lt;&gt;$A6"</formula>
    </cfRule>
    <cfRule type="cellIs" dxfId="116" priority="139" operator="equal">
      <formula>$A9</formula>
    </cfRule>
    <cfRule type="cellIs" dxfId="115" priority="140" operator="equal">
      <formula>$A9</formula>
    </cfRule>
  </conditionalFormatting>
  <conditionalFormatting sqref="E18">
    <cfRule type="cellIs" dxfId="114" priority="111" operator="notEqual">
      <formula>$A18</formula>
    </cfRule>
    <cfRule type="cellIs" dxfId="113" priority="112" operator="equal">
      <formula>"""&lt;&gt;$A6"""</formula>
    </cfRule>
    <cfRule type="cellIs" dxfId="112" priority="113" operator="equal">
      <formula>"&lt;&gt;$A6"</formula>
    </cfRule>
    <cfRule type="cellIs" dxfId="111" priority="114" operator="equal">
      <formula>$A18</formula>
    </cfRule>
    <cfRule type="cellIs" dxfId="110" priority="115" operator="equal">
      <formula>$A18</formula>
    </cfRule>
  </conditionalFormatting>
  <conditionalFormatting sqref="F18">
    <cfRule type="cellIs" dxfId="109" priority="106" operator="notEqual">
      <formula>$A18</formula>
    </cfRule>
    <cfRule type="cellIs" dxfId="108" priority="107" operator="equal">
      <formula>"""&lt;&gt;$A6"""</formula>
    </cfRule>
    <cfRule type="cellIs" dxfId="107" priority="108" operator="equal">
      <formula>"&lt;&gt;$A6"</formula>
    </cfRule>
    <cfRule type="cellIs" dxfId="106" priority="109" operator="equal">
      <formula>$A18</formula>
    </cfRule>
    <cfRule type="cellIs" dxfId="105" priority="110" operator="equal">
      <formula>$A18</formula>
    </cfRule>
  </conditionalFormatting>
  <conditionalFormatting sqref="G18">
    <cfRule type="cellIs" dxfId="104" priority="101" operator="notEqual">
      <formula>$A18</formula>
    </cfRule>
    <cfRule type="cellIs" dxfId="103" priority="102" operator="equal">
      <formula>"""&lt;&gt;$A6"""</formula>
    </cfRule>
    <cfRule type="cellIs" dxfId="102" priority="103" operator="equal">
      <formula>"&lt;&gt;$A6"</formula>
    </cfRule>
    <cfRule type="cellIs" dxfId="101" priority="104" operator="equal">
      <formula>$A18</formula>
    </cfRule>
    <cfRule type="cellIs" dxfId="100" priority="105" operator="equal">
      <formula>$A18</formula>
    </cfRule>
  </conditionalFormatting>
  <conditionalFormatting sqref="H18">
    <cfRule type="cellIs" dxfId="99" priority="96" operator="notEqual">
      <formula>$A18</formula>
    </cfRule>
    <cfRule type="cellIs" dxfId="98" priority="97" operator="equal">
      <formula>"""&lt;&gt;$A6"""</formula>
    </cfRule>
    <cfRule type="cellIs" dxfId="97" priority="98" operator="equal">
      <formula>"&lt;&gt;$A6"</formula>
    </cfRule>
    <cfRule type="cellIs" dxfId="96" priority="99" operator="equal">
      <formula>$A18</formula>
    </cfRule>
    <cfRule type="cellIs" dxfId="95" priority="100" operator="equal">
      <formula>$A18</formula>
    </cfRule>
  </conditionalFormatting>
  <conditionalFormatting sqref="I18">
    <cfRule type="cellIs" dxfId="94" priority="91" operator="notEqual">
      <formula>$A18</formula>
    </cfRule>
    <cfRule type="cellIs" dxfId="93" priority="92" operator="equal">
      <formula>"""&lt;&gt;$A6"""</formula>
    </cfRule>
    <cfRule type="cellIs" dxfId="92" priority="93" operator="equal">
      <formula>"&lt;&gt;$A6"</formula>
    </cfRule>
    <cfRule type="cellIs" dxfId="91" priority="94" operator="equal">
      <formula>$A18</formula>
    </cfRule>
    <cfRule type="cellIs" dxfId="90" priority="95" operator="equal">
      <formula>$A18</formula>
    </cfRule>
  </conditionalFormatting>
  <conditionalFormatting sqref="F10">
    <cfRule type="cellIs" dxfId="89" priority="86" operator="notEqual">
      <formula>$A10</formula>
    </cfRule>
    <cfRule type="cellIs" dxfId="88" priority="87" operator="equal">
      <formula>"""&lt;&gt;$A6"""</formula>
    </cfRule>
    <cfRule type="cellIs" dxfId="87" priority="88" operator="equal">
      <formula>"&lt;&gt;$A6"</formula>
    </cfRule>
    <cfRule type="cellIs" dxfId="86" priority="89" operator="equal">
      <formula>$A10</formula>
    </cfRule>
    <cfRule type="cellIs" dxfId="85" priority="90" operator="equal">
      <formula>$A10</formula>
    </cfRule>
  </conditionalFormatting>
  <conditionalFormatting sqref="G10">
    <cfRule type="cellIs" dxfId="84" priority="81" operator="notEqual">
      <formula>$A10</formula>
    </cfRule>
    <cfRule type="cellIs" dxfId="83" priority="82" operator="equal">
      <formula>"""&lt;&gt;$A6"""</formula>
    </cfRule>
    <cfRule type="cellIs" dxfId="82" priority="83" operator="equal">
      <formula>"&lt;&gt;$A6"</formula>
    </cfRule>
    <cfRule type="cellIs" dxfId="81" priority="84" operator="equal">
      <formula>$A10</formula>
    </cfRule>
    <cfRule type="cellIs" dxfId="80" priority="85" operator="equal">
      <formula>$A10</formula>
    </cfRule>
  </conditionalFormatting>
  <conditionalFormatting sqref="H10">
    <cfRule type="cellIs" dxfId="79" priority="76" operator="notEqual">
      <formula>$A10</formula>
    </cfRule>
    <cfRule type="cellIs" dxfId="78" priority="77" operator="equal">
      <formula>"""&lt;&gt;$A6"""</formula>
    </cfRule>
    <cfRule type="cellIs" dxfId="77" priority="78" operator="equal">
      <formula>"&lt;&gt;$A6"</formula>
    </cfRule>
    <cfRule type="cellIs" dxfId="76" priority="79" operator="equal">
      <formula>$A10</formula>
    </cfRule>
    <cfRule type="cellIs" dxfId="75" priority="80" operator="equal">
      <formula>$A10</formula>
    </cfRule>
  </conditionalFormatting>
  <conditionalFormatting sqref="I10">
    <cfRule type="cellIs" dxfId="74" priority="71" operator="notEqual">
      <formula>$A10</formula>
    </cfRule>
    <cfRule type="cellIs" dxfId="73" priority="72" operator="equal">
      <formula>"""&lt;&gt;$A6"""</formula>
    </cfRule>
    <cfRule type="cellIs" dxfId="72" priority="73" operator="equal">
      <formula>"&lt;&gt;$A6"</formula>
    </cfRule>
    <cfRule type="cellIs" dxfId="71" priority="74" operator="equal">
      <formula>$A10</formula>
    </cfRule>
    <cfRule type="cellIs" dxfId="70" priority="75" operator="equal">
      <formula>$A10</formula>
    </cfRule>
  </conditionalFormatting>
  <conditionalFormatting sqref="F6">
    <cfRule type="cellIs" dxfId="69" priority="66" operator="notEqual">
      <formula>$A6</formula>
    </cfRule>
    <cfRule type="cellIs" dxfId="68" priority="67" operator="equal">
      <formula>"""&lt;&gt;$A6"""</formula>
    </cfRule>
    <cfRule type="cellIs" dxfId="67" priority="68" operator="equal">
      <formula>"&lt;&gt;$A6"</formula>
    </cfRule>
    <cfRule type="cellIs" dxfId="66" priority="69" operator="equal">
      <formula>$A6</formula>
    </cfRule>
    <cfRule type="cellIs" dxfId="65" priority="70" operator="equal">
      <formula>$A6</formula>
    </cfRule>
  </conditionalFormatting>
  <conditionalFormatting sqref="G6">
    <cfRule type="cellIs" dxfId="64" priority="61" operator="notEqual">
      <formula>$A6</formula>
    </cfRule>
    <cfRule type="cellIs" dxfId="63" priority="62" operator="equal">
      <formula>"""&lt;&gt;$A6"""</formula>
    </cfRule>
    <cfRule type="cellIs" dxfId="62" priority="63" operator="equal">
      <formula>"&lt;&gt;$A6"</formula>
    </cfRule>
    <cfRule type="cellIs" dxfId="61" priority="64" operator="equal">
      <formula>$A6</formula>
    </cfRule>
    <cfRule type="cellIs" dxfId="60" priority="65" operator="equal">
      <formula>$A6</formula>
    </cfRule>
  </conditionalFormatting>
  <conditionalFormatting sqref="H6">
    <cfRule type="cellIs" dxfId="59" priority="56" operator="notEqual">
      <formula>$A6</formula>
    </cfRule>
    <cfRule type="cellIs" dxfId="58" priority="57" operator="equal">
      <formula>"""&lt;&gt;$A6"""</formula>
    </cfRule>
    <cfRule type="cellIs" dxfId="57" priority="58" operator="equal">
      <formula>"&lt;&gt;$A6"</formula>
    </cfRule>
    <cfRule type="cellIs" dxfId="56" priority="59" operator="equal">
      <formula>$A6</formula>
    </cfRule>
    <cfRule type="cellIs" dxfId="55" priority="60" operator="equal">
      <formula>$A6</formula>
    </cfRule>
  </conditionalFormatting>
  <conditionalFormatting sqref="I6">
    <cfRule type="cellIs" dxfId="54" priority="51" operator="notEqual">
      <formula>$A6</formula>
    </cfRule>
    <cfRule type="cellIs" dxfId="53" priority="52" operator="equal">
      <formula>"""&lt;&gt;$A6"""</formula>
    </cfRule>
    <cfRule type="cellIs" dxfId="52" priority="53" operator="equal">
      <formula>"&lt;&gt;$A6"</formula>
    </cfRule>
    <cfRule type="cellIs" dxfId="51" priority="54" operator="equal">
      <formula>$A6</formula>
    </cfRule>
    <cfRule type="cellIs" dxfId="50" priority="55" operator="equal">
      <formula>$A6</formula>
    </cfRule>
  </conditionalFormatting>
  <conditionalFormatting sqref="E17">
    <cfRule type="cellIs" dxfId="49" priority="46" operator="notEqual">
      <formula>$A17</formula>
    </cfRule>
    <cfRule type="cellIs" dxfId="48" priority="47" operator="equal">
      <formula>"""&lt;&gt;$A6"""</formula>
    </cfRule>
    <cfRule type="cellIs" dxfId="47" priority="48" operator="equal">
      <formula>"&lt;&gt;$A6"</formula>
    </cfRule>
    <cfRule type="cellIs" dxfId="46" priority="49" operator="equal">
      <formula>$A17</formula>
    </cfRule>
    <cfRule type="cellIs" dxfId="45" priority="50" operator="equal">
      <formula>$A17</formula>
    </cfRule>
  </conditionalFormatting>
  <conditionalFormatting sqref="F17">
    <cfRule type="cellIs" dxfId="44" priority="41" operator="notEqual">
      <formula>$A17</formula>
    </cfRule>
    <cfRule type="cellIs" dxfId="43" priority="42" operator="equal">
      <formula>"""&lt;&gt;$A6"""</formula>
    </cfRule>
    <cfRule type="cellIs" dxfId="42" priority="43" operator="equal">
      <formula>"&lt;&gt;$A6"</formula>
    </cfRule>
    <cfRule type="cellIs" dxfId="41" priority="44" operator="equal">
      <formula>$A17</formula>
    </cfRule>
    <cfRule type="cellIs" dxfId="40" priority="45" operator="equal">
      <formula>$A17</formula>
    </cfRule>
  </conditionalFormatting>
  <conditionalFormatting sqref="G17">
    <cfRule type="cellIs" dxfId="39" priority="36" operator="notEqual">
      <formula>$A17</formula>
    </cfRule>
    <cfRule type="cellIs" dxfId="38" priority="37" operator="equal">
      <formula>"""&lt;&gt;$A6"""</formula>
    </cfRule>
    <cfRule type="cellIs" dxfId="37" priority="38" operator="equal">
      <formula>"&lt;&gt;$A6"</formula>
    </cfRule>
    <cfRule type="cellIs" dxfId="36" priority="39" operator="equal">
      <formula>$A17</formula>
    </cfRule>
    <cfRule type="cellIs" dxfId="35" priority="40" operator="equal">
      <formula>$A17</formula>
    </cfRule>
  </conditionalFormatting>
  <conditionalFormatting sqref="H17">
    <cfRule type="cellIs" dxfId="34" priority="31" operator="notEqual">
      <formula>$A17</formula>
    </cfRule>
    <cfRule type="cellIs" dxfId="33" priority="32" operator="equal">
      <formula>"""&lt;&gt;$A6"""</formula>
    </cfRule>
    <cfRule type="cellIs" dxfId="32" priority="33" operator="equal">
      <formula>"&lt;&gt;$A6"</formula>
    </cfRule>
    <cfRule type="cellIs" dxfId="31" priority="34" operator="equal">
      <formula>$A17</formula>
    </cfRule>
    <cfRule type="cellIs" dxfId="30" priority="35" operator="equal">
      <formula>$A17</formula>
    </cfRule>
  </conditionalFormatting>
  <conditionalFormatting sqref="I17">
    <cfRule type="cellIs" dxfId="29" priority="26" operator="notEqual">
      <formula>$A17</formula>
    </cfRule>
    <cfRule type="cellIs" dxfId="28" priority="27" operator="equal">
      <formula>"""&lt;&gt;$A6"""</formula>
    </cfRule>
    <cfRule type="cellIs" dxfId="27" priority="28" operator="equal">
      <formula>"&lt;&gt;$A6"</formula>
    </cfRule>
    <cfRule type="cellIs" dxfId="26" priority="29" operator="equal">
      <formula>$A17</formula>
    </cfRule>
    <cfRule type="cellIs" dxfId="25" priority="30" operator="equal">
      <formula>$A17</formula>
    </cfRule>
  </conditionalFormatting>
  <conditionalFormatting sqref="E11">
    <cfRule type="cellIs" dxfId="24" priority="21" operator="notEqual">
      <formula>$A11</formula>
    </cfRule>
    <cfRule type="cellIs" dxfId="23" priority="22" operator="equal">
      <formula>"""&lt;&gt;$A6"""</formula>
    </cfRule>
    <cfRule type="cellIs" dxfId="22" priority="23" operator="equal">
      <formula>"&lt;&gt;$A6"</formula>
    </cfRule>
    <cfRule type="cellIs" dxfId="21" priority="24" operator="equal">
      <formula>$A11</formula>
    </cfRule>
    <cfRule type="cellIs" dxfId="20" priority="25" operator="equal">
      <formula>$A11</formula>
    </cfRule>
  </conditionalFormatting>
  <conditionalFormatting sqref="F11">
    <cfRule type="cellIs" dxfId="19" priority="16" operator="notEqual">
      <formula>$A11</formula>
    </cfRule>
    <cfRule type="cellIs" dxfId="18" priority="17" operator="equal">
      <formula>"""&lt;&gt;$A6"""</formula>
    </cfRule>
    <cfRule type="cellIs" dxfId="17" priority="18" operator="equal">
      <formula>"&lt;&gt;$A6"</formula>
    </cfRule>
    <cfRule type="cellIs" dxfId="16" priority="19" operator="equal">
      <formula>$A11</formula>
    </cfRule>
    <cfRule type="cellIs" dxfId="15" priority="20" operator="equal">
      <formula>$A11</formula>
    </cfRule>
  </conditionalFormatting>
  <conditionalFormatting sqref="G11">
    <cfRule type="cellIs" dxfId="14" priority="11" operator="notEqual">
      <formula>$A11</formula>
    </cfRule>
    <cfRule type="cellIs" dxfId="13" priority="12" operator="equal">
      <formula>"""&lt;&gt;$A6"""</formula>
    </cfRule>
    <cfRule type="cellIs" dxfId="12" priority="13" operator="equal">
      <formula>"&lt;&gt;$A6"</formula>
    </cfRule>
    <cfRule type="cellIs" dxfId="11" priority="14" operator="equal">
      <formula>$A11</formula>
    </cfRule>
    <cfRule type="cellIs" dxfId="10" priority="15" operator="equal">
      <formula>$A11</formula>
    </cfRule>
  </conditionalFormatting>
  <conditionalFormatting sqref="H11">
    <cfRule type="cellIs" dxfId="9" priority="6" operator="notEqual">
      <formula>$A11</formula>
    </cfRule>
    <cfRule type="cellIs" dxfId="8" priority="7" operator="equal">
      <formula>"""&lt;&gt;$A6"""</formula>
    </cfRule>
    <cfRule type="cellIs" dxfId="7" priority="8" operator="equal">
      <formula>"&lt;&gt;$A6"</formula>
    </cfRule>
    <cfRule type="cellIs" dxfId="6" priority="9" operator="equal">
      <formula>$A11</formula>
    </cfRule>
    <cfRule type="cellIs" dxfId="5" priority="10" operator="equal">
      <formula>$A11</formula>
    </cfRule>
  </conditionalFormatting>
  <conditionalFormatting sqref="I11">
    <cfRule type="cellIs" dxfId="4" priority="1" operator="notEqual">
      <formula>$A11</formula>
    </cfRule>
    <cfRule type="cellIs" dxfId="3" priority="2" operator="equal">
      <formula>"""&lt;&gt;$A6"""</formula>
    </cfRule>
    <cfRule type="cellIs" dxfId="2" priority="3" operator="equal">
      <formula>"&lt;&gt;$A6"</formula>
    </cfRule>
    <cfRule type="cellIs" dxfId="1" priority="4" operator="equal">
      <formula>$A11</formula>
    </cfRule>
    <cfRule type="cellIs" dxfId="0" priority="5" operator="equal">
      <formula>$A11</formula>
    </cfRule>
  </conditionalFormatting>
  <dataValidations count="5">
    <dataValidation type="list" allowBlank="1" showInputMessage="1" showErrorMessage="1" sqref="C9:I9" xr:uid="{00000000-0002-0000-1300-000000000000}">
      <formula1>"Investment,Hedging"</formula1>
    </dataValidation>
    <dataValidation type="list" allowBlank="1" showInputMessage="1" showErrorMessage="1" sqref="D10:I10" xr:uid="{00000000-0002-0000-1300-000001000000}">
      <formula1>"Not Assigned,Available for Sale,Trading,Held to Maturity"</formula1>
    </dataValidation>
    <dataValidation type="list" allowBlank="1" showInputMessage="1" showErrorMessage="1" sqref="C17:I17" xr:uid="{00000000-0002-0000-1300-000002000000}">
      <formula1>"None,Asian,Highest Gain"</formula1>
    </dataValidation>
    <dataValidation type="list" allowBlank="1" showInputMessage="1" showErrorMessage="1" sqref="C18:I18" xr:uid="{00000000-0002-0000-1300-000003000000}">
      <formula1>"Annual,Semiannual,Quarterly,Monthly"</formula1>
    </dataValidation>
    <dataValidation type="list" allowBlank="1" showInputMessage="1" showErrorMessage="1" sqref="C11:I11" xr:uid="{00000000-0002-0000-1300-000004000000}">
      <formula1>"Call,Put,Futures"</formula1>
    </dataValidation>
  </dataValidations>
  <hyperlinks>
    <hyperlink ref="A1" location="'Table of Contents'!A1" display="Go to TOC" xr:uid="{00000000-0004-0000-1300-000000000000}"/>
  </hyperlinks>
  <pageMargins left="0.7" right="0.7" top="0.75" bottom="0.75" header="0.3" footer="0.3"/>
  <pageSetup orientation="portrait" r:id="rId1"/>
</worksheet>
</file>

<file path=customUI/customUI.xml><?xml version="1.0" encoding="utf-8"?>
<customUI xmlns="http://schemas.microsoft.com/office/2006/01/customui">
  <ribbon>
    <tabs>
      <tab id="customTab" label="Ext Source Utilities" keytip="U">
        <group id="USLMSUtilities" label="Adjust Ranges">
          <button id="AddColumn" visible="true" size="normal" label="Add Column" keytip="AC" screentip="Expand active range by one column." onAction="AddColumn"/>
          <button id="AddRow" visible="true" size="normal" label="Add Row" keytip="AR" screentip="Expand active range by one row." onAction="AddRow"/>
          <separator id="MySeparator1"/>
          <button id="RemoveColumn" visible="true" size="normal" label="Remove Column" keytip="RC" screentip="Remove last column from active range." onAction="RemoveColumn"/>
          <button id="RemoveRow" visible="true" size="normal" label="Remove Row" keytip="RR" screentip="Remove bottom row from active range." onAction="RemoveRow"/>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BE90905E3E8349B9C90157C464F879" ma:contentTypeVersion="0" ma:contentTypeDescription="Create a new document." ma:contentTypeScope="" ma:versionID="381d9c08b308340ab5487deb1c1245d2">
  <xsd:schema xmlns:xsd="http://www.w3.org/2001/XMLSchema" xmlns:p="http://schemas.microsoft.com/office/2006/metadata/properties" targetNamespace="http://schemas.microsoft.com/office/2006/metadata/properties" ma:root="true" ma:fieldsID="0abb83f1d16cbaf58ae769f481109e7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8E736673-76B0-48F2-A6FC-63C4812E1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9AC1F279-5C07-415F-A027-96E72274FC9C}">
  <ds:schemaRefs>
    <ds:schemaRef ds:uri="http://schemas.microsoft.com/sharepoint/v3/contenttype/forms"/>
  </ds:schemaRefs>
</ds:datastoreItem>
</file>

<file path=customXml/itemProps3.xml><?xml version="1.0" encoding="utf-8"?>
<ds:datastoreItem xmlns:ds="http://schemas.openxmlformats.org/officeDocument/2006/customXml" ds:itemID="{F84D6E80-2345-45FA-BD69-575C46F8AC22}">
  <ds:schemaRefs>
    <ds:schemaRef ds:uri="http://purl.org/dc/dcmitype/"/>
    <ds:schemaRef ds:uri="http://schemas.microsoft.com/office/2006/documentManagement/types"/>
    <ds:schemaRef ds:uri="http://purl.org/dc/elements/1.1/"/>
    <ds:schemaRef ds:uri="http://schemas.microsoft.com/office/2006/metadata/properties"/>
    <ds:schemaRef ds:uri="http://www.w3.org/XML/1998/namespace"/>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60</vt:i4>
      </vt:variant>
    </vt:vector>
  </HeadingPairs>
  <TitlesOfParts>
    <vt:vector size="79" baseType="lpstr">
      <vt:lpstr>Change Log</vt:lpstr>
      <vt:lpstr>Table of Contents</vt:lpstr>
      <vt:lpstr>Asset Run Control</vt:lpstr>
      <vt:lpstr>Cash</vt:lpstr>
      <vt:lpstr>Decrements</vt:lpstr>
      <vt:lpstr>RefinanceForeclosureRestructure</vt:lpstr>
      <vt:lpstr>Sec Cash Flows</vt:lpstr>
      <vt:lpstr>Asset Sub Portfolios</vt:lpstr>
      <vt:lpstr>Balance Sheet</vt:lpstr>
      <vt:lpstr>Purch AIG Bond Defn</vt:lpstr>
      <vt:lpstr>DurationMatchStrategy</vt:lpstr>
      <vt:lpstr>Strategy</vt:lpstr>
      <vt:lpstr>Purch Mtg Defn</vt:lpstr>
      <vt:lpstr>Purch Bond Defn</vt:lpstr>
      <vt:lpstr>Purch Sec Defn</vt:lpstr>
      <vt:lpstr>Purch Ird Defn</vt:lpstr>
      <vt:lpstr>Purch Re Defn</vt:lpstr>
      <vt:lpstr>Purch Eqt Defn</vt:lpstr>
      <vt:lpstr>Purch Eio Defn</vt:lpstr>
      <vt:lpstr>AIGBondCashFlowPctInputVector</vt:lpstr>
      <vt:lpstr>AssetRunControl</vt:lpstr>
      <vt:lpstr>AssetSubPortDefn</vt:lpstr>
      <vt:lpstr>AssetSubPorts</vt:lpstr>
      <vt:lpstr>BalanceSheet</vt:lpstr>
      <vt:lpstr>BalloonPrinPmtPct</vt:lpstr>
      <vt:lpstr>CallPutExercisePct</vt:lpstr>
      <vt:lpstr>CallPutPricePct</vt:lpstr>
      <vt:lpstr>Cash</vt:lpstr>
      <vt:lpstr>CashFlowPctByProduct</vt:lpstr>
      <vt:lpstr>Decrements</vt:lpstr>
      <vt:lpstr>ForeclosureRateMultMthsBefMaturity</vt:lpstr>
      <vt:lpstr>ForeclosureRateMultMthsSinceIssue</vt:lpstr>
      <vt:lpstr>ForeclosureRatePct</vt:lpstr>
      <vt:lpstr>InvStratAssetSubPortInvTgtPct</vt:lpstr>
      <vt:lpstr>InvStratAssetSubPortInvTgtPctInforceMixPtp</vt:lpstr>
      <vt:lpstr>InvStratAssetSubPortInvTgtPctPbaGaap</vt:lpstr>
      <vt:lpstr>InvStratCashPctDistribnDefn</vt:lpstr>
      <vt:lpstr>InvStratCashPctDistribnDefnInforceMixPtp</vt:lpstr>
      <vt:lpstr>InvStratCashPctDistribnDefnPbaGaap</vt:lpstr>
      <vt:lpstr>InvStratEconomic</vt:lpstr>
      <vt:lpstr>InvStratEconomicInforceMixPtp</vt:lpstr>
      <vt:lpstr>InvStratEconomicPbaGaap</vt:lpstr>
      <vt:lpstr>InvStratPlanned</vt:lpstr>
      <vt:lpstr>InvStratPlannedInforceMixPtp</vt:lpstr>
      <vt:lpstr>InvStratPlannedPbaGaap</vt:lpstr>
      <vt:lpstr>InvStratPurchAssetSubPortIdAndWght</vt:lpstr>
      <vt:lpstr>InvStratPurchAssetSubPortIdAndWghtInforceMixPtp</vt:lpstr>
      <vt:lpstr>InvStratPurchAssetSubPortIdAndWghtPbaGaap</vt:lpstr>
      <vt:lpstr>NegCashFlowStratEconomic</vt:lpstr>
      <vt:lpstr>NegCashFlowStratPlanned</vt:lpstr>
      <vt:lpstr>PrepmtExercisePct</vt:lpstr>
      <vt:lpstr>PrepmtNonfinancialAdj</vt:lpstr>
      <vt:lpstr>PrepmtNonfinancialSeasonalityAddn</vt:lpstr>
      <vt:lpstr>PrepmtPenaltyPct</vt:lpstr>
      <vt:lpstr>PrepmtSeasoningSinceIssueMult</vt:lpstr>
      <vt:lpstr>PurchAssetsDefnAIGBond</vt:lpstr>
      <vt:lpstr>PurchAssetsDefnBond</vt:lpstr>
      <vt:lpstr>PurchAssetsDefnBondCallPutPricePct</vt:lpstr>
      <vt:lpstr>PurchAssetsDefnBondSinkFundPrinPmtPct</vt:lpstr>
      <vt:lpstr>PurchAssetsDefnEio</vt:lpstr>
      <vt:lpstr>PurchAssetsDefnEqt</vt:lpstr>
      <vt:lpstr>PurchAssetsDefnIrd</vt:lpstr>
      <vt:lpstr>PurchAssetsDefnMtg</vt:lpstr>
      <vt:lpstr>PurchAssetsDefnMtgBalloonPrinPmtPct</vt:lpstr>
      <vt:lpstr>PurchAssetsDefnMtgPrepmtPenaltyPct</vt:lpstr>
      <vt:lpstr>PurchAssetsDefnRe</vt:lpstr>
      <vt:lpstr>PurchAssetsDefnSec</vt:lpstr>
      <vt:lpstr>PurchAssetsDefnSecCpPrepmtPenaltyPct</vt:lpstr>
      <vt:lpstr>PurchAssetsDefnSecSchedules</vt:lpstr>
      <vt:lpstr>RefinanceForeclosureRestructureInvestments</vt:lpstr>
      <vt:lpstr>RefinanceRateMultBefMaturity</vt:lpstr>
      <vt:lpstr>RefinanceRateMultSinceIssue</vt:lpstr>
      <vt:lpstr>RefinanceRatePct</vt:lpstr>
      <vt:lpstr>RestructureRateMultMthsBefMaturity</vt:lpstr>
      <vt:lpstr>RestructureRateMultMthsSinceIssue</vt:lpstr>
      <vt:lpstr>RestructureRatePct</vt:lpstr>
      <vt:lpstr>SecuritizedAssetCashFlows</vt:lpstr>
      <vt:lpstr>SinkingFundPrinPmtPct</vt:lpstr>
      <vt:lpstr>Strategy</vt:lpstr>
    </vt:vector>
  </TitlesOfParts>
  <Company>Towers Watson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Sabzevari (RFS/RCS/Life Ins, New York City)</dc:creator>
  <cp:lastModifiedBy>(PRV) Thuong Nguyen</cp:lastModifiedBy>
  <cp:lastPrinted>2013-09-20T19:15:27Z</cp:lastPrinted>
  <dcterms:created xsi:type="dcterms:W3CDTF">2013-06-26T20:08:07Z</dcterms:created>
  <dcterms:modified xsi:type="dcterms:W3CDTF">2026-01-08T23:00:43Z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0x01010038BE90905E3E8349B9C90157C464F879</vt:lpwstr>
  </property>
</Properties>
</file>