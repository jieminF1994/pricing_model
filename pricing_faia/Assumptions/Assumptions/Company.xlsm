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2_v6_FAIA_Final\Projects\Fixed Indexed Annuity\ProjectData\2013YearEnd\Assumptions\"/>
    </mc:Choice>
  </mc:AlternateContent>
  <xr:revisionPtr revIDLastSave="0" documentId="13_ncr:1_{B5CA507A-16D7-4410-8FE1-A5A6A1D0A22B}" xr6:coauthVersionLast="47" xr6:coauthVersionMax="47" xr10:uidLastSave="{00000000-0000-0000-0000-000000000000}"/>
  <bookViews>
    <workbookView xWindow="-110" yWindow="-110" windowWidth="19420" windowHeight="10300" tabRatio="535" firstSheet="1" activeTab="2" xr2:uid="{00000000-000D-0000-FFFF-FFFF00000000}"/>
  </bookViews>
  <sheets>
    <sheet name="Change Log" sheetId="12" r:id="rId1"/>
    <sheet name="Table of Contents" sheetId="13" r:id="rId2"/>
    <sheet name="Company" sheetId="14" r:id="rId3"/>
    <sheet name="Segment" sheetId="17" r:id="rId4"/>
    <sheet name="Annuity PBA" sheetId="18" r:id="rId5"/>
    <sheet name="SFAS97RD GAAP" sheetId="23" r:id="rId6"/>
  </sheets>
  <functionGroups builtInGroupCount="19"/>
  <definedNames>
    <definedName name="AnnuityPba">'Annuity PBA'!$B$4:$D$25</definedName>
    <definedName name="AnnuityPbaHedgingEFactorStochCap">'Annuity PBA'!$B$34:$D$37</definedName>
    <definedName name="AnnuityPbaHedgingEFactorStochRes">'Annuity PBA'!$B$28:$D$31</definedName>
    <definedName name="AssetYldDeterministic">Segment!$B$49:$D$53</definedName>
    <definedName name="AvrAmortznSch">Company!$B$97:$D$99</definedName>
    <definedName name="Company">Company!$B$4:$D$68</definedName>
    <definedName name="CompRates">Company!$B$78:$I$94</definedName>
    <definedName name="DiscRates">Company!$B$71:$E$75</definedName>
    <definedName name="ImrAmortznFromPriorAssetSale">Segment!$B$65:$D$69</definedName>
    <definedName name="MaintExpFixed">Segment!$B$56:$D$62</definedName>
    <definedName name="Segment">Segment!$B$4:$D$46</definedName>
    <definedName name="Sfas97RdGaap">'SFAS97RD GAAP'!$B$4:$D$24</definedName>
    <definedName name="Sfas97RdGaapCohorts">'SFAS97RD GAAP'!$B$27:$B$35</definedName>
    <definedName name="TaxableIncAddnUnamortzd">Company!$B$102:$D$105</definedName>
    <definedName name="TaxCapzdPremUnamortzd">Segment!$B$72:$D$76</definedName>
  </definedNames>
  <calcPr calcId="191029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4" l="1"/>
  <c r="B33" i="18"/>
  <c r="B3" i="17"/>
  <c r="B3" i="18"/>
  <c r="B70" i="14"/>
  <c r="B55" i="17"/>
  <c r="B27" i="18"/>
  <c r="B77" i="14"/>
  <c r="B64" i="17"/>
  <c r="B26" i="23"/>
  <c r="B101" i="14"/>
  <c r="B48" i="17"/>
  <c r="B3" i="23"/>
  <c r="B71" i="17"/>
  <c r="B96" i="14"/>
</calcChain>
</file>

<file path=xl/sharedStrings.xml><?xml version="1.0" encoding="utf-8"?>
<sst xmlns="http://schemas.openxmlformats.org/spreadsheetml/2006/main" count="454" uniqueCount="203">
  <si>
    <t>VarID</t>
  </si>
  <si>
    <t>#</t>
  </si>
  <si>
    <t>Date</t>
  </si>
  <si>
    <t>Name</t>
  </si>
  <si>
    <t>Comments</t>
  </si>
  <si>
    <t>Table of Contents</t>
  </si>
  <si>
    <t>Default</t>
  </si>
  <si>
    <t>Go to TOC</t>
  </si>
  <si>
    <t>Asset Yield</t>
  </si>
  <si>
    <t>date</t>
  </si>
  <si>
    <t>asset_yld_comp_rate_id</t>
  </si>
  <si>
    <t>asset_yld_deterministic</t>
  </si>
  <si>
    <t>Risk Based Capital</t>
  </si>
  <si>
    <t>rbc_c1_liab_only_stat_res_pct</t>
  </si>
  <si>
    <t>rbc_c2_mort_pct</t>
  </si>
  <si>
    <t>rbc_c3_ann_low_risk_pct</t>
  </si>
  <si>
    <t>rbc_c3_ann_medium_risk_pct</t>
  </si>
  <si>
    <t>rbc_c3_ann_high_risk_pct</t>
  </si>
  <si>
    <t>rbc_c4_prem_pct</t>
  </si>
  <si>
    <t>Target Capital : Company</t>
  </si>
  <si>
    <t>tgt_cap_rbc_mult</t>
  </si>
  <si>
    <t>Income Tax : Company</t>
  </si>
  <si>
    <t>Immediate Loss Recognition</t>
  </si>
  <si>
    <t>tax_loss_treatment</t>
  </si>
  <si>
    <t>tax_rate</t>
  </si>
  <si>
    <t>Profits</t>
  </si>
  <si>
    <t>Quarterly</t>
  </si>
  <si>
    <t>prof_distribn_mode</t>
  </si>
  <si>
    <t>comp_rate_id</t>
  </si>
  <si>
    <t>Single</t>
  </si>
  <si>
    <t>rbc_c1_port_size_mult</t>
  </si>
  <si>
    <t>rbc_c1_concentration_mult_other</t>
  </si>
  <si>
    <t>rbc_c1_concentration_mult_eqt</t>
  </si>
  <si>
    <t>rbc_c1_cash_pct</t>
  </si>
  <si>
    <t>rbc_c1_reins_res_pct</t>
  </si>
  <si>
    <t>rbc_c2_morbid_prem_pct</t>
  </si>
  <si>
    <t>rbc_c2_morbid_claim_pct</t>
  </si>
  <si>
    <t>rbc_c2_morbid_res_pct</t>
  </si>
  <si>
    <t>rbc_c3_life_pct</t>
  </si>
  <si>
    <t>rbc_c4_sa_pct</t>
  </si>
  <si>
    <t>tax_rate_cap_gain</t>
  </si>
  <si>
    <t>taxable_inc_addn_unamortzd</t>
  </si>
  <si>
    <t>tax_deductible_pct_of_stat_div_liab</t>
  </si>
  <si>
    <t>Deductible</t>
  </si>
  <si>
    <t>tax_capzd_prem_unamortzd</t>
  </si>
  <si>
    <t>distribn_pct_distrib_earnings</t>
  </si>
  <si>
    <t>distribn_pct_free_surp</t>
  </si>
  <si>
    <t>Model Setup: Company</t>
  </si>
  <si>
    <t>segments_selected</t>
  </si>
  <si>
    <t>Seg</t>
  </si>
  <si>
    <t>Model Setup: Segment</t>
  </si>
  <si>
    <t>Initial Amounts: Company</t>
  </si>
  <si>
    <t>init_free_surp</t>
  </si>
  <si>
    <t>Initial Amounts: Segment</t>
  </si>
  <si>
    <t>init_cash</t>
  </si>
  <si>
    <t>existing_asset_pct_to_use</t>
  </si>
  <si>
    <t>existing_asset_pct_to_use_defn</t>
  </si>
  <si>
    <t>Not Applicable</t>
  </si>
  <si>
    <t>Discount Rates</t>
  </si>
  <si>
    <t>Competitor Rates</t>
  </si>
  <si>
    <t>[See below]</t>
  </si>
  <si>
    <t>infl_start_date</t>
  </si>
  <si>
    <t>9999/12</t>
  </si>
  <si>
    <t>Cash Flows</t>
  </si>
  <si>
    <t>Asset Reserves: AVR</t>
  </si>
  <si>
    <t>avr_defn</t>
  </si>
  <si>
    <t>avr_amortzn_sch</t>
  </si>
  <si>
    <t>avr_detail_log_start_period</t>
  </si>
  <si>
    <t>avr_detail_log_final_period</t>
  </si>
  <si>
    <t>init_avr_bond</t>
  </si>
  <si>
    <t>init_avr_mtg</t>
  </si>
  <si>
    <t>init_avr_other</t>
  </si>
  <si>
    <t>init_avr_eqt</t>
  </si>
  <si>
    <t>No</t>
  </si>
  <si>
    <t>Asset Reserves: IMR</t>
  </si>
  <si>
    <t>imr_defn</t>
  </si>
  <si>
    <t>init_imr</t>
  </si>
  <si>
    <t>imr_amortzn_from_prior_asset_sale</t>
  </si>
  <si>
    <t>assump_set_id</t>
  </si>
  <si>
    <t>Yes</t>
  </si>
  <si>
    <t>comp_rate_single_scen_yr</t>
  </si>
  <si>
    <t>comp_rate_single_avg_mths</t>
  </si>
  <si>
    <t>comp_rate_single_mult</t>
  </si>
  <si>
    <t>comp_rate_single_addn</t>
  </si>
  <si>
    <t>comp_rate_weighted_rate1_id</t>
  </si>
  <si>
    <t>comp_rate_weighted_rate1_weight</t>
  </si>
  <si>
    <t>comp_rate_weighted_rate2_id</t>
  </si>
  <si>
    <t>comp_rate_weighted_rate2_weight</t>
  </si>
  <si>
    <t>comp_rate_weighted_rate3_id</t>
  </si>
  <si>
    <t>comp_rate_weighted_rate3_weight</t>
  </si>
  <si>
    <t>comp_rate_compared_defn</t>
  </si>
  <si>
    <t>comp_rate_compared_rate1_id</t>
  </si>
  <si>
    <t>comp_rate_compared_rate2_id</t>
  </si>
  <si>
    <t>comp_rate_compared_rate3_id</t>
  </si>
  <si>
    <t>Maximum Rate</t>
  </si>
  <si>
    <t>comp_rate_type</t>
  </si>
  <si>
    <t>Gross</t>
  </si>
  <si>
    <t>Hedged</t>
  </si>
  <si>
    <t>NONE</t>
  </si>
  <si>
    <t>cal_yr</t>
  </si>
  <si>
    <t>disc_rate_id</t>
  </si>
  <si>
    <t>seg_id</t>
  </si>
  <si>
    <t>disc_rate_scen_yr</t>
  </si>
  <si>
    <t>disc_rate_mult</t>
  </si>
  <si>
    <t>disc_rate_addn</t>
  </si>
  <si>
    <t>Back to Main</t>
  </si>
  <si>
    <t>maint_exp_fixed</t>
  </si>
  <si>
    <t>Target Capital : Segment</t>
  </si>
  <si>
    <t>Income Tax : Segment</t>
  </si>
  <si>
    <t>tgt_cap_pct_inv_in_seg</t>
  </si>
  <si>
    <t>Company input page – Company</t>
  </si>
  <si>
    <t>gaap_cohorts_selected_sfas60</t>
  </si>
  <si>
    <t>gaap_cohorts_selected_sfas91</t>
  </si>
  <si>
    <t>gaap_cohorts_selected_sfas97lp</t>
  </si>
  <si>
    <t>gaap_cohorts_selected_sfas97rd</t>
  </si>
  <si>
    <t>gaap_cohorts_selected_sfas120</t>
  </si>
  <si>
    <t>hedge_grps_selected</t>
  </si>
  <si>
    <t>Company input page – Segment</t>
  </si>
  <si>
    <t>Company</t>
  </si>
  <si>
    <t>tax_addl_res_ag38_8d_defn</t>
  </si>
  <si>
    <t>Segment</t>
  </si>
  <si>
    <t>ann_pba_res_cap_calc_defn</t>
  </si>
  <si>
    <t>ann_pba_reins_defn</t>
  </si>
  <si>
    <t>ann_pba_reins_gross_up_defn</t>
  </si>
  <si>
    <t>ann_pba_hedging_defn</t>
  </si>
  <si>
    <t>PBA: Annuity: General</t>
  </si>
  <si>
    <t>Use Working Reserve</t>
  </si>
  <si>
    <t>cohort_id</t>
  </si>
  <si>
    <t>ALL</t>
  </si>
  <si>
    <t>SFAS 97 Retrospective Deposit: General</t>
  </si>
  <si>
    <t>sfas97rd_amortzn_mths</t>
  </si>
  <si>
    <t>sfas97rd_results</t>
  </si>
  <si>
    <t>SFAS 97 Retrospective Deposit: Cohorts</t>
  </si>
  <si>
    <t>sfas97rd_cohort_issue_yrs</t>
  </si>
  <si>
    <t>sfas97rd_cohort_plan_codes</t>
  </si>
  <si>
    <t>sfas97rd_fia_gaap_int_rate</t>
  </si>
  <si>
    <t>SOP031</t>
  </si>
  <si>
    <t>SFAS133</t>
  </si>
  <si>
    <t>Annuity PBA</t>
  </si>
  <si>
    <t>Annuity PBA : General</t>
  </si>
  <si>
    <t>SFAS 97 Retrospective Deposit GAAP</t>
  </si>
  <si>
    <t>Company input page – Annuity PBA</t>
  </si>
  <si>
    <t>Company input page – SFAS 97 Retrospective Deposit GAAP</t>
  </si>
  <si>
    <t>imr_amortzn_pct_bond</t>
  </si>
  <si>
    <t>imr_amortzn_pct_mtg</t>
  </si>
  <si>
    <t>imr_amortzn_pct_other</t>
  </si>
  <si>
    <t>SFAS 97 Restrospective Deposit: Cohort History</t>
  </si>
  <si>
    <t>[Global]</t>
  </si>
  <si>
    <t>ann_pba_tax_defn_stoch_cap</t>
  </si>
  <si>
    <t>ann_pba_valn_results_stoch_res</t>
  </si>
  <si>
    <t>ann_pba_valn_results_stoch_cap</t>
  </si>
  <si>
    <t>gaap_pad_asset_yld_mult</t>
  </si>
  <si>
    <t>gaap_pad_asset_yld_addn</t>
  </si>
  <si>
    <t>Back To Main</t>
  </si>
  <si>
    <t>ann_pba_hedging_output_file_existing_hedges_stoch_res</t>
  </si>
  <si>
    <t>ann_pba_hedging_output_file_best_estimate_stoch_res</t>
  </si>
  <si>
    <t>ann_pba_hedging_e_factor_stoch_res</t>
  </si>
  <si>
    <t>ann_pba_hedging_stat_scale_factor_max_stoch_res</t>
  </si>
  <si>
    <t>ann_pba_hedging_output_file_existing_hedges_stoch_cap</t>
  </si>
  <si>
    <t>ann_pba_hedging_output_file_best_estimate_stoch_cap</t>
  </si>
  <si>
    <t>ann_pba_hedging_e_factor_stoch_cap</t>
  </si>
  <si>
    <t>ann_pba_hedging_stat_scale_factor_max_stoch_cap</t>
  </si>
  <si>
    <t>ann_pba_cte_pct_stoch_cap</t>
  </si>
  <si>
    <t>sfas97rd_loss_recognition_defn</t>
  </si>
  <si>
    <t>sfas97rd_sfas133_credit_risk</t>
  </si>
  <si>
    <t>sfas97rd_sop031_results</t>
  </si>
  <si>
    <t>sfas97rd_sfas133_results</t>
  </si>
  <si>
    <t>sfas97rd_gmib_gross_defn</t>
  </si>
  <si>
    <t>sfas97rd_gmib_ceded_defn</t>
  </si>
  <si>
    <t>sfas97rd_gmwb_gross_defn</t>
  </si>
  <si>
    <t>sfas97rd_gmwb_ceded_defn</t>
  </si>
  <si>
    <t>rbc_c3_ann_risk_defn</t>
  </si>
  <si>
    <t>Low</t>
  </si>
  <si>
    <t>Baseline</t>
  </si>
  <si>
    <t>ann_pba_init_assets</t>
  </si>
  <si>
    <t>ann_pba_init_asset_pct</t>
  </si>
  <si>
    <t>Comp3</t>
  </si>
  <si>
    <t>Comp1</t>
  </si>
  <si>
    <t>Comp2</t>
  </si>
  <si>
    <t>Comp4</t>
  </si>
  <si>
    <t>Comp5</t>
  </si>
  <si>
    <t>Comp6</t>
  </si>
  <si>
    <t>Comp7</t>
  </si>
  <si>
    <t>Compared</t>
  </si>
  <si>
    <t>Weighted</t>
  </si>
  <si>
    <t>Minimum Rate</t>
  </si>
  <si>
    <t>Reduce Initial Assets To Equal Liabilities</t>
  </si>
  <si>
    <t>avr_neg_defn</t>
  </si>
  <si>
    <t>sfas97rd_sop031_ul_vul_iul_defn</t>
  </si>
  <si>
    <t>loc_cohorts_selected</t>
  </si>
  <si>
    <t>sfas97rd_cohort_gaap_int_rate_gross</t>
  </si>
  <si>
    <t>sfas97rd_cohort_gaap_int_rate_ceded</t>
  </si>
  <si>
    <t>[See SFAS97RD Cohort History.csv]</t>
  </si>
  <si>
    <t>sfas97rd_cohort_loss_recognition_int_rate_gross</t>
  </si>
  <si>
    <t>sfas97rd_cohort_loss_recognition_int_rate_ceded</t>
  </si>
  <si>
    <t>Separate Account</t>
  </si>
  <si>
    <t>SA Fund Value</t>
  </si>
  <si>
    <t>sa_res_defn</t>
  </si>
  <si>
    <t>Monthly</t>
  </si>
  <si>
    <t>rate2</t>
  </si>
  <si>
    <t>rate3</t>
  </si>
  <si>
    <t>rate1</t>
  </si>
  <si>
    <t>Reinsurance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</si>
</sst>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00"/>
    <numFmt numFmtId="165" formatCode="0.000000"/>
    <numFmt numFmtId="166" formatCode="#,##0.000000"/>
  </numFmts>
  <fonts count="1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rgb="FFA6A6A6"/>
      </top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/>
      <diagonal/>
    </border>
    <border>
      <left style="thin">
        <color indexed="64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/>
      <bottom style="thin">
        <color rgb="FFA6A6A6"/>
      </bottom>
      <diagonal/>
    </border>
  </borders>
  <cellStyleXfs count="20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5" fillId="0" borderId="0" applyFont="0" applyFill="0" applyBorder="0" applyAlignment="0" applyProtection="0"/>
  </cellStyleXfs>
  <cellXfs count="11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right" vertical="top"/>
    </xf>
    <xf numFmtId="0" fontId="10" fillId="0" borderId="0" xfId="0" applyFont="1" applyBorder="1" applyAlignment="1">
      <alignment horizontal="right" vertical="top"/>
    </xf>
    <xf numFmtId="4" fontId="0" fillId="0" borderId="0" xfId="0" applyNumberFormat="1" applyBorder="1" applyAlignment="1">
      <alignment horizontal="right" vertical="top"/>
    </xf>
    <xf numFmtId="0" fontId="10" fillId="0" borderId="0" xfId="0" applyFont="1" applyBorder="1" applyAlignment="1">
      <alignment horizontal="left" vertical="top"/>
    </xf>
    <xf numFmtId="0" fontId="7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0" fillId="0" borderId="0" xfId="0" quotePrefix="1" applyBorder="1" applyAlignment="1">
      <alignment horizontal="right" vertical="top"/>
    </xf>
    <xf numFmtId="0" fontId="1" fillId="6" borderId="0" xfId="0" applyFont="1" applyFill="1" applyBorder="1" applyAlignment="1">
      <alignment horizontal="left" vertical="top"/>
    </xf>
    <xf numFmtId="164" fontId="0" fillId="0" borderId="0" xfId="0" applyNumberFormat="1" applyBorder="1" applyAlignment="1">
      <alignment horizontal="right" vertical="top"/>
    </xf>
    <xf numFmtId="0" fontId="12" fillId="6" borderId="0" xfId="0" applyFont="1" applyFill="1" applyBorder="1" applyAlignment="1">
      <alignment horizontal="right" vertical="top"/>
    </xf>
    <xf numFmtId="0" fontId="0" fillId="0" borderId="0" xfId="0" applyFill="1" applyBorder="1" applyAlignment="1">
      <alignment horizontal="right" vertical="top"/>
    </xf>
    <xf numFmtId="0" fontId="0" fillId="0" borderId="0" xfId="0" quotePrefix="1" applyBorder="1" applyAlignment="1">
      <alignment horizontal="lef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3" fontId="0" fillId="0" borderId="0" xfId="0" applyNumberFormat="1" applyBorder="1" applyAlignment="1">
      <alignment horizontal="right" vertical="top"/>
    </xf>
    <xf numFmtId="0" fontId="7" fillId="0" borderId="0" xfId="16" applyAlignment="1">
      <alignment vertical="top"/>
    </xf>
    <xf numFmtId="0" fontId="7" fillId="0" borderId="0" xfId="16"/>
    <xf numFmtId="0" fontId="7" fillId="0" borderId="0" xfId="16" applyAlignment="1">
      <alignment horizontal="left" vertical="top"/>
    </xf>
    <xf numFmtId="0" fontId="7" fillId="0" borderId="0" xfId="16" applyBorder="1" applyAlignment="1">
      <alignment horizontal="left" vertical="top"/>
    </xf>
    <xf numFmtId="0" fontId="7" fillId="0" borderId="0" xfId="16"/>
    <xf numFmtId="0" fontId="11" fillId="0" borderId="0" xfId="0" quotePrefix="1" applyFont="1" applyBorder="1" applyAlignment="1">
      <alignment horizontal="left" vertical="top"/>
    </xf>
    <xf numFmtId="165" fontId="0" fillId="0" borderId="0" xfId="0" applyNumberFormat="1" applyBorder="1" applyAlignment="1">
      <alignment horizontal="left" vertical="top"/>
    </xf>
    <xf numFmtId="10" fontId="0" fillId="0" borderId="0" xfId="19" applyNumberFormat="1" applyFont="1" applyBorder="1" applyAlignment="1">
      <alignment horizontal="left" vertical="top"/>
    </xf>
    <xf numFmtId="10" fontId="0" fillId="0" borderId="0" xfId="19" applyNumberFormat="1" applyFont="1" applyBorder="1" applyAlignment="1">
      <alignment horizontal="right" vertical="top"/>
    </xf>
    <xf numFmtId="0" fontId="7" fillId="0" borderId="0" xfId="16"/>
    <xf numFmtId="0" fontId="8" fillId="0" borderId="0" xfId="0" applyFont="1" applyAlignment="1">
      <alignment horizontal="left" vertical="top"/>
    </xf>
    <xf numFmtId="2" fontId="0" fillId="0" borderId="0" xfId="0" applyNumberFormat="1" applyBorder="1" applyAlignment="1">
      <alignment horizontal="left" vertical="top"/>
    </xf>
    <xf numFmtId="4" fontId="0" fillId="0" borderId="0" xfId="0" applyNumberFormat="1" applyBorder="1" applyAlignment="1">
      <alignment horizontal="left" vertical="top"/>
    </xf>
    <xf numFmtId="0" fontId="12" fillId="6" borderId="6" xfId="0" applyFont="1" applyFill="1" applyBorder="1" applyAlignment="1">
      <alignment horizontal="left" vertical="top"/>
    </xf>
    <xf numFmtId="0" fontId="0" fillId="6" borderId="5" xfId="0" applyFont="1" applyFill="1" applyBorder="1" applyAlignment="1">
      <alignment horizontal="right" vertical="top"/>
    </xf>
    <xf numFmtId="14" fontId="8" fillId="6" borderId="6" xfId="0" applyNumberFormat="1" applyFont="1" applyFill="1" applyBorder="1" applyAlignment="1">
      <alignment horizontal="left" vertical="top"/>
    </xf>
    <xf numFmtId="0" fontId="8" fillId="6" borderId="2" xfId="0" applyFont="1" applyFill="1" applyBorder="1" applyAlignment="1">
      <alignment horizontal="right" vertical="top"/>
    </xf>
    <xf numFmtId="9" fontId="0" fillId="0" borderId="0" xfId="0" applyNumberFormat="1" applyBorder="1" applyAlignment="1">
      <alignment horizontal="left" vertical="top"/>
    </xf>
    <xf numFmtId="0" fontId="7" fillId="0" borderId="0" xfId="16"/>
    <xf numFmtId="0" fontId="7" fillId="0" borderId="0" xfId="16"/>
    <xf numFmtId="0" fontId="12" fillId="6" borderId="3" xfId="0" applyFont="1" applyFill="1" applyBorder="1" applyAlignment="1">
      <alignment horizontal="right" vertical="top"/>
    </xf>
    <xf numFmtId="0" fontId="0" fillId="0" borderId="7" xfId="0" applyBorder="1" applyAlignment="1">
      <alignment horizontal="right" vertical="top"/>
    </xf>
    <xf numFmtId="0" fontId="12" fillId="0" borderId="6" xfId="0" applyFont="1" applyFill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8" fillId="6" borderId="6" xfId="0" applyFont="1" applyFill="1" applyBorder="1" applyAlignment="1">
      <alignment horizontal="left" vertical="top"/>
    </xf>
    <xf numFmtId="0" fontId="7" fillId="7" borderId="6" xfId="16" applyFill="1" applyBorder="1" applyAlignment="1">
      <alignment horizontal="left" vertical="top"/>
    </xf>
    <xf numFmtId="0" fontId="8" fillId="6" borderId="8" xfId="0" applyFont="1" applyFill="1" applyBorder="1" applyAlignment="1">
      <alignment horizontal="left" vertical="top"/>
    </xf>
    <xf numFmtId="165" fontId="0" fillId="0" borderId="7" xfId="0" applyNumberFormat="1" applyBorder="1" applyAlignment="1">
      <alignment horizontal="right" vertical="top"/>
    </xf>
    <xf numFmtId="0" fontId="12" fillId="6" borderId="7" xfId="0" applyFont="1" applyFill="1" applyBorder="1" applyAlignment="1">
      <alignment horizontal="right" vertical="top"/>
    </xf>
    <xf numFmtId="14" fontId="8" fillId="6" borderId="8" xfId="0" applyNumberFormat="1" applyFont="1" applyFill="1" applyBorder="1" applyAlignment="1">
      <alignment horizontal="left" vertical="top"/>
    </xf>
    <xf numFmtId="165" fontId="0" fillId="0" borderId="10" xfId="0" applyNumberFormat="1" applyBorder="1" applyAlignment="1">
      <alignment horizontal="righ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right" vertical="top"/>
    </xf>
    <xf numFmtId="0" fontId="7" fillId="7" borderId="8" xfId="16" applyFill="1" applyBorder="1" applyAlignment="1">
      <alignment horizontal="left" vertical="top"/>
    </xf>
    <xf numFmtId="3" fontId="0" fillId="0" borderId="7" xfId="0" applyNumberFormat="1" applyBorder="1" applyAlignment="1">
      <alignment horizontal="right" vertical="top"/>
    </xf>
    <xf numFmtId="10" fontId="0" fillId="0" borderId="9" xfId="19" applyNumberFormat="1" applyFont="1" applyBorder="1" applyAlignment="1">
      <alignment horizontal="right" vertical="top"/>
    </xf>
    <xf numFmtId="10" fontId="0" fillId="0" borderId="10" xfId="19" applyNumberFormat="1" applyFont="1" applyBorder="1" applyAlignment="1">
      <alignment horizontal="right" vertical="top"/>
    </xf>
    <xf numFmtId="0" fontId="12" fillId="0" borderId="11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left" vertical="top"/>
    </xf>
    <xf numFmtId="0" fontId="8" fillId="0" borderId="6" xfId="0" applyFont="1" applyFill="1" applyBorder="1" applyAlignment="1">
      <alignment horizontal="left" vertical="top"/>
    </xf>
    <xf numFmtId="0" fontId="7" fillId="6" borderId="6" xfId="16" applyFill="1" applyBorder="1" applyAlignment="1">
      <alignment horizontal="left" vertical="top"/>
    </xf>
    <xf numFmtId="4" fontId="0" fillId="0" borderId="7" xfId="0" applyNumberFormat="1" applyBorder="1" applyAlignment="1">
      <alignment horizontal="right" vertical="top"/>
    </xf>
    <xf numFmtId="0" fontId="8" fillId="6" borderId="4" xfId="0" quotePrefix="1" applyFont="1" applyFill="1" applyBorder="1" applyAlignment="1">
      <alignment horizontal="right" vertical="top" wrapText="1"/>
    </xf>
    <xf numFmtId="0" fontId="0" fillId="0" borderId="9" xfId="0" quotePrefix="1" applyBorder="1" applyAlignment="1">
      <alignment horizontal="right" vertical="top"/>
    </xf>
    <xf numFmtId="4" fontId="0" fillId="0" borderId="10" xfId="0" applyNumberFormat="1" applyBorder="1" applyAlignment="1">
      <alignment horizontal="right" vertical="top"/>
    </xf>
    <xf numFmtId="1" fontId="8" fillId="6" borderId="8" xfId="0" applyNumberFormat="1" applyFont="1" applyFill="1" applyBorder="1" applyAlignment="1">
      <alignment horizontal="left" vertical="top"/>
    </xf>
    <xf numFmtId="0" fontId="8" fillId="6" borderId="4" xfId="0" quotePrefix="1" applyFont="1" applyFill="1" applyBorder="1" applyAlignment="1">
      <alignment horizontal="right" vertical="top"/>
    </xf>
    <xf numFmtId="164" fontId="0" fillId="0" borderId="7" xfId="0" applyNumberFormat="1" applyBorder="1" applyAlignment="1">
      <alignment horizontal="right" vertical="top"/>
    </xf>
    <xf numFmtId="0" fontId="12" fillId="6" borderId="6" xfId="0" applyFont="1" applyFill="1" applyBorder="1" applyAlignment="1">
      <alignment horizontal="right" vertical="top"/>
    </xf>
    <xf numFmtId="0" fontId="0" fillId="6" borderId="7" xfId="0" applyFont="1" applyFill="1" applyBorder="1" applyAlignment="1">
      <alignment horizontal="right" vertical="top"/>
    </xf>
    <xf numFmtId="0" fontId="0" fillId="6" borderId="12" xfId="0" applyFont="1" applyFill="1" applyBorder="1" applyAlignment="1">
      <alignment horizontal="right" vertical="top"/>
    </xf>
    <xf numFmtId="0" fontId="0" fillId="6" borderId="13" xfId="0" applyFont="1" applyFill="1" applyBorder="1" applyAlignment="1">
      <alignment horizontal="right" vertical="top"/>
    </xf>
    <xf numFmtId="0" fontId="12" fillId="6" borderId="14" xfId="0" applyFont="1" applyFill="1" applyBorder="1" applyAlignment="1">
      <alignment horizontal="right" vertical="top"/>
    </xf>
    <xf numFmtId="10" fontId="0" fillId="0" borderId="14" xfId="19" applyNumberFormat="1" applyFont="1" applyBorder="1" applyAlignment="1">
      <alignment horizontal="right" vertical="top"/>
    </xf>
    <xf numFmtId="10" fontId="0" fillId="0" borderId="15" xfId="19" applyNumberFormat="1" applyFont="1" applyBorder="1" applyAlignment="1">
      <alignment horizontal="right" vertical="top"/>
    </xf>
    <xf numFmtId="0" fontId="8" fillId="6" borderId="6" xfId="0" applyNumberFormat="1" applyFont="1" applyFill="1" applyBorder="1" applyAlignment="1">
      <alignment horizontal="left" vertical="top"/>
    </xf>
    <xf numFmtId="0" fontId="8" fillId="6" borderId="8" xfId="0" applyNumberFormat="1" applyFont="1" applyFill="1" applyBorder="1" applyAlignment="1">
      <alignment horizontal="left" vertical="top"/>
    </xf>
    <xf numFmtId="4" fontId="0" fillId="0" borderId="14" xfId="0" applyNumberFormat="1" applyBorder="1" applyAlignment="1">
      <alignment horizontal="right" vertical="top"/>
    </xf>
    <xf numFmtId="4" fontId="0" fillId="0" borderId="15" xfId="0" applyNumberFormat="1" applyBorder="1" applyAlignment="1">
      <alignment horizontal="right" vertical="top"/>
    </xf>
    <xf numFmtId="2" fontId="0" fillId="0" borderId="7" xfId="0" applyNumberFormat="1" applyBorder="1" applyAlignment="1">
      <alignment horizontal="right" vertical="top"/>
    </xf>
    <xf numFmtId="2" fontId="0" fillId="0" borderId="10" xfId="0" applyNumberFormat="1" applyBorder="1" applyAlignment="1">
      <alignment horizontal="right" vertical="top"/>
    </xf>
    <xf numFmtId="0" fontId="0" fillId="0" borderId="7" xfId="0" applyFill="1" applyBorder="1" applyAlignment="1">
      <alignment horizontal="right" vertical="top"/>
    </xf>
    <xf numFmtId="10" fontId="0" fillId="0" borderId="7" xfId="19" applyNumberFormat="1" applyFont="1" applyBorder="1" applyAlignment="1">
      <alignment horizontal="right" vertical="top"/>
    </xf>
    <xf numFmtId="9" fontId="0" fillId="0" borderId="7" xfId="19" applyNumberFormat="1" applyFont="1" applyBorder="1" applyAlignment="1">
      <alignment horizontal="right" vertical="top"/>
    </xf>
    <xf numFmtId="0" fontId="0" fillId="0" borderId="10" xfId="0" applyFill="1" applyBorder="1" applyAlignment="1">
      <alignment horizontal="right" vertical="top"/>
    </xf>
    <xf numFmtId="0" fontId="14" fillId="0" borderId="7" xfId="0" applyFont="1" applyBorder="1" applyAlignment="1">
      <alignment horizontal="right" vertical="top"/>
    </xf>
    <xf numFmtId="17" fontId="0" fillId="0" borderId="7" xfId="0" quotePrefix="1" applyNumberFormat="1" applyBorder="1" applyAlignment="1">
      <alignment horizontal="right" vertical="top"/>
    </xf>
    <xf numFmtId="0" fontId="14" fillId="0" borderId="10" xfId="0" applyFont="1" applyBorder="1" applyAlignment="1">
      <alignment horizontal="right" vertical="top"/>
    </xf>
    <xf numFmtId="0" fontId="8" fillId="6" borderId="5" xfId="0" applyFont="1" applyFill="1" applyBorder="1" applyAlignment="1">
      <alignment horizontal="right" vertical="top"/>
    </xf>
    <xf numFmtId="1" fontId="0" fillId="0" borderId="7" xfId="0" applyNumberFormat="1" applyBorder="1" applyAlignment="1">
      <alignment horizontal="right" vertical="top"/>
    </xf>
    <xf numFmtId="166" fontId="0" fillId="0" borderId="7" xfId="0" applyNumberFormat="1" applyBorder="1" applyAlignment="1">
      <alignment horizontal="right" vertical="top"/>
    </xf>
    <xf numFmtId="0" fontId="0" fillId="0" borderId="10" xfId="0" applyBorder="1" applyAlignment="1">
      <alignment horizontal="right" vertical="top"/>
    </xf>
    <xf numFmtId="0" fontId="12" fillId="6" borderId="7" xfId="0" applyFont="1" applyFill="1" applyBorder="1" applyAlignment="1">
      <alignment horizontal="left" vertical="top"/>
    </xf>
    <xf numFmtId="0" fontId="12" fillId="0" borderId="7" xfId="0" applyFont="1" applyFill="1" applyBorder="1" applyAlignment="1">
      <alignment horizontal="left" vertical="top"/>
    </xf>
    <xf numFmtId="0" fontId="1" fillId="0" borderId="7" xfId="0" applyFont="1" applyBorder="1" applyAlignment="1">
      <alignment horizontal="left" vertical="top"/>
    </xf>
    <xf numFmtId="0" fontId="8" fillId="6" borderId="5" xfId="0" quotePrefix="1" applyFont="1" applyFill="1" applyBorder="1" applyAlignment="1">
      <alignment horizontal="right" vertical="top" wrapText="1"/>
    </xf>
    <xf numFmtId="0" fontId="0" fillId="0" borderId="7" xfId="0" quotePrefix="1" applyBorder="1" applyAlignment="1">
      <alignment horizontal="right" vertical="top"/>
    </xf>
    <xf numFmtId="0" fontId="0" fillId="0" borderId="10" xfId="0" quotePrefix="1" applyBorder="1" applyAlignment="1">
      <alignment horizontal="right" vertical="top"/>
    </xf>
    <xf numFmtId="0" fontId="7" fillId="0" borderId="0" xfId="16"/>
    <xf numFmtId="0" fontId="16" fillId="7" borderId="6" xfId="16" applyFont="1" applyFill="1" applyBorder="1" applyAlignment="1">
      <alignment horizontal="left" vertical="top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center"/>
    </xf>
    <xf numFmtId="0" fontId="7" fillId="0" borderId="0" xfId="16"/>
  </cellXfs>
  <cellStyles count="20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Hyperlink" xfId="16" builtinId="8"/>
    <cellStyle name="Normal" xfId="0" builtinId="0"/>
    <cellStyle name="Percent" xfId="19" builtinId="5"/>
  </cellStyles>
  <dxfs count="246"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A6A6A6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workbookViewId="0"/>
  </sheetViews>
  <sheetFormatPr defaultColWidth="9.1796875" defaultRowHeight="12.5" x14ac:dyDescent="0.25"/>
  <cols>
    <col min="1" max="1" width="3.7265625" style="9" customWidth="1"/>
    <col min="2" max="2" width="16" style="10" customWidth="1"/>
    <col min="3" max="3" width="27" style="10" customWidth="1"/>
    <col min="4" max="4" width="100" style="11" customWidth="1"/>
    <col min="5" max="16384" width="9.1796875" style="8"/>
  </cols>
  <sheetData>
    <row r="1" spans="1:4" ht="13" x14ac:dyDescent="0.25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5">
      <c r="A2" s="6"/>
      <c r="B2" s="4"/>
      <c r="C2" s="4"/>
      <c r="D2" s="5"/>
    </row>
    <row r="3" spans="1:4" x14ac:dyDescent="0.25">
      <c r="A3" s="6"/>
      <c r="B3" s="28"/>
      <c r="C3" s="4"/>
      <c r="D3" s="5"/>
    </row>
    <row r="4" spans="1:4" x14ac:dyDescent="0.25">
      <c r="A4" s="6"/>
      <c r="B4" s="28"/>
      <c r="C4" s="4"/>
      <c r="D4" s="5"/>
    </row>
    <row r="5" spans="1:4" x14ac:dyDescent="0.25">
      <c r="A5" s="6"/>
      <c r="B5" s="28"/>
      <c r="C5" s="7"/>
      <c r="D5" s="5"/>
    </row>
    <row r="6" spans="1:4" x14ac:dyDescent="0.25">
      <c r="A6" s="6"/>
      <c r="B6" s="28"/>
      <c r="C6" s="7"/>
      <c r="D6" s="5"/>
    </row>
    <row r="7" spans="1:4" x14ac:dyDescent="0.25">
      <c r="A7" s="6"/>
      <c r="B7" s="7"/>
      <c r="C7" s="7"/>
      <c r="D7" s="5"/>
    </row>
    <row r="8" spans="1:4" x14ac:dyDescent="0.25">
      <c r="A8" s="6"/>
      <c r="B8" s="7"/>
      <c r="C8" s="7"/>
      <c r="D8" s="5"/>
    </row>
    <row r="9" spans="1:4" x14ac:dyDescent="0.25">
      <c r="A9" s="6"/>
      <c r="B9" s="7"/>
      <c r="C9" s="7"/>
      <c r="D9" s="5"/>
    </row>
    <row r="10" spans="1:4" x14ac:dyDescent="0.25">
      <c r="A10" s="6"/>
      <c r="B10" s="7"/>
      <c r="C10" s="7"/>
      <c r="D10" s="5"/>
    </row>
    <row r="11" spans="1:4" x14ac:dyDescent="0.25">
      <c r="A11" s="6"/>
      <c r="B11" s="7"/>
      <c r="C11" s="7"/>
      <c r="D11" s="5"/>
    </row>
    <row r="12" spans="1:4" x14ac:dyDescent="0.25">
      <c r="A12" s="6"/>
      <c r="B12" s="7"/>
      <c r="C12" s="7"/>
      <c r="D12" s="5"/>
    </row>
    <row r="13" spans="1:4" x14ac:dyDescent="0.25">
      <c r="A13" s="6"/>
      <c r="B13" s="7"/>
      <c r="C13" s="7"/>
      <c r="D13" s="5"/>
    </row>
    <row r="14" spans="1:4" x14ac:dyDescent="0.25">
      <c r="A14" s="6"/>
      <c r="B14" s="7"/>
      <c r="C14" s="7"/>
      <c r="D14" s="5"/>
    </row>
    <row r="15" spans="1:4" x14ac:dyDescent="0.25">
      <c r="A15" s="6"/>
      <c r="B15" s="7"/>
      <c r="C15" s="7"/>
      <c r="D15" s="5"/>
    </row>
    <row r="16" spans="1:4" x14ac:dyDescent="0.25">
      <c r="A16" s="6"/>
      <c r="B16" s="7"/>
      <c r="C16" s="7"/>
      <c r="D16" s="5"/>
    </row>
    <row r="17" spans="1:4" x14ac:dyDescent="0.25">
      <c r="A17" s="6"/>
      <c r="B17" s="7"/>
      <c r="C17" s="7"/>
      <c r="D17" s="5"/>
    </row>
    <row r="18" spans="1:4" x14ac:dyDescent="0.25">
      <c r="A18" s="6"/>
      <c r="B18" s="7"/>
      <c r="C18" s="7"/>
      <c r="D18" s="5"/>
    </row>
    <row r="19" spans="1:4" x14ac:dyDescent="0.25">
      <c r="A19" s="6"/>
      <c r="B19" s="7"/>
      <c r="C19" s="7"/>
      <c r="D19" s="5"/>
    </row>
    <row r="20" spans="1:4" x14ac:dyDescent="0.25">
      <c r="A20" s="6"/>
      <c r="B20" s="7"/>
      <c r="C20" s="7"/>
      <c r="D20" s="5"/>
    </row>
    <row r="21" spans="1:4" x14ac:dyDescent="0.25">
      <c r="A21" s="6"/>
      <c r="B21" s="7"/>
      <c r="C21" s="7"/>
      <c r="D21" s="5"/>
    </row>
    <row r="22" spans="1:4" x14ac:dyDescent="0.25">
      <c r="A22" s="6"/>
      <c r="B22" s="7"/>
      <c r="C22" s="7"/>
      <c r="D22" s="5"/>
    </row>
    <row r="23" spans="1:4" x14ac:dyDescent="0.25">
      <c r="A23" s="6"/>
      <c r="B23" s="7"/>
      <c r="C23" s="7"/>
      <c r="D23" s="5"/>
    </row>
    <row r="24" spans="1:4" x14ac:dyDescent="0.25">
      <c r="A24" s="6"/>
      <c r="B24" s="7"/>
      <c r="C24" s="7"/>
      <c r="D24" s="5"/>
    </row>
    <row r="25" spans="1:4" x14ac:dyDescent="0.25">
      <c r="A25" s="6"/>
      <c r="B25" s="7"/>
      <c r="C25" s="7"/>
      <c r="D25" s="5"/>
    </row>
    <row r="26" spans="1:4" x14ac:dyDescent="0.25">
      <c r="A26" s="6"/>
      <c r="B26" s="7"/>
      <c r="C26" s="7"/>
      <c r="D26" s="5"/>
    </row>
    <row r="27" spans="1:4" x14ac:dyDescent="0.25">
      <c r="A27" s="6"/>
      <c r="B27" s="7"/>
      <c r="C27" s="7"/>
      <c r="D27" s="5"/>
    </row>
    <row r="28" spans="1:4" x14ac:dyDescent="0.25">
      <c r="A28" s="6"/>
      <c r="B28" s="7"/>
      <c r="C28" s="7"/>
      <c r="D28" s="5"/>
    </row>
    <row r="29" spans="1:4" x14ac:dyDescent="0.25">
      <c r="A29" s="6"/>
      <c r="B29" s="7"/>
      <c r="C29" s="7"/>
      <c r="D29" s="5"/>
    </row>
    <row r="30" spans="1:4" x14ac:dyDescent="0.25">
      <c r="A30" s="6"/>
      <c r="B30" s="7"/>
      <c r="C30" s="7"/>
      <c r="D30" s="5"/>
    </row>
    <row r="31" spans="1:4" x14ac:dyDescent="0.25">
      <c r="A31" s="6"/>
      <c r="B31" s="7"/>
      <c r="C31" s="7"/>
      <c r="D31" s="5"/>
    </row>
    <row r="32" spans="1:4" x14ac:dyDescent="0.25">
      <c r="A32" s="6"/>
      <c r="B32" s="7"/>
      <c r="C32" s="7"/>
      <c r="D32" s="5"/>
    </row>
    <row r="33" spans="1:4" x14ac:dyDescent="0.25">
      <c r="A33" s="6"/>
      <c r="B33" s="7"/>
      <c r="C33" s="7"/>
      <c r="D33" s="5"/>
    </row>
    <row r="34" spans="1:4" x14ac:dyDescent="0.25">
      <c r="A34" s="6"/>
      <c r="B34" s="7"/>
      <c r="C34" s="7"/>
      <c r="D34" s="5"/>
    </row>
    <row r="35" spans="1:4" x14ac:dyDescent="0.25">
      <c r="A35" s="6"/>
      <c r="B35" s="7"/>
      <c r="C35" s="7"/>
      <c r="D35" s="5"/>
    </row>
    <row r="36" spans="1:4" x14ac:dyDescent="0.25">
      <c r="A36" s="6"/>
      <c r="B36" s="7"/>
      <c r="C36" s="7"/>
      <c r="D36" s="5"/>
    </row>
    <row r="37" spans="1:4" x14ac:dyDescent="0.25">
      <c r="A37" s="6"/>
      <c r="B37" s="7"/>
      <c r="C37" s="7"/>
      <c r="D37" s="5"/>
    </row>
    <row r="38" spans="1:4" x14ac:dyDescent="0.25">
      <c r="A38" s="6"/>
      <c r="B38" s="7"/>
      <c r="C38" s="7"/>
      <c r="D38" s="5"/>
    </row>
    <row r="39" spans="1:4" x14ac:dyDescent="0.25">
      <c r="A39" s="6"/>
      <c r="B39" s="7"/>
      <c r="C39" s="7"/>
      <c r="D39" s="5"/>
    </row>
    <row r="40" spans="1:4" x14ac:dyDescent="0.25">
      <c r="A40" s="6"/>
      <c r="B40" s="7"/>
      <c r="C40" s="7"/>
      <c r="D40" s="5"/>
    </row>
    <row r="41" spans="1:4" x14ac:dyDescent="0.25">
      <c r="A41" s="6"/>
      <c r="B41" s="7"/>
      <c r="C41" s="7"/>
      <c r="D41" s="5"/>
    </row>
    <row r="42" spans="1:4" x14ac:dyDescent="0.25">
      <c r="A42" s="6"/>
      <c r="B42" s="7"/>
      <c r="C42" s="7"/>
      <c r="D42" s="5"/>
    </row>
    <row r="43" spans="1:4" x14ac:dyDescent="0.25">
      <c r="A43" s="6"/>
      <c r="B43" s="7"/>
      <c r="C43" s="7"/>
      <c r="D43" s="5"/>
    </row>
    <row r="44" spans="1:4" x14ac:dyDescent="0.25">
      <c r="A44" s="6"/>
      <c r="B44" s="7"/>
      <c r="C44" s="7"/>
      <c r="D44" s="5"/>
    </row>
    <row r="45" spans="1:4" x14ac:dyDescent="0.25">
      <c r="A45" s="6"/>
      <c r="B45" s="7"/>
      <c r="C45" s="7"/>
      <c r="D45" s="5"/>
    </row>
    <row r="46" spans="1:4" x14ac:dyDescent="0.25">
      <c r="A46" s="6"/>
      <c r="B46" s="7"/>
      <c r="C46" s="7"/>
      <c r="D46" s="5"/>
    </row>
    <row r="47" spans="1:4" x14ac:dyDescent="0.25">
      <c r="A47" s="6"/>
      <c r="B47" s="7"/>
      <c r="C47" s="7"/>
      <c r="D47" s="5"/>
    </row>
    <row r="48" spans="1:4" x14ac:dyDescent="0.25">
      <c r="A48" s="6"/>
      <c r="B48" s="7"/>
      <c r="C48" s="7"/>
      <c r="D48" s="5"/>
    </row>
    <row r="49" spans="1:4" x14ac:dyDescent="0.25">
      <c r="A49" s="6"/>
      <c r="B49" s="7"/>
      <c r="C49" s="7"/>
      <c r="D49" s="5"/>
    </row>
    <row r="50" spans="1:4" x14ac:dyDescent="0.25">
      <c r="A50" s="6"/>
      <c r="B50" s="7"/>
      <c r="C50" s="7"/>
      <c r="D50" s="5"/>
    </row>
    <row r="51" spans="1:4" x14ac:dyDescent="0.25">
      <c r="A51" s="6"/>
      <c r="B51" s="7"/>
      <c r="C51" s="7"/>
      <c r="D51" s="5"/>
    </row>
    <row r="52" spans="1:4" x14ac:dyDescent="0.25">
      <c r="A52" s="6"/>
      <c r="B52" s="7"/>
      <c r="C52" s="7"/>
      <c r="D52" s="5"/>
    </row>
    <row r="53" spans="1:4" x14ac:dyDescent="0.25">
      <c r="A53" s="6"/>
      <c r="B53" s="7"/>
      <c r="C53" s="7"/>
      <c r="D53" s="5"/>
    </row>
    <row r="54" spans="1:4" x14ac:dyDescent="0.25">
      <c r="A54" s="6"/>
      <c r="B54" s="7"/>
      <c r="C54" s="7"/>
      <c r="D54" s="5"/>
    </row>
    <row r="55" spans="1:4" x14ac:dyDescent="0.25">
      <c r="A55" s="6"/>
      <c r="B55" s="7"/>
      <c r="C55" s="7"/>
      <c r="D55" s="5"/>
    </row>
    <row r="56" spans="1:4" x14ac:dyDescent="0.25">
      <c r="A56" s="6"/>
      <c r="B56" s="7"/>
      <c r="C56" s="7"/>
      <c r="D56" s="5"/>
    </row>
    <row r="57" spans="1:4" x14ac:dyDescent="0.25">
      <c r="A57" s="6"/>
      <c r="B57" s="7"/>
      <c r="C57" s="7"/>
      <c r="D57" s="5"/>
    </row>
    <row r="58" spans="1:4" x14ac:dyDescent="0.25">
      <c r="A58" s="6"/>
      <c r="B58" s="7"/>
      <c r="C58" s="7"/>
      <c r="D58" s="5"/>
    </row>
    <row r="59" spans="1:4" x14ac:dyDescent="0.25">
      <c r="A59" s="6"/>
      <c r="B59" s="7"/>
      <c r="C59" s="7"/>
      <c r="D59" s="5"/>
    </row>
    <row r="60" spans="1:4" x14ac:dyDescent="0.25">
      <c r="A60" s="6"/>
      <c r="B60" s="7"/>
      <c r="C60" s="7"/>
      <c r="D60" s="5"/>
    </row>
    <row r="61" spans="1:4" x14ac:dyDescent="0.25">
      <c r="A61" s="6"/>
      <c r="B61" s="7"/>
      <c r="C61" s="7"/>
      <c r="D61" s="5"/>
    </row>
    <row r="62" spans="1:4" x14ac:dyDescent="0.25">
      <c r="A62" s="6"/>
      <c r="B62" s="7"/>
      <c r="C62" s="7"/>
      <c r="D62" s="5"/>
    </row>
    <row r="63" spans="1:4" x14ac:dyDescent="0.25">
      <c r="A63" s="6"/>
      <c r="B63" s="7"/>
      <c r="C63" s="7"/>
      <c r="D63" s="5"/>
    </row>
    <row r="64" spans="1:4" x14ac:dyDescent="0.25">
      <c r="A64" s="6"/>
      <c r="B64" s="7"/>
      <c r="C64" s="7"/>
      <c r="D64" s="5"/>
    </row>
    <row r="65" spans="1:4" x14ac:dyDescent="0.25">
      <c r="A65" s="6"/>
      <c r="B65" s="7"/>
      <c r="C65" s="7"/>
      <c r="D65" s="5"/>
    </row>
    <row r="66" spans="1:4" x14ac:dyDescent="0.25">
      <c r="A66" s="6"/>
      <c r="B66" s="7"/>
      <c r="C66" s="7"/>
      <c r="D66" s="5"/>
    </row>
    <row r="67" spans="1:4" x14ac:dyDescent="0.25">
      <c r="A67" s="6"/>
      <c r="B67" s="7"/>
      <c r="C67" s="7"/>
      <c r="D67" s="5"/>
    </row>
    <row r="68" spans="1:4" x14ac:dyDescent="0.25">
      <c r="A68" s="6"/>
      <c r="B68" s="7"/>
      <c r="C68" s="7"/>
      <c r="D68" s="5"/>
    </row>
    <row r="69" spans="1:4" x14ac:dyDescent="0.25">
      <c r="A69" s="6"/>
      <c r="B69" s="7"/>
      <c r="C69" s="7"/>
      <c r="D69" s="5"/>
    </row>
    <row r="70" spans="1:4" x14ac:dyDescent="0.25">
      <c r="A70" s="6"/>
      <c r="B70" s="7"/>
      <c r="C70" s="7"/>
      <c r="D70" s="5"/>
    </row>
    <row r="71" spans="1:4" x14ac:dyDescent="0.25">
      <c r="A71" s="6"/>
      <c r="B71" s="7"/>
      <c r="C71" s="7"/>
      <c r="D71" s="5"/>
    </row>
    <row r="72" spans="1:4" x14ac:dyDescent="0.25">
      <c r="A72" s="6"/>
      <c r="B72" s="7"/>
      <c r="C72" s="7"/>
      <c r="D72" s="5"/>
    </row>
    <row r="73" spans="1:4" x14ac:dyDescent="0.25">
      <c r="A73" s="6"/>
      <c r="B73" s="7"/>
      <c r="C73" s="7"/>
      <c r="D73" s="5"/>
    </row>
    <row r="74" spans="1:4" x14ac:dyDescent="0.25">
      <c r="A74" s="6"/>
      <c r="B74" s="7"/>
      <c r="C74" s="7"/>
      <c r="D74" s="5"/>
    </row>
    <row r="75" spans="1:4" x14ac:dyDescent="0.25">
      <c r="A75" s="6"/>
      <c r="B75" s="7"/>
      <c r="C75" s="7"/>
      <c r="D75" s="5"/>
    </row>
    <row r="76" spans="1:4" x14ac:dyDescent="0.25">
      <c r="A76" s="6"/>
      <c r="B76" s="7"/>
      <c r="C76" s="7"/>
      <c r="D76" s="5"/>
    </row>
    <row r="77" spans="1:4" x14ac:dyDescent="0.25">
      <c r="A77" s="6"/>
      <c r="B77" s="7"/>
      <c r="C77" s="7"/>
      <c r="D77" s="5"/>
    </row>
    <row r="78" spans="1:4" x14ac:dyDescent="0.25">
      <c r="A78" s="6"/>
      <c r="B78" s="7"/>
      <c r="C78" s="7"/>
      <c r="D78" s="5"/>
    </row>
    <row r="79" spans="1:4" x14ac:dyDescent="0.25">
      <c r="A79" s="6"/>
      <c r="B79" s="7"/>
      <c r="C79" s="7"/>
      <c r="D79" s="5"/>
    </row>
    <row r="80" spans="1:4" x14ac:dyDescent="0.25">
      <c r="A80" s="6"/>
      <c r="B80" s="7"/>
      <c r="C80" s="7"/>
      <c r="D80" s="5"/>
    </row>
    <row r="81" spans="1:4" x14ac:dyDescent="0.25">
      <c r="A81" s="6"/>
      <c r="B81" s="7"/>
      <c r="C81" s="7"/>
      <c r="D81" s="5"/>
    </row>
    <row r="82" spans="1:4" x14ac:dyDescent="0.25">
      <c r="A82" s="6"/>
      <c r="B82" s="7"/>
      <c r="C82" s="7"/>
      <c r="D82" s="5"/>
    </row>
    <row r="83" spans="1:4" x14ac:dyDescent="0.25">
      <c r="A83" s="6"/>
      <c r="B83" s="7"/>
      <c r="C83" s="7"/>
      <c r="D83" s="5"/>
    </row>
    <row r="84" spans="1:4" x14ac:dyDescent="0.25">
      <c r="A84" s="6"/>
      <c r="B84" s="7"/>
      <c r="C84" s="7"/>
      <c r="D84" s="5"/>
    </row>
    <row r="85" spans="1:4" x14ac:dyDescent="0.25">
      <c r="A85" s="6"/>
      <c r="B85" s="7"/>
      <c r="C85" s="7"/>
      <c r="D85" s="5"/>
    </row>
    <row r="86" spans="1:4" x14ac:dyDescent="0.25">
      <c r="A86" s="6"/>
      <c r="B86" s="7"/>
      <c r="C86" s="7"/>
      <c r="D86" s="5"/>
    </row>
    <row r="87" spans="1:4" x14ac:dyDescent="0.25">
      <c r="A87" s="6"/>
      <c r="B87" s="7"/>
      <c r="C87" s="7"/>
      <c r="D87" s="5"/>
    </row>
    <row r="88" spans="1:4" x14ac:dyDescent="0.25">
      <c r="A88" s="6"/>
      <c r="B88" s="7"/>
      <c r="C88" s="7"/>
      <c r="D88" s="5"/>
    </row>
    <row r="89" spans="1:4" x14ac:dyDescent="0.25">
      <c r="A89" s="6"/>
      <c r="B89" s="7"/>
      <c r="C89" s="7"/>
      <c r="D89" s="5"/>
    </row>
    <row r="90" spans="1:4" x14ac:dyDescent="0.25">
      <c r="A90" s="6"/>
      <c r="B90" s="7"/>
      <c r="C90" s="7"/>
      <c r="D90" s="5"/>
    </row>
    <row r="91" spans="1:4" x14ac:dyDescent="0.25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2"/>
  <sheetViews>
    <sheetView showGridLines="0" workbookViewId="0">
      <selection activeCell="B22" sqref="B22"/>
    </sheetView>
  </sheetViews>
  <sheetFormatPr defaultRowHeight="12.5" x14ac:dyDescent="0.25"/>
  <cols>
    <col min="1" max="2" width="9.1796875" style="8"/>
    <col min="3" max="3" width="47" customWidth="1"/>
  </cols>
  <sheetData>
    <row r="1" spans="1:3" x14ac:dyDescent="0.25">
      <c r="A1" s="111" t="s">
        <v>5</v>
      </c>
      <c r="B1" s="111"/>
      <c r="C1" s="111"/>
    </row>
    <row r="2" spans="1:3" x14ac:dyDescent="0.25">
      <c r="A2" s="111"/>
      <c r="B2" s="111"/>
      <c r="C2" s="111"/>
    </row>
    <row r="3" spans="1:3" x14ac:dyDescent="0.25">
      <c r="A3" s="112" t="s">
        <v>118</v>
      </c>
      <c r="B3" s="112"/>
    </row>
    <row r="4" spans="1:3" x14ac:dyDescent="0.25">
      <c r="B4" s="31" t="s">
        <v>47</v>
      </c>
    </row>
    <row r="5" spans="1:3" x14ac:dyDescent="0.25">
      <c r="B5" s="32" t="s">
        <v>51</v>
      </c>
    </row>
    <row r="6" spans="1:3" x14ac:dyDescent="0.25">
      <c r="B6" s="32" t="s">
        <v>58</v>
      </c>
    </row>
    <row r="7" spans="1:3" x14ac:dyDescent="0.25">
      <c r="B7" s="32" t="s">
        <v>59</v>
      </c>
    </row>
    <row r="8" spans="1:3" x14ac:dyDescent="0.25">
      <c r="B8" s="32" t="s">
        <v>195</v>
      </c>
    </row>
    <row r="9" spans="1:3" x14ac:dyDescent="0.25">
      <c r="B9" s="32" t="s">
        <v>64</v>
      </c>
    </row>
    <row r="10" spans="1:3" x14ac:dyDescent="0.25">
      <c r="B10" s="32" t="s">
        <v>74</v>
      </c>
    </row>
    <row r="11" spans="1:3" x14ac:dyDescent="0.25">
      <c r="B11" s="32" t="s">
        <v>12</v>
      </c>
    </row>
    <row r="12" spans="1:3" x14ac:dyDescent="0.25">
      <c r="B12" s="32" t="s">
        <v>19</v>
      </c>
    </row>
    <row r="13" spans="1:3" x14ac:dyDescent="0.25">
      <c r="B13" s="32" t="s">
        <v>21</v>
      </c>
    </row>
    <row r="14" spans="1:3" x14ac:dyDescent="0.25">
      <c r="B14" s="32" t="s">
        <v>25</v>
      </c>
    </row>
    <row r="15" spans="1:3" x14ac:dyDescent="0.25">
      <c r="B15" s="32"/>
    </row>
    <row r="16" spans="1:3" x14ac:dyDescent="0.25">
      <c r="A16" s="32" t="s">
        <v>120</v>
      </c>
      <c r="B16" s="32"/>
    </row>
    <row r="17" spans="1:2" x14ac:dyDescent="0.25">
      <c r="B17" s="39" t="s">
        <v>50</v>
      </c>
    </row>
    <row r="18" spans="1:2" x14ac:dyDescent="0.25">
      <c r="B18" s="32" t="s">
        <v>53</v>
      </c>
    </row>
    <row r="19" spans="1:2" x14ac:dyDescent="0.25">
      <c r="B19" s="32" t="s">
        <v>8</v>
      </c>
    </row>
    <row r="20" spans="1:2" x14ac:dyDescent="0.25">
      <c r="B20" s="32" t="s">
        <v>63</v>
      </c>
    </row>
    <row r="21" spans="1:2" x14ac:dyDescent="0.25">
      <c r="B21" s="32" t="s">
        <v>64</v>
      </c>
    </row>
    <row r="22" spans="1:2" x14ac:dyDescent="0.25">
      <c r="B22" s="32" t="s">
        <v>74</v>
      </c>
    </row>
    <row r="23" spans="1:2" x14ac:dyDescent="0.25">
      <c r="B23" s="32" t="s">
        <v>107</v>
      </c>
    </row>
    <row r="24" spans="1:2" x14ac:dyDescent="0.25">
      <c r="B24" s="32" t="s">
        <v>108</v>
      </c>
    </row>
    <row r="26" spans="1:2" x14ac:dyDescent="0.25">
      <c r="A26" s="32" t="s">
        <v>138</v>
      </c>
    </row>
    <row r="27" spans="1:2" x14ac:dyDescent="0.25">
      <c r="B27" s="33" t="s">
        <v>139</v>
      </c>
    </row>
    <row r="29" spans="1:2" x14ac:dyDescent="0.25">
      <c r="A29" s="32" t="s">
        <v>140</v>
      </c>
      <c r="B29" s="33"/>
    </row>
    <row r="30" spans="1:2" x14ac:dyDescent="0.25">
      <c r="B30" s="33" t="s">
        <v>129</v>
      </c>
    </row>
    <row r="31" spans="1:2" x14ac:dyDescent="0.25">
      <c r="B31" s="33" t="s">
        <v>132</v>
      </c>
    </row>
    <row r="32" spans="1:2" x14ac:dyDescent="0.25">
      <c r="B32" s="33"/>
    </row>
  </sheetData>
  <mergeCells count="2">
    <mergeCell ref="A1:C2"/>
    <mergeCell ref="A3:B3"/>
  </mergeCells>
  <hyperlinks>
    <hyperlink ref="A3:B3" location="Company!B3" display="General" xr:uid="{00000000-0004-0000-0100-000000000000}"/>
    <hyperlink ref="B4" location="Company!B7" display="Model Setup: Company" xr:uid="{00000000-0004-0000-0100-000001000000}"/>
    <hyperlink ref="B17" location="Segment!B8" display="Model Setup: Segment" xr:uid="{00000000-0004-0000-0100-000002000000}"/>
    <hyperlink ref="B5" location="Company!B10" display="Initial Amounts: Company" xr:uid="{00000000-0004-0000-0100-000003000000}"/>
    <hyperlink ref="B18" location="Segment!B17" display="Initial Amounts: Segment" xr:uid="{00000000-0004-0000-0100-000004000000}"/>
    <hyperlink ref="B6" location="Company!B13" display="Discount Rates" xr:uid="{00000000-0004-0000-0100-000005000000}"/>
    <hyperlink ref="B7" location="Company!B16" display="Competitor Rates" xr:uid="{00000000-0004-0000-0100-000006000000}"/>
    <hyperlink ref="B19" location="Segment!B22" display="Asset Yield" xr:uid="{00000000-0004-0000-0100-000007000000}"/>
    <hyperlink ref="B9" location="Company!B22" display="Asset Reserves: AVR" xr:uid="{00000000-0004-0000-0100-000008000000}"/>
    <hyperlink ref="B10" location="Company!B29" display="Asset Reserves: IMR" xr:uid="{00000000-0004-0000-0100-000009000000}"/>
    <hyperlink ref="B11" location="Company!B35" display="Risk Based Capital" xr:uid="{00000000-0004-0000-0100-00000A000000}"/>
    <hyperlink ref="B12" location="Company!B54" display="Target Capital : Company" xr:uid="{00000000-0004-0000-0100-00000B000000}"/>
    <hyperlink ref="B23" location="Segment!B43" display="Target Capital : Segment" xr:uid="{00000000-0004-0000-0100-00000C000000}"/>
    <hyperlink ref="B13" location="Company!B57" display="Income Tax : Company" xr:uid="{00000000-0004-0000-0100-00000D000000}"/>
    <hyperlink ref="B24" location="Segment!B46" display="Income Tax : Segment" xr:uid="{00000000-0004-0000-0100-00000E000000}"/>
    <hyperlink ref="B14" location="Company!B65" display="Profits" xr:uid="{00000000-0004-0000-0100-00000F000000}"/>
    <hyperlink ref="B21" location="Segment!B33" display="Asset Reserves: AVR" xr:uid="{00000000-0004-0000-0100-000010000000}"/>
    <hyperlink ref="B22" location="Segment!B39" display="Asset Reserves: IMR" xr:uid="{00000000-0004-0000-0100-000011000000}"/>
    <hyperlink ref="A16" location="Segment!A1" display="Segment" xr:uid="{00000000-0004-0000-0100-000012000000}"/>
    <hyperlink ref="B30" location="'SFAS97RD GAAP'!B7" display="SFAS 97 Retrospective Deposit: General" xr:uid="{00000000-0004-0000-0100-000013000000}"/>
    <hyperlink ref="B31" location="Sfas97RdGaapCohorts" display="SFAS 97 Retrospective Deposit: Cohorts" xr:uid="{00000000-0004-0000-0100-000014000000}"/>
    <hyperlink ref="B27" location="'Annuity PBA'!B7" display="General" xr:uid="{00000000-0004-0000-0100-000015000000}"/>
    <hyperlink ref="A26" location="'Annuity PBA'!A1" display="Annuity PBA" xr:uid="{00000000-0004-0000-0100-000016000000}"/>
    <hyperlink ref="A29" location="'SFAS97RD GAAP'!A1" display="SFAS 97 Retrospective Deposit GAAP" xr:uid="{00000000-0004-0000-0100-000017000000}"/>
    <hyperlink ref="B20" location="Segment!B29" display="Cash Flows" xr:uid="{00000000-0004-0000-0100-000018000000}"/>
    <hyperlink ref="B8" location="Company!B19" display="Separate Account" xr:uid="{00000000-0004-0000-0100-000019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05"/>
  <sheetViews>
    <sheetView showGridLines="0" tabSelected="1" workbookViewId="0">
      <pane xSplit="2" ySplit="5" topLeftCell="C111" activePane="bottomRight" state="frozen"/>
      <selection pane="topRight" activeCell="C1" sqref="C1"/>
      <selection pane="bottomLeft" activeCell="A6" sqref="A6"/>
      <selection pane="bottomRight" activeCell="D127" sqref="D127"/>
    </sheetView>
  </sheetViews>
  <sheetFormatPr defaultColWidth="15.7265625" defaultRowHeight="12.5" x14ac:dyDescent="0.25"/>
  <cols>
    <col min="1" max="1" width="15.7265625" style="17"/>
    <col min="2" max="2" width="30.7265625" style="17" customWidth="1"/>
    <col min="3" max="4" width="24.81640625" style="12" bestFit="1" customWidth="1"/>
    <col min="5" max="5" width="20.453125" style="12" customWidth="1"/>
    <col min="6" max="6" width="15.7265625" style="12"/>
    <col min="7" max="7" width="17.453125" style="12" customWidth="1"/>
    <col min="8" max="8" width="18.81640625" style="12" customWidth="1"/>
    <col min="9" max="9" width="18.54296875" style="12" customWidth="1"/>
    <col min="10" max="10" width="19.453125" style="12" customWidth="1"/>
    <col min="11" max="11" width="26.26953125" style="12" customWidth="1"/>
    <col min="12" max="16384" width="15.7265625" style="12"/>
  </cols>
  <sheetData>
    <row r="1" spans="1:4" ht="15.5" x14ac:dyDescent="0.25">
      <c r="A1" s="16" t="s">
        <v>7</v>
      </c>
      <c r="B1" s="15" t="s">
        <v>110</v>
      </c>
      <c r="C1" s="13"/>
    </row>
    <row r="2" spans="1:4" ht="15.5" x14ac:dyDescent="0.25">
      <c r="A2" s="16"/>
      <c r="B2" s="15"/>
      <c r="C2" s="13"/>
    </row>
    <row r="3" spans="1:4" ht="13" x14ac:dyDescent="0.25">
      <c r="B3" s="19" t="str">
        <f ca="1">GetNameRange(B4)</f>
        <v>Company</v>
      </c>
    </row>
    <row r="4" spans="1:4" ht="13" x14ac:dyDescent="0.25">
      <c r="A4" s="22"/>
      <c r="B4" s="50" t="s">
        <v>78</v>
      </c>
      <c r="C4" s="44" t="s">
        <v>173</v>
      </c>
      <c r="D4" s="44" t="s">
        <v>202</v>
      </c>
    </row>
    <row r="5" spans="1:4" ht="13" x14ac:dyDescent="0.25">
      <c r="A5" s="22" t="s">
        <v>6</v>
      </c>
      <c r="B5" s="43" t="s">
        <v>0</v>
      </c>
      <c r="C5" s="58"/>
      <c r="D5" s="58"/>
    </row>
    <row r="6" spans="1:4" s="25" customFormat="1" ht="13" x14ac:dyDescent="0.25">
      <c r="A6" s="17"/>
      <c r="B6" s="67"/>
      <c r="C6" s="51"/>
      <c r="D6" s="51"/>
    </row>
    <row r="7" spans="1:4" s="25" customFormat="1" ht="13" x14ac:dyDescent="0.25">
      <c r="A7" s="17"/>
      <c r="B7" s="52" t="s">
        <v>47</v>
      </c>
      <c r="C7" s="51"/>
      <c r="D7" s="51"/>
    </row>
    <row r="8" spans="1:4" s="25" customFormat="1" x14ac:dyDescent="0.25">
      <c r="A8" s="17" t="s">
        <v>49</v>
      </c>
      <c r="B8" s="54" t="s">
        <v>48</v>
      </c>
      <c r="C8" s="51" t="s">
        <v>49</v>
      </c>
      <c r="D8" s="51" t="s">
        <v>49</v>
      </c>
    </row>
    <row r="9" spans="1:4" s="25" customFormat="1" ht="13" x14ac:dyDescent="0.25">
      <c r="A9" s="17"/>
      <c r="B9" s="52"/>
      <c r="C9" s="51"/>
      <c r="D9" s="51"/>
    </row>
    <row r="10" spans="1:4" s="25" customFormat="1" ht="13" x14ac:dyDescent="0.25">
      <c r="A10" s="17"/>
      <c r="B10" s="52" t="s">
        <v>51</v>
      </c>
      <c r="C10" s="51"/>
      <c r="D10" s="51"/>
    </row>
    <row r="11" spans="1:4" s="25" customFormat="1" x14ac:dyDescent="0.25">
      <c r="A11" s="41">
        <v>0</v>
      </c>
      <c r="B11" s="54" t="s">
        <v>52</v>
      </c>
      <c r="C11" s="89">
        <v>100000</v>
      </c>
      <c r="D11" s="89">
        <v>100000</v>
      </c>
    </row>
    <row r="12" spans="1:4" s="25" customFormat="1" ht="13" x14ac:dyDescent="0.25">
      <c r="A12" s="17"/>
      <c r="B12" s="52"/>
      <c r="C12" s="51"/>
      <c r="D12" s="51"/>
    </row>
    <row r="13" spans="1:4" s="25" customFormat="1" ht="13" x14ac:dyDescent="0.25">
      <c r="A13" s="17"/>
      <c r="B13" s="52" t="s">
        <v>58</v>
      </c>
      <c r="C13" s="51"/>
      <c r="D13" s="51"/>
    </row>
    <row r="14" spans="1:4" s="25" customFormat="1" x14ac:dyDescent="0.25">
      <c r="A14" s="17"/>
      <c r="B14" s="55" t="s">
        <v>60</v>
      </c>
      <c r="C14" s="71"/>
      <c r="D14" s="71"/>
    </row>
    <row r="15" spans="1:4" s="25" customFormat="1" ht="13" x14ac:dyDescent="0.25">
      <c r="A15" s="17"/>
      <c r="B15" s="52"/>
      <c r="C15" s="51"/>
      <c r="D15" s="51"/>
    </row>
    <row r="16" spans="1:4" s="25" customFormat="1" ht="13" x14ac:dyDescent="0.25">
      <c r="A16" s="17"/>
      <c r="B16" s="52" t="s">
        <v>59</v>
      </c>
      <c r="C16" s="51"/>
      <c r="D16" s="51"/>
    </row>
    <row r="17" spans="1:4" s="25" customFormat="1" x14ac:dyDescent="0.25">
      <c r="A17" s="17"/>
      <c r="B17" s="55" t="s">
        <v>60</v>
      </c>
      <c r="C17" s="71"/>
      <c r="D17" s="71"/>
    </row>
    <row r="18" spans="1:4" s="25" customFormat="1" ht="13" x14ac:dyDescent="0.25">
      <c r="A18" s="17"/>
      <c r="B18" s="52"/>
      <c r="C18" s="51"/>
      <c r="D18" s="51"/>
    </row>
    <row r="19" spans="1:4" s="25" customFormat="1" ht="13" x14ac:dyDescent="0.25">
      <c r="A19" s="17"/>
      <c r="B19" s="52" t="s">
        <v>195</v>
      </c>
      <c r="C19" s="12"/>
      <c r="D19" s="12"/>
    </row>
    <row r="20" spans="1:4" s="25" customFormat="1" x14ac:dyDescent="0.25">
      <c r="A20" s="17" t="s">
        <v>196</v>
      </c>
      <c r="B20" s="54" t="s">
        <v>197</v>
      </c>
      <c r="C20" s="12" t="s">
        <v>196</v>
      </c>
      <c r="D20" s="12" t="s">
        <v>196</v>
      </c>
    </row>
    <row r="21" spans="1:4" s="25" customFormat="1" ht="13" x14ac:dyDescent="0.25">
      <c r="A21" s="17"/>
      <c r="B21" s="52"/>
      <c r="C21" s="51"/>
      <c r="D21" s="51"/>
    </row>
    <row r="22" spans="1:4" ht="13" x14ac:dyDescent="0.25">
      <c r="B22" s="53" t="s">
        <v>64</v>
      </c>
      <c r="C22" s="51"/>
      <c r="D22" s="51"/>
    </row>
    <row r="23" spans="1:4" x14ac:dyDescent="0.25">
      <c r="A23" s="17" t="s">
        <v>73</v>
      </c>
      <c r="B23" s="54" t="s">
        <v>65</v>
      </c>
      <c r="C23" s="51" t="s">
        <v>79</v>
      </c>
      <c r="D23" s="51" t="s">
        <v>79</v>
      </c>
    </row>
    <row r="24" spans="1:4" x14ac:dyDescent="0.25">
      <c r="A24" s="17" t="s">
        <v>79</v>
      </c>
      <c r="B24" s="54" t="s">
        <v>187</v>
      </c>
      <c r="C24" s="51" t="s">
        <v>79</v>
      </c>
      <c r="D24" s="51" t="s">
        <v>79</v>
      </c>
    </row>
    <row r="25" spans="1:4" x14ac:dyDescent="0.25">
      <c r="B25" s="55" t="s">
        <v>66</v>
      </c>
      <c r="C25" s="71"/>
      <c r="D25" s="71"/>
    </row>
    <row r="26" spans="1:4" x14ac:dyDescent="0.25">
      <c r="A26" s="17">
        <v>9999</v>
      </c>
      <c r="B26" s="54" t="s">
        <v>67</v>
      </c>
      <c r="C26" s="99">
        <v>9999</v>
      </c>
      <c r="D26" s="99">
        <v>9999</v>
      </c>
    </row>
    <row r="27" spans="1:4" x14ac:dyDescent="0.25">
      <c r="A27" s="17">
        <v>9999</v>
      </c>
      <c r="B27" s="54" t="s">
        <v>68</v>
      </c>
      <c r="C27" s="99">
        <v>9999</v>
      </c>
      <c r="D27" s="99">
        <v>9999</v>
      </c>
    </row>
    <row r="28" spans="1:4" x14ac:dyDescent="0.25">
      <c r="B28" s="61"/>
      <c r="C28" s="51"/>
      <c r="D28" s="51"/>
    </row>
    <row r="29" spans="1:4" ht="13" x14ac:dyDescent="0.25">
      <c r="B29" s="53" t="s">
        <v>74</v>
      </c>
      <c r="C29" s="51"/>
      <c r="D29" s="51"/>
    </row>
    <row r="30" spans="1:4" x14ac:dyDescent="0.25">
      <c r="A30" s="17" t="s">
        <v>73</v>
      </c>
      <c r="B30" s="54" t="s">
        <v>75</v>
      </c>
      <c r="C30" s="51" t="s">
        <v>79</v>
      </c>
      <c r="D30" s="51" t="s">
        <v>79</v>
      </c>
    </row>
    <row r="31" spans="1:4" x14ac:dyDescent="0.25">
      <c r="A31" s="37">
        <v>0</v>
      </c>
      <c r="B31" s="68" t="s">
        <v>143</v>
      </c>
      <c r="C31" s="99" t="s">
        <v>147</v>
      </c>
      <c r="D31" s="99" t="s">
        <v>147</v>
      </c>
    </row>
    <row r="32" spans="1:4" x14ac:dyDescent="0.25">
      <c r="A32" s="37">
        <v>0</v>
      </c>
      <c r="B32" s="68" t="s">
        <v>144</v>
      </c>
      <c r="C32" s="99" t="s">
        <v>147</v>
      </c>
      <c r="D32" s="99" t="s">
        <v>147</v>
      </c>
    </row>
    <row r="33" spans="1:4" x14ac:dyDescent="0.25">
      <c r="A33" s="37">
        <v>0</v>
      </c>
      <c r="B33" s="68" t="s">
        <v>145</v>
      </c>
      <c r="C33" s="99" t="s">
        <v>147</v>
      </c>
      <c r="D33" s="99" t="s">
        <v>147</v>
      </c>
    </row>
    <row r="34" spans="1:4" x14ac:dyDescent="0.25">
      <c r="B34" s="69"/>
      <c r="C34" s="51"/>
      <c r="D34" s="51"/>
    </row>
    <row r="35" spans="1:4" ht="13" x14ac:dyDescent="0.25">
      <c r="B35" s="53" t="s">
        <v>12</v>
      </c>
      <c r="C35" s="51"/>
      <c r="D35" s="51"/>
    </row>
    <row r="36" spans="1:4" x14ac:dyDescent="0.25">
      <c r="A36" s="37">
        <v>0</v>
      </c>
      <c r="B36" s="54" t="s">
        <v>13</v>
      </c>
      <c r="C36" s="92">
        <v>0</v>
      </c>
      <c r="D36" s="92">
        <v>0</v>
      </c>
    </row>
    <row r="37" spans="1:4" x14ac:dyDescent="0.25">
      <c r="A37" s="36">
        <v>1</v>
      </c>
      <c r="B37" s="54" t="s">
        <v>30</v>
      </c>
      <c r="C37" s="100">
        <v>1</v>
      </c>
      <c r="D37" s="100">
        <v>1</v>
      </c>
    </row>
    <row r="38" spans="1:4" x14ac:dyDescent="0.25">
      <c r="A38" s="36">
        <v>1</v>
      </c>
      <c r="B38" s="54" t="s">
        <v>31</v>
      </c>
      <c r="C38" s="100">
        <v>1</v>
      </c>
      <c r="D38" s="100">
        <v>1</v>
      </c>
    </row>
    <row r="39" spans="1:4" x14ac:dyDescent="0.25">
      <c r="A39" s="36">
        <v>1</v>
      </c>
      <c r="B39" s="54" t="s">
        <v>32</v>
      </c>
      <c r="C39" s="100">
        <v>1</v>
      </c>
      <c r="D39" s="100">
        <v>1</v>
      </c>
    </row>
    <row r="40" spans="1:4" x14ac:dyDescent="0.25">
      <c r="A40" s="37">
        <v>0</v>
      </c>
      <c r="B40" s="54" t="s">
        <v>33</v>
      </c>
      <c r="C40" s="92">
        <v>0</v>
      </c>
      <c r="D40" s="92">
        <v>0</v>
      </c>
    </row>
    <row r="41" spans="1:4" x14ac:dyDescent="0.25">
      <c r="A41" s="37">
        <v>0</v>
      </c>
      <c r="B41" s="54" t="s">
        <v>34</v>
      </c>
      <c r="C41" s="92">
        <v>0</v>
      </c>
      <c r="D41" s="92">
        <v>0</v>
      </c>
    </row>
    <row r="42" spans="1:4" x14ac:dyDescent="0.25">
      <c r="A42" s="37">
        <v>0</v>
      </c>
      <c r="B42" s="54" t="s">
        <v>14</v>
      </c>
      <c r="C42" s="92">
        <v>0</v>
      </c>
      <c r="D42" s="92">
        <v>0</v>
      </c>
    </row>
    <row r="43" spans="1:4" x14ac:dyDescent="0.25">
      <c r="A43" s="37">
        <v>0</v>
      </c>
      <c r="B43" s="54" t="s">
        <v>35</v>
      </c>
      <c r="C43" s="92">
        <v>0</v>
      </c>
      <c r="D43" s="92">
        <v>0</v>
      </c>
    </row>
    <row r="44" spans="1:4" x14ac:dyDescent="0.25">
      <c r="A44" s="37">
        <v>0</v>
      </c>
      <c r="B44" s="54" t="s">
        <v>36</v>
      </c>
      <c r="C44" s="92">
        <v>0</v>
      </c>
      <c r="D44" s="92">
        <v>0</v>
      </c>
    </row>
    <row r="45" spans="1:4" x14ac:dyDescent="0.25">
      <c r="A45" s="37">
        <v>0</v>
      </c>
      <c r="B45" s="54" t="s">
        <v>37</v>
      </c>
      <c r="C45" s="92">
        <v>0</v>
      </c>
      <c r="D45" s="92">
        <v>0</v>
      </c>
    </row>
    <row r="46" spans="1:4" x14ac:dyDescent="0.25">
      <c r="A46" s="37">
        <v>5.0000000000000001E-3</v>
      </c>
      <c r="B46" s="54" t="s">
        <v>38</v>
      </c>
      <c r="C46" s="92">
        <v>0</v>
      </c>
      <c r="D46" s="92">
        <v>0</v>
      </c>
    </row>
    <row r="47" spans="1:4" x14ac:dyDescent="0.25">
      <c r="A47" s="37" t="s">
        <v>172</v>
      </c>
      <c r="B47" s="54" t="s">
        <v>171</v>
      </c>
      <c r="C47" s="92" t="s">
        <v>172</v>
      </c>
      <c r="D47" s="92" t="s">
        <v>172</v>
      </c>
    </row>
    <row r="48" spans="1:4" x14ac:dyDescent="0.25">
      <c r="A48" s="37">
        <v>5.0000000000000001E-3</v>
      </c>
      <c r="B48" s="54" t="s">
        <v>15</v>
      </c>
      <c r="C48" s="92">
        <v>2.2793138626897962E-3</v>
      </c>
      <c r="D48" s="92">
        <v>2.2793138626897962E-3</v>
      </c>
    </row>
    <row r="49" spans="1:4" x14ac:dyDescent="0.25">
      <c r="A49" s="37">
        <v>0.01</v>
      </c>
      <c r="B49" s="54" t="s">
        <v>16</v>
      </c>
      <c r="C49" s="92">
        <v>4.5948073105016524E-3</v>
      </c>
      <c r="D49" s="92">
        <v>4.5948073105016524E-3</v>
      </c>
    </row>
    <row r="50" spans="1:4" x14ac:dyDescent="0.25">
      <c r="A50" s="37">
        <v>0.02</v>
      </c>
      <c r="B50" s="54" t="s">
        <v>17</v>
      </c>
      <c r="C50" s="92">
        <v>9.1534350358812439E-3</v>
      </c>
      <c r="D50" s="92">
        <v>9.1534350358812439E-3</v>
      </c>
    </row>
    <row r="51" spans="1:4" x14ac:dyDescent="0.25">
      <c r="A51" s="37">
        <v>0.02</v>
      </c>
      <c r="B51" s="54" t="s">
        <v>18</v>
      </c>
      <c r="C51" s="92">
        <v>1.9987000000000001E-2</v>
      </c>
      <c r="D51" s="92">
        <v>0</v>
      </c>
    </row>
    <row r="52" spans="1:4" x14ac:dyDescent="0.25">
      <c r="A52" s="37">
        <v>5.0000000000000001E-3</v>
      </c>
      <c r="B52" s="54" t="s">
        <v>39</v>
      </c>
      <c r="C52" s="92">
        <v>0</v>
      </c>
      <c r="D52" s="92">
        <v>0</v>
      </c>
    </row>
    <row r="53" spans="1:4" x14ac:dyDescent="0.25">
      <c r="B53" s="61"/>
      <c r="C53" s="51"/>
      <c r="D53" s="51"/>
    </row>
    <row r="54" spans="1:4" ht="13" x14ac:dyDescent="0.25">
      <c r="B54" s="53" t="s">
        <v>19</v>
      </c>
      <c r="C54" s="51"/>
      <c r="D54" s="51"/>
    </row>
    <row r="55" spans="1:4" x14ac:dyDescent="0.25">
      <c r="A55" s="36">
        <v>0</v>
      </c>
      <c r="B55" s="54" t="s">
        <v>20</v>
      </c>
      <c r="C55" s="77">
        <v>4</v>
      </c>
      <c r="D55" s="77">
        <v>4</v>
      </c>
    </row>
    <row r="56" spans="1:4" x14ac:dyDescent="0.25">
      <c r="B56" s="61"/>
      <c r="C56" s="51"/>
      <c r="D56" s="51"/>
    </row>
    <row r="57" spans="1:4" ht="13" x14ac:dyDescent="0.25">
      <c r="B57" s="53" t="s">
        <v>21</v>
      </c>
      <c r="C57" s="51"/>
      <c r="D57" s="51"/>
    </row>
    <row r="58" spans="1:4" x14ac:dyDescent="0.25">
      <c r="A58" s="17" t="s">
        <v>22</v>
      </c>
      <c r="B58" s="54" t="s">
        <v>23</v>
      </c>
      <c r="C58" s="51" t="s">
        <v>22</v>
      </c>
      <c r="D58" s="51" t="s">
        <v>22</v>
      </c>
    </row>
    <row r="59" spans="1:4" x14ac:dyDescent="0.25">
      <c r="A59" s="37">
        <v>0</v>
      </c>
      <c r="B59" s="54" t="s">
        <v>24</v>
      </c>
      <c r="C59" s="92">
        <v>0.21</v>
      </c>
      <c r="D59" s="92">
        <v>0.21</v>
      </c>
    </row>
    <row r="60" spans="1:4" x14ac:dyDescent="0.25">
      <c r="A60" s="37">
        <v>0</v>
      </c>
      <c r="B60" s="54" t="s">
        <v>40</v>
      </c>
      <c r="C60" s="92">
        <v>0.21</v>
      </c>
      <c r="D60" s="92">
        <v>0.21</v>
      </c>
    </row>
    <row r="61" spans="1:4" x14ac:dyDescent="0.25">
      <c r="A61" s="17">
        <v>0</v>
      </c>
      <c r="B61" s="70" t="s">
        <v>41</v>
      </c>
      <c r="C61" s="71"/>
      <c r="D61" s="71"/>
    </row>
    <row r="62" spans="1:4" x14ac:dyDescent="0.25">
      <c r="A62" s="37">
        <v>0.5</v>
      </c>
      <c r="B62" s="54" t="s">
        <v>42</v>
      </c>
      <c r="C62" s="92">
        <v>0.5</v>
      </c>
      <c r="D62" s="92">
        <v>0.5</v>
      </c>
    </row>
    <row r="63" spans="1:4" x14ac:dyDescent="0.25">
      <c r="A63" s="17" t="s">
        <v>43</v>
      </c>
      <c r="B63" s="54" t="s">
        <v>119</v>
      </c>
      <c r="C63" s="51" t="s">
        <v>43</v>
      </c>
      <c r="D63" s="51" t="s">
        <v>43</v>
      </c>
    </row>
    <row r="64" spans="1:4" x14ac:dyDescent="0.25">
      <c r="B64" s="61"/>
      <c r="C64" s="51"/>
      <c r="D64" s="51"/>
    </row>
    <row r="65" spans="1:10" ht="13" x14ac:dyDescent="0.25">
      <c r="B65" s="53" t="s">
        <v>25</v>
      </c>
      <c r="C65" s="51"/>
      <c r="D65" s="51"/>
    </row>
    <row r="66" spans="1:10" x14ac:dyDescent="0.25">
      <c r="A66" s="18" t="s">
        <v>26</v>
      </c>
      <c r="B66" s="54" t="s">
        <v>27</v>
      </c>
      <c r="C66" s="51" t="s">
        <v>198</v>
      </c>
      <c r="D66" s="51" t="s">
        <v>198</v>
      </c>
    </row>
    <row r="67" spans="1:10" x14ac:dyDescent="0.25">
      <c r="A67" s="37">
        <v>1</v>
      </c>
      <c r="B67" s="54" t="s">
        <v>45</v>
      </c>
      <c r="C67" s="92">
        <v>1</v>
      </c>
      <c r="D67" s="92">
        <v>1</v>
      </c>
    </row>
    <row r="68" spans="1:10" x14ac:dyDescent="0.25">
      <c r="A68" s="37">
        <v>1</v>
      </c>
      <c r="B68" s="56" t="s">
        <v>46</v>
      </c>
      <c r="C68" s="66">
        <v>1</v>
      </c>
      <c r="D68" s="66">
        <v>1</v>
      </c>
    </row>
    <row r="70" spans="1:10" ht="13" x14ac:dyDescent="0.25">
      <c r="A70" s="30" t="s">
        <v>7</v>
      </c>
      <c r="B70" s="20" t="str">
        <f ca="1">GetNameRange(B71)</f>
        <v>DiscRates</v>
      </c>
    </row>
    <row r="71" spans="1:10" ht="13" x14ac:dyDescent="0.25">
      <c r="A71" s="30" t="s">
        <v>105</v>
      </c>
      <c r="B71" s="50" t="s">
        <v>100</v>
      </c>
      <c r="C71" s="76" t="s">
        <v>201</v>
      </c>
      <c r="D71" s="76" t="s">
        <v>199</v>
      </c>
      <c r="E71" s="76" t="s">
        <v>200</v>
      </c>
    </row>
    <row r="72" spans="1:10" ht="13" x14ac:dyDescent="0.25">
      <c r="B72" s="43" t="s">
        <v>0</v>
      </c>
      <c r="C72" s="24"/>
      <c r="D72" s="24"/>
      <c r="E72" s="24"/>
    </row>
    <row r="73" spans="1:10" x14ac:dyDescent="0.25">
      <c r="A73" s="41">
        <v>0</v>
      </c>
      <c r="B73" s="54" t="s">
        <v>102</v>
      </c>
      <c r="C73" s="29">
        <v>20</v>
      </c>
      <c r="D73" s="29">
        <v>20</v>
      </c>
      <c r="E73" s="29">
        <v>20</v>
      </c>
    </row>
    <row r="74" spans="1:10" x14ac:dyDescent="0.25">
      <c r="A74" s="36">
        <v>1</v>
      </c>
      <c r="B74" s="54" t="s">
        <v>103</v>
      </c>
      <c r="C74" s="23">
        <v>0</v>
      </c>
      <c r="D74" s="23">
        <v>0</v>
      </c>
      <c r="E74" s="23">
        <v>0</v>
      </c>
    </row>
    <row r="75" spans="1:10" x14ac:dyDescent="0.25">
      <c r="A75" s="37">
        <v>0</v>
      </c>
      <c r="B75" s="56" t="s">
        <v>104</v>
      </c>
      <c r="C75" s="65">
        <v>0</v>
      </c>
      <c r="D75" s="65">
        <v>0.08</v>
      </c>
      <c r="E75" s="65">
        <v>0.12</v>
      </c>
    </row>
    <row r="77" spans="1:10" ht="13" x14ac:dyDescent="0.25">
      <c r="A77" s="30" t="s">
        <v>7</v>
      </c>
      <c r="B77" s="20" t="str">
        <f ca="1">GetNameRange(B78)</f>
        <v>CompRates</v>
      </c>
      <c r="I77" s="27"/>
      <c r="J77" s="27"/>
    </row>
    <row r="78" spans="1:10" ht="13" x14ac:dyDescent="0.25">
      <c r="A78" s="30" t="s">
        <v>105</v>
      </c>
      <c r="B78" s="50" t="s">
        <v>28</v>
      </c>
      <c r="C78" s="72" t="s">
        <v>177</v>
      </c>
      <c r="D78" s="72" t="s">
        <v>178</v>
      </c>
      <c r="E78" s="72" t="s">
        <v>176</v>
      </c>
      <c r="F78" s="72" t="s">
        <v>179</v>
      </c>
      <c r="G78" s="72" t="s">
        <v>180</v>
      </c>
      <c r="H78" s="72" t="s">
        <v>181</v>
      </c>
      <c r="I78" s="105" t="s">
        <v>182</v>
      </c>
    </row>
    <row r="79" spans="1:10" ht="13" x14ac:dyDescent="0.25">
      <c r="B79" s="43" t="s">
        <v>0</v>
      </c>
      <c r="C79" s="24"/>
      <c r="D79" s="24"/>
      <c r="E79" s="24"/>
      <c r="F79" s="24"/>
      <c r="G79" s="24"/>
      <c r="H79" s="24"/>
      <c r="I79" s="58"/>
    </row>
    <row r="80" spans="1:10" x14ac:dyDescent="0.25">
      <c r="A80" s="17" t="s">
        <v>29</v>
      </c>
      <c r="B80" s="54" t="s">
        <v>95</v>
      </c>
      <c r="C80" s="21" t="s">
        <v>29</v>
      </c>
      <c r="D80" s="21" t="s">
        <v>29</v>
      </c>
      <c r="E80" s="21" t="s">
        <v>29</v>
      </c>
      <c r="F80" s="21" t="s">
        <v>183</v>
      </c>
      <c r="G80" s="21" t="s">
        <v>183</v>
      </c>
      <c r="H80" s="21" t="s">
        <v>184</v>
      </c>
      <c r="I80" s="106" t="s">
        <v>184</v>
      </c>
    </row>
    <row r="81" spans="1:9" x14ac:dyDescent="0.25">
      <c r="A81" s="41">
        <v>0</v>
      </c>
      <c r="B81" s="54" t="s">
        <v>80</v>
      </c>
      <c r="C81" s="14">
        <v>10</v>
      </c>
      <c r="D81" s="14">
        <v>10</v>
      </c>
      <c r="E81" s="14">
        <v>20</v>
      </c>
      <c r="F81" s="14"/>
      <c r="G81" s="14"/>
      <c r="H81" s="14"/>
      <c r="I81" s="71"/>
    </row>
    <row r="82" spans="1:9" x14ac:dyDescent="0.25">
      <c r="A82" s="17">
        <v>1</v>
      </c>
      <c r="B82" s="54" t="s">
        <v>81</v>
      </c>
      <c r="C82" s="29">
        <v>1</v>
      </c>
      <c r="D82" s="29">
        <v>12</v>
      </c>
      <c r="E82" s="29">
        <v>0</v>
      </c>
      <c r="F82" s="29"/>
      <c r="G82" s="29"/>
      <c r="H82" s="29"/>
      <c r="I82" s="64"/>
    </row>
    <row r="83" spans="1:9" x14ac:dyDescent="0.25">
      <c r="A83" s="36">
        <v>1</v>
      </c>
      <c r="B83" s="54" t="s">
        <v>82</v>
      </c>
      <c r="C83" s="23">
        <v>1</v>
      </c>
      <c r="D83" s="23">
        <v>0.5</v>
      </c>
      <c r="E83" s="23">
        <v>0.5</v>
      </c>
      <c r="F83" s="23"/>
      <c r="G83" s="23"/>
      <c r="H83" s="23"/>
      <c r="I83" s="77"/>
    </row>
    <row r="84" spans="1:9" x14ac:dyDescent="0.25">
      <c r="A84" s="37">
        <v>0</v>
      </c>
      <c r="B84" s="54" t="s">
        <v>83</v>
      </c>
      <c r="C84" s="38">
        <v>0</v>
      </c>
      <c r="D84" s="38">
        <v>0.01</v>
      </c>
      <c r="E84" s="38">
        <v>1.4999999999999999E-2</v>
      </c>
      <c r="F84" s="23"/>
      <c r="G84" s="23"/>
      <c r="H84" s="23"/>
      <c r="I84" s="77"/>
    </row>
    <row r="85" spans="1:9" x14ac:dyDescent="0.25">
      <c r="A85" s="17" t="s">
        <v>98</v>
      </c>
      <c r="B85" s="54" t="s">
        <v>84</v>
      </c>
      <c r="C85" s="21"/>
      <c r="D85" s="21"/>
      <c r="E85" s="21"/>
      <c r="F85" s="21"/>
      <c r="G85" s="21"/>
      <c r="H85" s="21" t="s">
        <v>176</v>
      </c>
      <c r="I85" s="106" t="s">
        <v>176</v>
      </c>
    </row>
    <row r="86" spans="1:9" x14ac:dyDescent="0.25">
      <c r="A86" s="36">
        <v>0</v>
      </c>
      <c r="B86" s="54" t="s">
        <v>85</v>
      </c>
      <c r="C86" s="23"/>
      <c r="D86" s="23"/>
      <c r="E86" s="23"/>
      <c r="F86" s="23"/>
      <c r="G86" s="21"/>
      <c r="H86" s="23">
        <v>-0.1</v>
      </c>
      <c r="I86" s="77">
        <v>0.2</v>
      </c>
    </row>
    <row r="87" spans="1:9" x14ac:dyDescent="0.25">
      <c r="A87" s="17" t="s">
        <v>98</v>
      </c>
      <c r="B87" s="54" t="s">
        <v>86</v>
      </c>
      <c r="C87" s="21"/>
      <c r="D87" s="21"/>
      <c r="E87" s="21"/>
      <c r="F87" s="21"/>
      <c r="G87" s="21"/>
      <c r="H87" s="21" t="s">
        <v>179</v>
      </c>
      <c r="I87" s="106" t="s">
        <v>179</v>
      </c>
    </row>
    <row r="88" spans="1:9" x14ac:dyDescent="0.25">
      <c r="A88" s="36">
        <v>0</v>
      </c>
      <c r="B88" s="54" t="s">
        <v>87</v>
      </c>
      <c r="C88" s="23"/>
      <c r="D88" s="23"/>
      <c r="E88" s="23"/>
      <c r="F88" s="23"/>
      <c r="G88" s="21"/>
      <c r="H88" s="23">
        <v>0.9</v>
      </c>
      <c r="I88" s="77">
        <v>0.3</v>
      </c>
    </row>
    <row r="89" spans="1:9" x14ac:dyDescent="0.25">
      <c r="A89" s="17" t="s">
        <v>98</v>
      </c>
      <c r="B89" s="54" t="s">
        <v>88</v>
      </c>
      <c r="C89" s="21"/>
      <c r="D89" s="21"/>
      <c r="E89" s="21"/>
      <c r="F89" s="21"/>
      <c r="G89" s="21"/>
      <c r="H89" s="21" t="s">
        <v>180</v>
      </c>
      <c r="I89" s="106" t="s">
        <v>180</v>
      </c>
    </row>
    <row r="90" spans="1:9" x14ac:dyDescent="0.25">
      <c r="A90" s="36">
        <v>0</v>
      </c>
      <c r="B90" s="54" t="s">
        <v>89</v>
      </c>
      <c r="C90" s="23"/>
      <c r="D90" s="23"/>
      <c r="E90" s="23"/>
      <c r="F90" s="23"/>
      <c r="G90" s="21"/>
      <c r="H90" s="23">
        <v>0.2</v>
      </c>
      <c r="I90" s="77">
        <v>0.5</v>
      </c>
    </row>
    <row r="91" spans="1:9" x14ac:dyDescent="0.25">
      <c r="A91" s="17" t="s">
        <v>94</v>
      </c>
      <c r="B91" s="54" t="s">
        <v>90</v>
      </c>
      <c r="C91" s="21"/>
      <c r="D91" s="21"/>
      <c r="E91" s="21"/>
      <c r="F91" s="21" t="s">
        <v>94</v>
      </c>
      <c r="G91" s="21" t="s">
        <v>185</v>
      </c>
      <c r="H91" s="21"/>
      <c r="I91" s="77"/>
    </row>
    <row r="92" spans="1:9" x14ac:dyDescent="0.25">
      <c r="A92" s="17" t="s">
        <v>98</v>
      </c>
      <c r="B92" s="54" t="s">
        <v>91</v>
      </c>
      <c r="C92" s="21"/>
      <c r="D92" s="21"/>
      <c r="E92" s="21"/>
      <c r="F92" s="21" t="s">
        <v>177</v>
      </c>
      <c r="G92" s="21" t="s">
        <v>177</v>
      </c>
      <c r="H92" s="21"/>
      <c r="I92" s="77"/>
    </row>
    <row r="93" spans="1:9" x14ac:dyDescent="0.25">
      <c r="A93" s="17" t="s">
        <v>98</v>
      </c>
      <c r="B93" s="54" t="s">
        <v>92</v>
      </c>
      <c r="C93" s="21"/>
      <c r="D93" s="21"/>
      <c r="E93" s="21"/>
      <c r="F93" s="21" t="s">
        <v>178</v>
      </c>
      <c r="G93" s="21" t="s">
        <v>178</v>
      </c>
      <c r="H93" s="21"/>
      <c r="I93" s="77"/>
    </row>
    <row r="94" spans="1:9" x14ac:dyDescent="0.25">
      <c r="A94" s="17" t="s">
        <v>98</v>
      </c>
      <c r="B94" s="56" t="s">
        <v>93</v>
      </c>
      <c r="C94" s="73"/>
      <c r="D94" s="73"/>
      <c r="E94" s="73"/>
      <c r="F94" s="73" t="s">
        <v>176</v>
      </c>
      <c r="G94" s="73" t="s">
        <v>176</v>
      </c>
      <c r="H94" s="73"/>
      <c r="I94" s="107"/>
    </row>
    <row r="96" spans="1:9" ht="13" x14ac:dyDescent="0.25">
      <c r="A96" s="30" t="s">
        <v>7</v>
      </c>
      <c r="B96" s="20" t="str">
        <f ca="1">GetNameRange(B97)</f>
        <v>AvrAmortznSch</v>
      </c>
      <c r="D96" s="14"/>
    </row>
    <row r="97" spans="1:4" ht="13" x14ac:dyDescent="0.25">
      <c r="A97" s="108" t="s">
        <v>105</v>
      </c>
      <c r="B97" s="50" t="s">
        <v>78</v>
      </c>
      <c r="C97" s="98" t="s">
        <v>173</v>
      </c>
      <c r="D97" s="98" t="s">
        <v>202</v>
      </c>
    </row>
    <row r="98" spans="1:4" ht="13" x14ac:dyDescent="0.25">
      <c r="A98" s="34"/>
      <c r="B98" s="43" t="s">
        <v>99</v>
      </c>
      <c r="C98" s="58"/>
      <c r="D98" s="58"/>
    </row>
    <row r="99" spans="1:4" x14ac:dyDescent="0.25">
      <c r="A99" s="37">
        <v>0</v>
      </c>
      <c r="B99" s="75">
        <v>1900</v>
      </c>
      <c r="C99" s="66">
        <v>0</v>
      </c>
      <c r="D99" s="66">
        <v>0</v>
      </c>
    </row>
    <row r="101" spans="1:4" ht="13" x14ac:dyDescent="0.25">
      <c r="A101" s="30" t="s">
        <v>7</v>
      </c>
      <c r="B101" s="20" t="str">
        <f ca="1">GetNameRange(B103)</f>
        <v>TaxableIncAddnUnamortzd</v>
      </c>
    </row>
    <row r="102" spans="1:4" ht="13" x14ac:dyDescent="0.25">
      <c r="A102" s="108" t="s">
        <v>105</v>
      </c>
      <c r="B102" s="50" t="s">
        <v>78</v>
      </c>
      <c r="C102" s="44" t="s">
        <v>173</v>
      </c>
      <c r="D102" s="44" t="s">
        <v>202</v>
      </c>
    </row>
    <row r="103" spans="1:4" ht="13" x14ac:dyDescent="0.25">
      <c r="B103" s="43" t="s">
        <v>9</v>
      </c>
      <c r="C103" s="58"/>
      <c r="D103" s="58"/>
    </row>
    <row r="104" spans="1:4" x14ac:dyDescent="0.25">
      <c r="A104" s="41">
        <v>0</v>
      </c>
      <c r="B104" s="45">
        <v>1</v>
      </c>
      <c r="C104" s="71">
        <v>0</v>
      </c>
      <c r="D104" s="71">
        <v>0</v>
      </c>
    </row>
    <row r="105" spans="1:4" x14ac:dyDescent="0.25">
      <c r="A105" s="41">
        <v>0</v>
      </c>
      <c r="B105" s="59">
        <v>2958101</v>
      </c>
      <c r="C105" s="74">
        <v>0</v>
      </c>
      <c r="D105" s="74">
        <v>0</v>
      </c>
    </row>
  </sheetData>
  <conditionalFormatting sqref="D99">
    <cfRule type="cellIs" dxfId="245" priority="371" operator="equal">
      <formula>""</formula>
    </cfRule>
    <cfRule type="cellIs" dxfId="244" priority="372" operator="notEqual">
      <formula>$A99</formula>
    </cfRule>
  </conditionalFormatting>
  <conditionalFormatting sqref="D104">
    <cfRule type="cellIs" dxfId="243" priority="367" operator="equal">
      <formula>""</formula>
    </cfRule>
    <cfRule type="cellIs" dxfId="242" priority="368" operator="notEqual">
      <formula>$A104</formula>
    </cfRule>
  </conditionalFormatting>
  <conditionalFormatting sqref="D105">
    <cfRule type="cellIs" dxfId="241" priority="363" operator="equal">
      <formula>""</formula>
    </cfRule>
    <cfRule type="cellIs" dxfId="240" priority="364" operator="notEqual">
      <formula>$A105</formula>
    </cfRule>
  </conditionalFormatting>
  <conditionalFormatting sqref="D36:D47 D58">
    <cfRule type="cellIs" dxfId="239" priority="157" operator="equal">
      <formula>""</formula>
    </cfRule>
    <cfRule type="cellIs" dxfId="238" priority="158" operator="notEqual">
      <formula>$A36</formula>
    </cfRule>
  </conditionalFormatting>
  <conditionalFormatting sqref="D62">
    <cfRule type="cellIs" dxfId="237" priority="131" operator="equal">
      <formula>""</formula>
    </cfRule>
    <cfRule type="cellIs" dxfId="236" priority="132" operator="notEqual">
      <formula>$A62</formula>
    </cfRule>
  </conditionalFormatting>
  <conditionalFormatting sqref="D14">
    <cfRule type="cellIs" dxfId="235" priority="155" operator="equal">
      <formula>""</formula>
    </cfRule>
    <cfRule type="cellIs" dxfId="234" priority="156" operator="notEqual">
      <formula>$A14</formula>
    </cfRule>
  </conditionalFormatting>
  <conditionalFormatting sqref="D23:D24">
    <cfRule type="cellIs" dxfId="233" priority="153" operator="equal">
      <formula>""</formula>
    </cfRule>
    <cfRule type="cellIs" dxfId="232" priority="154" operator="notEqual">
      <formula>$A23</formula>
    </cfRule>
  </conditionalFormatting>
  <conditionalFormatting sqref="D25">
    <cfRule type="cellIs" dxfId="231" priority="151" operator="equal">
      <formula>""</formula>
    </cfRule>
    <cfRule type="cellIs" dxfId="230" priority="152" operator="notEqual">
      <formula>$A25</formula>
    </cfRule>
  </conditionalFormatting>
  <conditionalFormatting sqref="D26">
    <cfRule type="cellIs" dxfId="229" priority="149" operator="equal">
      <formula>""</formula>
    </cfRule>
    <cfRule type="cellIs" dxfId="228" priority="150" operator="notEqual">
      <formula>$A26</formula>
    </cfRule>
  </conditionalFormatting>
  <conditionalFormatting sqref="D27">
    <cfRule type="cellIs" dxfId="227" priority="147" operator="equal">
      <formula>""</formula>
    </cfRule>
    <cfRule type="cellIs" dxfId="226" priority="148" operator="notEqual">
      <formula>$A27</formula>
    </cfRule>
  </conditionalFormatting>
  <conditionalFormatting sqref="D17">
    <cfRule type="cellIs" dxfId="225" priority="145" operator="equal">
      <formula>""</formula>
    </cfRule>
    <cfRule type="cellIs" dxfId="224" priority="146" operator="notEqual">
      <formula>$A17</formula>
    </cfRule>
  </conditionalFormatting>
  <conditionalFormatting sqref="D30">
    <cfRule type="cellIs" dxfId="223" priority="143" operator="equal">
      <formula>""</formula>
    </cfRule>
    <cfRule type="cellIs" dxfId="222" priority="144" operator="notEqual">
      <formula>$A30</formula>
    </cfRule>
  </conditionalFormatting>
  <conditionalFormatting sqref="D31:D33">
    <cfRule type="cellIs" dxfId="221" priority="141" operator="equal">
      <formula>""</formula>
    </cfRule>
    <cfRule type="cellIs" dxfId="220" priority="142" operator="notEqual">
      <formula>$A31</formula>
    </cfRule>
  </conditionalFormatting>
  <conditionalFormatting sqref="D59:D60">
    <cfRule type="cellIs" dxfId="219" priority="133" operator="equal">
      <formula>""</formula>
    </cfRule>
    <cfRule type="cellIs" dxfId="218" priority="134" operator="notEqual">
      <formula>$A59</formula>
    </cfRule>
  </conditionalFormatting>
  <conditionalFormatting sqref="D61">
    <cfRule type="cellIs" dxfId="217" priority="129" operator="equal">
      <formula>""</formula>
    </cfRule>
    <cfRule type="cellIs" dxfId="216" priority="130" operator="notEqual">
      <formula>$A61</formula>
    </cfRule>
  </conditionalFormatting>
  <conditionalFormatting sqref="D67:D68">
    <cfRule type="cellIs" dxfId="215" priority="127" operator="equal">
      <formula>""</formula>
    </cfRule>
    <cfRule type="cellIs" dxfId="214" priority="128" operator="notEqual">
      <formula>$A67</formula>
    </cfRule>
  </conditionalFormatting>
  <conditionalFormatting sqref="D66">
    <cfRule type="cellIs" dxfId="213" priority="125" operator="equal">
      <formula>""</formula>
    </cfRule>
    <cfRule type="cellIs" dxfId="212" priority="126" operator="notEqual">
      <formula>$A66</formula>
    </cfRule>
  </conditionalFormatting>
  <conditionalFormatting sqref="E73:E75">
    <cfRule type="cellIs" dxfId="211" priority="123" operator="equal">
      <formula>""</formula>
    </cfRule>
    <cfRule type="cellIs" dxfId="210" priority="124" operator="notEqual">
      <formula>$A73</formula>
    </cfRule>
  </conditionalFormatting>
  <conditionalFormatting sqref="C91:E91 H91">
    <cfRule type="cellIs" dxfId="209" priority="121" operator="equal">
      <formula>""</formula>
    </cfRule>
    <cfRule type="cellIs" dxfId="208" priority="122" operator="notEqual">
      <formula>$A91</formula>
    </cfRule>
  </conditionalFormatting>
  <conditionalFormatting sqref="C80:D80 F80:H80">
    <cfRule type="cellIs" dxfId="207" priority="119" operator="equal">
      <formula>""</formula>
    </cfRule>
    <cfRule type="cellIs" dxfId="206" priority="120" operator="notEqual">
      <formula>$A80</formula>
    </cfRule>
  </conditionalFormatting>
  <conditionalFormatting sqref="C85:F85 H85">
    <cfRule type="cellIs" dxfId="205" priority="117" operator="equal">
      <formula>""</formula>
    </cfRule>
    <cfRule type="cellIs" dxfId="204" priority="118" operator="notEqual">
      <formula>$A85</formula>
    </cfRule>
  </conditionalFormatting>
  <conditionalFormatting sqref="C87:F87 H87">
    <cfRule type="cellIs" dxfId="203" priority="115" operator="equal">
      <formula>""</formula>
    </cfRule>
    <cfRule type="cellIs" dxfId="202" priority="116" operator="notEqual">
      <formula>$A87</formula>
    </cfRule>
  </conditionalFormatting>
  <conditionalFormatting sqref="C89:F89 H89">
    <cfRule type="cellIs" dxfId="201" priority="113" operator="equal">
      <formula>""</formula>
    </cfRule>
    <cfRule type="cellIs" dxfId="200" priority="114" operator="notEqual">
      <formula>$A89</formula>
    </cfRule>
  </conditionalFormatting>
  <conditionalFormatting sqref="C81:D84 F81:H84">
    <cfRule type="cellIs" dxfId="199" priority="111" operator="equal">
      <formula>""</formula>
    </cfRule>
    <cfRule type="cellIs" dxfId="198" priority="112" operator="notEqual">
      <formula>$A81</formula>
    </cfRule>
  </conditionalFormatting>
  <conditionalFormatting sqref="C86:F86 H86">
    <cfRule type="cellIs" dxfId="197" priority="109" operator="equal">
      <formula>""</formula>
    </cfRule>
    <cfRule type="cellIs" dxfId="196" priority="110" operator="notEqual">
      <formula>$A86</formula>
    </cfRule>
  </conditionalFormatting>
  <conditionalFormatting sqref="C88:F88 H88">
    <cfRule type="cellIs" dxfId="195" priority="107" operator="equal">
      <formula>""</formula>
    </cfRule>
    <cfRule type="cellIs" dxfId="194" priority="108" operator="notEqual">
      <formula>$A88</formula>
    </cfRule>
  </conditionalFormatting>
  <conditionalFormatting sqref="C90:F90 H90">
    <cfRule type="cellIs" dxfId="193" priority="105" operator="equal">
      <formula>""</formula>
    </cfRule>
    <cfRule type="cellIs" dxfId="192" priority="106" operator="notEqual">
      <formula>$A90</formula>
    </cfRule>
  </conditionalFormatting>
  <conditionalFormatting sqref="C92:E94 H92:H94">
    <cfRule type="cellIs" dxfId="191" priority="103" operator="equal">
      <formula>""</formula>
    </cfRule>
    <cfRule type="cellIs" dxfId="190" priority="104" operator="notEqual">
      <formula>$A92</formula>
    </cfRule>
  </conditionalFormatting>
  <conditionalFormatting sqref="I91">
    <cfRule type="cellIs" dxfId="189" priority="93" operator="equal">
      <formula>""</formula>
    </cfRule>
    <cfRule type="cellIs" dxfId="188" priority="94" operator="notEqual">
      <formula>$A91</formula>
    </cfRule>
  </conditionalFormatting>
  <conditionalFormatting sqref="F91">
    <cfRule type="cellIs" dxfId="187" priority="99" operator="equal">
      <formula>""</formula>
    </cfRule>
    <cfRule type="cellIs" dxfId="186" priority="100" operator="notEqual">
      <formula>$A91</formula>
    </cfRule>
  </conditionalFormatting>
  <conditionalFormatting sqref="F92:F94">
    <cfRule type="cellIs" dxfId="185" priority="97" operator="equal">
      <formula>""</formula>
    </cfRule>
    <cfRule type="cellIs" dxfId="184" priority="98" operator="notEqual">
      <formula>$A92</formula>
    </cfRule>
  </conditionalFormatting>
  <conditionalFormatting sqref="I81:I84">
    <cfRule type="cellIs" dxfId="183" priority="101" operator="equal">
      <formula>""</formula>
    </cfRule>
    <cfRule type="cellIs" dxfId="182" priority="102" operator="notEqual">
      <formula>$A81</formula>
    </cfRule>
  </conditionalFormatting>
  <conditionalFormatting sqref="G92:G94">
    <cfRule type="cellIs" dxfId="181" priority="95" operator="equal">
      <formula>""</formula>
    </cfRule>
    <cfRule type="cellIs" dxfId="180" priority="96" operator="notEqual">
      <formula>$A92</formula>
    </cfRule>
  </conditionalFormatting>
  <conditionalFormatting sqref="I92">
    <cfRule type="cellIs" dxfId="179" priority="91" operator="equal">
      <formula>""</formula>
    </cfRule>
    <cfRule type="cellIs" dxfId="178" priority="92" operator="notEqual">
      <formula>$A92</formula>
    </cfRule>
  </conditionalFormatting>
  <conditionalFormatting sqref="I93">
    <cfRule type="cellIs" dxfId="177" priority="89" operator="equal">
      <formula>""</formula>
    </cfRule>
    <cfRule type="cellIs" dxfId="176" priority="90" operator="notEqual">
      <formula>$A93</formula>
    </cfRule>
  </conditionalFormatting>
  <conditionalFormatting sqref="I90">
    <cfRule type="cellIs" dxfId="175" priority="75" operator="equal">
      <formula>""</formula>
    </cfRule>
    <cfRule type="cellIs" dxfId="174" priority="76" operator="notEqual">
      <formula>$A90</formula>
    </cfRule>
  </conditionalFormatting>
  <conditionalFormatting sqref="G85:G90">
    <cfRule type="cellIs" dxfId="173" priority="87" operator="equal">
      <formula>""</formula>
    </cfRule>
    <cfRule type="cellIs" dxfId="172" priority="88" operator="notEqual">
      <formula>$A85</formula>
    </cfRule>
  </conditionalFormatting>
  <conditionalFormatting sqref="I94">
    <cfRule type="cellIs" dxfId="171" priority="73" operator="equal">
      <formula>""</formula>
    </cfRule>
    <cfRule type="cellIs" dxfId="170" priority="74" operator="notEqual">
      <formula>$A94</formula>
    </cfRule>
  </conditionalFormatting>
  <conditionalFormatting sqref="I85">
    <cfRule type="cellIs" dxfId="169" priority="85" operator="equal">
      <formula>""</formula>
    </cfRule>
    <cfRule type="cellIs" dxfId="168" priority="86" operator="notEqual">
      <formula>$A85</formula>
    </cfRule>
  </conditionalFormatting>
  <conditionalFormatting sqref="I87">
    <cfRule type="cellIs" dxfId="167" priority="83" operator="equal">
      <formula>""</formula>
    </cfRule>
    <cfRule type="cellIs" dxfId="166" priority="84" operator="notEqual">
      <formula>$A87</formula>
    </cfRule>
  </conditionalFormatting>
  <conditionalFormatting sqref="I89">
    <cfRule type="cellIs" dxfId="165" priority="81" operator="equal">
      <formula>""</formula>
    </cfRule>
    <cfRule type="cellIs" dxfId="164" priority="82" operator="notEqual">
      <formula>$A89</formula>
    </cfRule>
  </conditionalFormatting>
  <conditionalFormatting sqref="I86">
    <cfRule type="cellIs" dxfId="163" priority="79" operator="equal">
      <formula>""</formula>
    </cfRule>
    <cfRule type="cellIs" dxfId="162" priority="80" operator="notEqual">
      <formula>$A86</formula>
    </cfRule>
  </conditionalFormatting>
  <conditionalFormatting sqref="I88">
    <cfRule type="cellIs" dxfId="161" priority="77" operator="equal">
      <formula>""</formula>
    </cfRule>
    <cfRule type="cellIs" dxfId="160" priority="78" operator="notEqual">
      <formula>$A88</formula>
    </cfRule>
  </conditionalFormatting>
  <conditionalFormatting sqref="I80">
    <cfRule type="cellIs" dxfId="159" priority="71" operator="equal">
      <formula>""</formula>
    </cfRule>
    <cfRule type="cellIs" dxfId="158" priority="72" operator="notEqual">
      <formula>$A80</formula>
    </cfRule>
  </conditionalFormatting>
  <conditionalFormatting sqref="G91">
    <cfRule type="cellIs" dxfId="157" priority="69" operator="equal">
      <formula>""</formula>
    </cfRule>
    <cfRule type="cellIs" dxfId="156" priority="70" operator="notEqual">
      <formula>$A91</formula>
    </cfRule>
  </conditionalFormatting>
  <conditionalFormatting sqref="E80:E84">
    <cfRule type="cellIs" dxfId="155" priority="67" operator="equal">
      <formula>""</formula>
    </cfRule>
    <cfRule type="cellIs" dxfId="154" priority="68" operator="notEqual">
      <formula>$A80</formula>
    </cfRule>
  </conditionalFormatting>
  <conditionalFormatting sqref="D20">
    <cfRule type="cellIs" dxfId="153" priority="65" operator="equal">
      <formula>""</formula>
    </cfRule>
    <cfRule type="cellIs" dxfId="152" priority="66" operator="notEqual">
      <formula>$A20</formula>
    </cfRule>
  </conditionalFormatting>
  <conditionalFormatting sqref="C73:D75">
    <cfRule type="cellIs" dxfId="151" priority="55" operator="equal">
      <formula>""</formula>
    </cfRule>
    <cfRule type="cellIs" dxfId="150" priority="56" operator="notEqual">
      <formula>$A73</formula>
    </cfRule>
  </conditionalFormatting>
  <conditionalFormatting sqref="C36:C47 C58">
    <cfRule type="cellIs" dxfId="149" priority="53" operator="equal">
      <formula>""</formula>
    </cfRule>
    <cfRule type="cellIs" dxfId="148" priority="54" operator="notEqual">
      <formula>$A36</formula>
    </cfRule>
  </conditionalFormatting>
  <conditionalFormatting sqref="C62">
    <cfRule type="cellIs" dxfId="147" priority="27" operator="equal">
      <formula>""</formula>
    </cfRule>
    <cfRule type="cellIs" dxfId="146" priority="28" operator="notEqual">
      <formula>$A62</formula>
    </cfRule>
  </conditionalFormatting>
  <conditionalFormatting sqref="C14">
    <cfRule type="cellIs" dxfId="145" priority="51" operator="equal">
      <formula>""</formula>
    </cfRule>
    <cfRule type="cellIs" dxfId="144" priority="52" operator="notEqual">
      <formula>$A14</formula>
    </cfRule>
  </conditionalFormatting>
  <conditionalFormatting sqref="C23:C24">
    <cfRule type="cellIs" dxfId="143" priority="49" operator="equal">
      <formula>""</formula>
    </cfRule>
    <cfRule type="cellIs" dxfId="142" priority="50" operator="notEqual">
      <formula>$A23</formula>
    </cfRule>
  </conditionalFormatting>
  <conditionalFormatting sqref="C25">
    <cfRule type="cellIs" dxfId="141" priority="47" operator="equal">
      <formula>""</formula>
    </cfRule>
    <cfRule type="cellIs" dxfId="140" priority="48" operator="notEqual">
      <formula>$A25</formula>
    </cfRule>
  </conditionalFormatting>
  <conditionalFormatting sqref="C26">
    <cfRule type="cellIs" dxfId="139" priority="45" operator="equal">
      <formula>""</formula>
    </cfRule>
    <cfRule type="cellIs" dxfId="138" priority="46" operator="notEqual">
      <formula>$A26</formula>
    </cfRule>
  </conditionalFormatting>
  <conditionalFormatting sqref="C27">
    <cfRule type="cellIs" dxfId="137" priority="43" operator="equal">
      <formula>""</formula>
    </cfRule>
    <cfRule type="cellIs" dxfId="136" priority="44" operator="notEqual">
      <formula>$A27</formula>
    </cfRule>
  </conditionalFormatting>
  <conditionalFormatting sqref="C17">
    <cfRule type="cellIs" dxfId="135" priority="41" operator="equal">
      <formula>""</formula>
    </cfRule>
    <cfRule type="cellIs" dxfId="134" priority="42" operator="notEqual">
      <formula>$A17</formula>
    </cfRule>
  </conditionalFormatting>
  <conditionalFormatting sqref="C30">
    <cfRule type="cellIs" dxfId="133" priority="39" operator="equal">
      <formula>""</formula>
    </cfRule>
    <cfRule type="cellIs" dxfId="132" priority="40" operator="notEqual">
      <formula>$A30</formula>
    </cfRule>
  </conditionalFormatting>
  <conditionalFormatting sqref="C31:C33">
    <cfRule type="cellIs" dxfId="131" priority="37" operator="equal">
      <formula>""</formula>
    </cfRule>
    <cfRule type="cellIs" dxfId="130" priority="38" operator="notEqual">
      <formula>$A31</formula>
    </cfRule>
  </conditionalFormatting>
  <conditionalFormatting sqref="C59:C60">
    <cfRule type="cellIs" dxfId="129" priority="29" operator="equal">
      <formula>""</formula>
    </cfRule>
    <cfRule type="cellIs" dxfId="128" priority="30" operator="notEqual">
      <formula>$A59</formula>
    </cfRule>
  </conditionalFormatting>
  <conditionalFormatting sqref="C61">
    <cfRule type="cellIs" dxfId="127" priority="25" operator="equal">
      <formula>""</formula>
    </cfRule>
    <cfRule type="cellIs" dxfId="126" priority="26" operator="notEqual">
      <formula>$A61</formula>
    </cfRule>
  </conditionalFormatting>
  <conditionalFormatting sqref="C67:C68">
    <cfRule type="cellIs" dxfId="125" priority="23" operator="equal">
      <formula>""</formula>
    </cfRule>
    <cfRule type="cellIs" dxfId="124" priority="24" operator="notEqual">
      <formula>$A67</formula>
    </cfRule>
  </conditionalFormatting>
  <conditionalFormatting sqref="C66">
    <cfRule type="cellIs" dxfId="123" priority="21" operator="equal">
      <formula>""</formula>
    </cfRule>
    <cfRule type="cellIs" dxfId="122" priority="22" operator="notEqual">
      <formula>$A66</formula>
    </cfRule>
  </conditionalFormatting>
  <conditionalFormatting sqref="C20">
    <cfRule type="cellIs" dxfId="121" priority="19" operator="equal">
      <formula>""</formula>
    </cfRule>
    <cfRule type="cellIs" dxfId="120" priority="20" operator="notEqual">
      <formula>$A20</formula>
    </cfRule>
  </conditionalFormatting>
  <conditionalFormatting sqref="C99">
    <cfRule type="cellIs" dxfId="119" priority="17" operator="equal">
      <formula>""</formula>
    </cfRule>
    <cfRule type="cellIs" dxfId="118" priority="18" operator="notEqual">
      <formula>$A99</formula>
    </cfRule>
  </conditionalFormatting>
  <conditionalFormatting sqref="C104">
    <cfRule type="cellIs" dxfId="117" priority="15" operator="equal">
      <formula>""</formula>
    </cfRule>
    <cfRule type="cellIs" dxfId="116" priority="16" operator="notEqual">
      <formula>$A104</formula>
    </cfRule>
  </conditionalFormatting>
  <conditionalFormatting sqref="C105">
    <cfRule type="cellIs" dxfId="115" priority="13" operator="equal">
      <formula>""</formula>
    </cfRule>
    <cfRule type="cellIs" dxfId="114" priority="14" operator="notEqual">
      <formula>$A105</formula>
    </cfRule>
  </conditionalFormatting>
  <conditionalFormatting sqref="D52">
    <cfRule type="cellIs" dxfId="113" priority="11" operator="equal">
      <formula>""</formula>
    </cfRule>
    <cfRule type="cellIs" dxfId="112" priority="12" operator="notEqual">
      <formula>$A52</formula>
    </cfRule>
  </conditionalFormatting>
  <conditionalFormatting sqref="D48:D51">
    <cfRule type="cellIs" dxfId="111" priority="9" operator="equal">
      <formula>""</formula>
    </cfRule>
    <cfRule type="cellIs" dxfId="110" priority="10" operator="notEqual">
      <formula>$A48</formula>
    </cfRule>
  </conditionalFormatting>
  <conditionalFormatting sqref="D55">
    <cfRule type="cellIs" dxfId="109" priority="7" operator="equal">
      <formula>""</formula>
    </cfRule>
    <cfRule type="cellIs" dxfId="108" priority="8" operator="notEqual">
      <formula>$A55</formula>
    </cfRule>
  </conditionalFormatting>
  <conditionalFormatting sqref="C52">
    <cfRule type="cellIs" dxfId="107" priority="5" operator="equal">
      <formula>""</formula>
    </cfRule>
    <cfRule type="cellIs" dxfId="106" priority="6" operator="notEqual">
      <formula>$A52</formula>
    </cfRule>
  </conditionalFormatting>
  <conditionalFormatting sqref="C48:C51">
    <cfRule type="cellIs" dxfId="105" priority="3" operator="equal">
      <formula>""</formula>
    </cfRule>
    <cfRule type="cellIs" dxfId="104" priority="4" operator="notEqual">
      <formula>$A48</formula>
    </cfRule>
  </conditionalFormatting>
  <conditionalFormatting sqref="C55">
    <cfRule type="cellIs" dxfId="103" priority="1" operator="equal">
      <formula>""</formula>
    </cfRule>
    <cfRule type="cellIs" dxfId="102" priority="2" operator="notEqual">
      <formula>$A55</formula>
    </cfRule>
  </conditionalFormatting>
  <dataValidations count="8">
    <dataValidation type="list" allowBlank="1" showInputMessage="1" showErrorMessage="1" sqref="A66 C66:D66" xr:uid="{00000000-0002-0000-0200-000000000000}">
      <formula1>"Quarterly,Annual,Monthly"</formula1>
    </dataValidation>
    <dataValidation type="list" allowBlank="1" showInputMessage="1" showErrorMessage="1" sqref="A58 C58:D58" xr:uid="{00000000-0002-0000-0200-000001000000}">
      <formula1>"Immediate Loss Recognition,Tax Loss Carryforward,Zero Tax"</formula1>
    </dataValidation>
    <dataValidation type="list" allowBlank="1" showInputMessage="1" showErrorMessage="1" sqref="C23:D24 C30:D30" xr:uid="{00000000-0002-0000-0200-000002000000}">
      <formula1>"No,Yes"</formula1>
    </dataValidation>
    <dataValidation type="list" allowBlank="1" showInputMessage="1" showErrorMessage="1" sqref="C63:D63" xr:uid="{00000000-0002-0000-0200-000003000000}">
      <formula1>"Deductible,Nondeductible"</formula1>
    </dataValidation>
    <dataValidation type="list" allowBlank="1" showInputMessage="1" showErrorMessage="1" sqref="C47:D47" xr:uid="{00000000-0002-0000-0200-000004000000}">
      <formula1>"Low,Medium,High"</formula1>
    </dataValidation>
    <dataValidation type="list" allowBlank="1" showInputMessage="1" showErrorMessage="1" sqref="F91:G91" xr:uid="{00000000-0002-0000-0200-000005000000}">
      <formula1>"Maximum Rate,Minimum Rate"</formula1>
    </dataValidation>
    <dataValidation type="list" allowBlank="1" showInputMessage="1" showErrorMessage="1" sqref="C80:I80" xr:uid="{00000000-0002-0000-0200-000006000000}">
      <formula1>"Single,Compared,Weighted"</formula1>
    </dataValidation>
    <dataValidation type="list" allowBlank="1" showInputMessage="1" showErrorMessage="1" sqref="C20:D20" xr:uid="{00000000-0002-0000-0200-000007000000}">
      <formula1>"SA Fund Value,Min SA Fund Value And Basic Reserve,Min SA Fund Value And Allocated Basic Reserve"</formula1>
    </dataValidation>
  </dataValidations>
  <hyperlinks>
    <hyperlink ref="A1" location="'Table of Contents'!A1" display="Go to TOC" xr:uid="{00000000-0004-0000-0200-000000000000}"/>
    <hyperlink ref="B25" location="AvrAmortznSch" display="avr_amortzn_sch" xr:uid="{00000000-0004-0000-0200-000001000000}"/>
    <hyperlink ref="B61" location="TaxableIncAddnUnamortzd" display="taxable_inc_addn_unamortzd" xr:uid="{00000000-0004-0000-0200-000002000000}"/>
    <hyperlink ref="B14" location="DiscRates" display="[See below]" xr:uid="{00000000-0004-0000-0200-000003000000}"/>
    <hyperlink ref="B17" location="CompRates" display="[See below]" xr:uid="{00000000-0004-0000-0200-000004000000}"/>
    <hyperlink ref="A70" location="'Table of Contents'!A1" display="Go to TOC" xr:uid="{00000000-0004-0000-0200-000005000000}"/>
    <hyperlink ref="A71" location="Company!B14" display="Back to Main" xr:uid="{00000000-0004-0000-0200-000006000000}"/>
    <hyperlink ref="A77" location="'Table of Contents'!A1" display="Go to TOC" xr:uid="{00000000-0004-0000-0200-000007000000}"/>
    <hyperlink ref="A78" location="Company!B17" display="Back to Main" xr:uid="{00000000-0004-0000-0200-000008000000}"/>
    <hyperlink ref="A96" location="'Table of Contents'!A1" display="Go to TOC" xr:uid="{00000000-0004-0000-0200-000009000000}"/>
    <hyperlink ref="A101" location="'Table of Contents'!A1" display="Go to TOC" xr:uid="{00000000-0004-0000-0200-00000A000000}"/>
    <hyperlink ref="A97" location="Company!B22" display="Back to Main" xr:uid="{00000000-0004-0000-0200-00000B000000}"/>
    <hyperlink ref="A102" location="Company!B58" display="Back to Main" xr:uid="{00000000-0004-0000-0200-00000C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6"/>
  <sheetViews>
    <sheetView showGridLines="0" workbookViewId="0">
      <pane xSplit="2" ySplit="6" topLeftCell="C17" activePane="bottomRight" state="frozen"/>
      <selection pane="topRight" activeCell="C1" sqref="C1"/>
      <selection pane="bottomLeft" activeCell="A6" sqref="A6"/>
      <selection pane="bottomRight" activeCell="D4" sqref="D4"/>
    </sheetView>
  </sheetViews>
  <sheetFormatPr defaultColWidth="15.7265625" defaultRowHeight="12.5" x14ac:dyDescent="0.25"/>
  <cols>
    <col min="1" max="1" width="15.7265625" style="17"/>
    <col min="2" max="2" width="30.7265625" style="17" customWidth="1"/>
    <col min="3" max="3" width="23.7265625" style="12" customWidth="1"/>
    <col min="4" max="4" width="15.7265625" style="12"/>
    <col min="5" max="6" width="21.453125" style="12" bestFit="1" customWidth="1"/>
    <col min="7" max="16384" width="15.7265625" style="12"/>
  </cols>
  <sheetData>
    <row r="1" spans="1:5" ht="15.5" x14ac:dyDescent="0.25">
      <c r="A1" s="16" t="s">
        <v>7</v>
      </c>
      <c r="B1" s="15" t="s">
        <v>117</v>
      </c>
      <c r="C1" s="13"/>
      <c r="E1" s="13"/>
    </row>
    <row r="2" spans="1:5" ht="15.5" x14ac:dyDescent="0.25">
      <c r="A2" s="16"/>
      <c r="B2" s="15"/>
      <c r="C2" s="13"/>
      <c r="E2" s="13"/>
    </row>
    <row r="3" spans="1:5" ht="13" x14ac:dyDescent="0.25">
      <c r="B3" s="35" t="str">
        <f ca="1">GetNameRange(B4)</f>
        <v>Segment</v>
      </c>
    </row>
    <row r="4" spans="1:5" ht="13" x14ac:dyDescent="0.25">
      <c r="A4" s="22"/>
      <c r="B4" s="50" t="s">
        <v>78</v>
      </c>
      <c r="C4" s="44" t="s">
        <v>173</v>
      </c>
      <c r="D4" s="44" t="s">
        <v>202</v>
      </c>
    </row>
    <row r="5" spans="1:5" ht="13" x14ac:dyDescent="0.25">
      <c r="A5" s="22"/>
      <c r="B5" s="78" t="s">
        <v>101</v>
      </c>
      <c r="C5" s="79" t="s">
        <v>49</v>
      </c>
      <c r="D5" s="79" t="s">
        <v>49</v>
      </c>
    </row>
    <row r="6" spans="1:5" ht="13" x14ac:dyDescent="0.25">
      <c r="A6" s="22" t="s">
        <v>6</v>
      </c>
      <c r="B6" s="43" t="s">
        <v>0</v>
      </c>
      <c r="C6" s="58"/>
      <c r="D6" s="58"/>
    </row>
    <row r="7" spans="1:5" s="25" customFormat="1" ht="13" x14ac:dyDescent="0.25">
      <c r="A7" s="17"/>
      <c r="B7" s="52"/>
      <c r="C7" s="51"/>
      <c r="D7" s="51"/>
    </row>
    <row r="8" spans="1:5" s="25" customFormat="1" ht="13" x14ac:dyDescent="0.25">
      <c r="A8" s="17"/>
      <c r="B8" s="52" t="s">
        <v>50</v>
      </c>
      <c r="C8" s="51"/>
      <c r="D8" s="51"/>
    </row>
    <row r="9" spans="1:5" s="25" customFormat="1" x14ac:dyDescent="0.25">
      <c r="A9" s="40" t="s">
        <v>98</v>
      </c>
      <c r="B9" s="54" t="s">
        <v>111</v>
      </c>
      <c r="C9" s="71" t="s">
        <v>98</v>
      </c>
      <c r="D9" s="71" t="s">
        <v>98</v>
      </c>
    </row>
    <row r="10" spans="1:5" s="25" customFormat="1" x14ac:dyDescent="0.25">
      <c r="A10" s="40" t="s">
        <v>98</v>
      </c>
      <c r="B10" s="54" t="s">
        <v>112</v>
      </c>
      <c r="C10" s="71" t="s">
        <v>98</v>
      </c>
      <c r="D10" s="71" t="s">
        <v>98</v>
      </c>
    </row>
    <row r="11" spans="1:5" s="25" customFormat="1" x14ac:dyDescent="0.25">
      <c r="A11" s="40" t="s">
        <v>98</v>
      </c>
      <c r="B11" s="54" t="s">
        <v>113</v>
      </c>
      <c r="C11" s="71" t="s">
        <v>98</v>
      </c>
      <c r="D11" s="71" t="s">
        <v>98</v>
      </c>
    </row>
    <row r="12" spans="1:5" s="25" customFormat="1" x14ac:dyDescent="0.25">
      <c r="A12" s="40" t="s">
        <v>98</v>
      </c>
      <c r="B12" s="54" t="s">
        <v>114</v>
      </c>
      <c r="C12" s="71" t="s">
        <v>98</v>
      </c>
      <c r="D12" s="71" t="s">
        <v>98</v>
      </c>
    </row>
    <row r="13" spans="1:5" s="25" customFormat="1" x14ac:dyDescent="0.25">
      <c r="A13" s="40" t="s">
        <v>98</v>
      </c>
      <c r="B13" s="54" t="s">
        <v>115</v>
      </c>
      <c r="C13" s="71" t="s">
        <v>98</v>
      </c>
      <c r="D13" s="71" t="s">
        <v>98</v>
      </c>
    </row>
    <row r="14" spans="1:5" s="25" customFormat="1" x14ac:dyDescent="0.25">
      <c r="A14" s="40" t="s">
        <v>98</v>
      </c>
      <c r="B14" s="54" t="s">
        <v>189</v>
      </c>
      <c r="C14" s="71" t="s">
        <v>98</v>
      </c>
      <c r="D14" s="71" t="s">
        <v>98</v>
      </c>
    </row>
    <row r="15" spans="1:5" s="25" customFormat="1" x14ac:dyDescent="0.25">
      <c r="A15" s="40" t="s">
        <v>98</v>
      </c>
      <c r="B15" s="54" t="s">
        <v>116</v>
      </c>
      <c r="C15" s="110" t="s">
        <v>98</v>
      </c>
      <c r="D15" s="110" t="s">
        <v>98</v>
      </c>
    </row>
    <row r="16" spans="1:5" s="25" customFormat="1" ht="13" x14ac:dyDescent="0.25">
      <c r="A16" s="17"/>
      <c r="B16" s="52"/>
      <c r="C16" s="51"/>
      <c r="D16" s="51"/>
    </row>
    <row r="17" spans="1:4" s="25" customFormat="1" ht="13" x14ac:dyDescent="0.25">
      <c r="A17" s="17"/>
      <c r="B17" s="52" t="s">
        <v>53</v>
      </c>
      <c r="C17" s="51"/>
      <c r="D17" s="51"/>
    </row>
    <row r="18" spans="1:4" s="25" customFormat="1" x14ac:dyDescent="0.25">
      <c r="A18" s="41">
        <v>0</v>
      </c>
      <c r="B18" s="54" t="s">
        <v>54</v>
      </c>
      <c r="C18" s="89">
        <v>0</v>
      </c>
      <c r="D18" s="89">
        <v>0</v>
      </c>
    </row>
    <row r="19" spans="1:4" s="25" customFormat="1" x14ac:dyDescent="0.25">
      <c r="A19" s="17" t="s">
        <v>57</v>
      </c>
      <c r="B19" s="54" t="s">
        <v>56</v>
      </c>
      <c r="C19" s="71" t="s">
        <v>186</v>
      </c>
      <c r="D19" s="71" t="s">
        <v>186</v>
      </c>
    </row>
    <row r="20" spans="1:4" s="25" customFormat="1" x14ac:dyDescent="0.25">
      <c r="A20" s="37">
        <v>1</v>
      </c>
      <c r="B20" s="54" t="s">
        <v>55</v>
      </c>
      <c r="C20" s="92">
        <v>1</v>
      </c>
      <c r="D20" s="92">
        <v>1</v>
      </c>
    </row>
    <row r="21" spans="1:4" s="25" customFormat="1" ht="13" x14ac:dyDescent="0.25">
      <c r="A21" s="17"/>
      <c r="B21" s="52"/>
      <c r="C21" s="51"/>
      <c r="D21" s="51"/>
    </row>
    <row r="22" spans="1:4" ht="13" x14ac:dyDescent="0.25">
      <c r="B22" s="53" t="s">
        <v>8</v>
      </c>
      <c r="C22" s="51"/>
      <c r="D22" s="51"/>
    </row>
    <row r="23" spans="1:4" x14ac:dyDescent="0.25">
      <c r="A23" s="17" t="s">
        <v>98</v>
      </c>
      <c r="B23" s="54" t="s">
        <v>10</v>
      </c>
      <c r="C23" s="71" t="s">
        <v>177</v>
      </c>
      <c r="D23" s="71" t="s">
        <v>177</v>
      </c>
    </row>
    <row r="24" spans="1:4" x14ac:dyDescent="0.25">
      <c r="A24" s="37">
        <v>0</v>
      </c>
      <c r="B24" s="55" t="s">
        <v>11</v>
      </c>
      <c r="C24" s="95" t="s">
        <v>60</v>
      </c>
      <c r="D24" s="95" t="s">
        <v>60</v>
      </c>
    </row>
    <row r="25" spans="1:4" s="25" customFormat="1" x14ac:dyDescent="0.25">
      <c r="A25" s="36">
        <v>1</v>
      </c>
      <c r="B25" s="54" t="s">
        <v>151</v>
      </c>
      <c r="C25" s="57">
        <v>1</v>
      </c>
      <c r="D25" s="57">
        <v>1</v>
      </c>
    </row>
    <row r="26" spans="1:4" s="25" customFormat="1" x14ac:dyDescent="0.25">
      <c r="A26" s="37">
        <v>0</v>
      </c>
      <c r="B26" s="54" t="s">
        <v>152</v>
      </c>
      <c r="C26" s="92">
        <v>0</v>
      </c>
      <c r="D26" s="92">
        <v>0</v>
      </c>
    </row>
    <row r="27" spans="1:4" x14ac:dyDescent="0.25">
      <c r="B27" s="61"/>
      <c r="C27" s="51"/>
      <c r="D27" s="51"/>
    </row>
    <row r="28" spans="1:4" ht="13" x14ac:dyDescent="0.25">
      <c r="B28" s="53" t="s">
        <v>63</v>
      </c>
      <c r="C28" s="51"/>
      <c r="D28" s="51"/>
    </row>
    <row r="29" spans="1:4" x14ac:dyDescent="0.25">
      <c r="A29" s="26" t="s">
        <v>62</v>
      </c>
      <c r="B29" s="54" t="s">
        <v>61</v>
      </c>
      <c r="C29" s="96" t="s">
        <v>62</v>
      </c>
      <c r="D29" s="96" t="s">
        <v>62</v>
      </c>
    </row>
    <row r="30" spans="1:4" x14ac:dyDescent="0.25">
      <c r="A30" s="41">
        <v>0</v>
      </c>
      <c r="B30" s="55" t="s">
        <v>106</v>
      </c>
      <c r="C30" s="95" t="s">
        <v>60</v>
      </c>
      <c r="D30" s="95" t="s">
        <v>60</v>
      </c>
    </row>
    <row r="31" spans="1:4" x14ac:dyDescent="0.25">
      <c r="B31" s="61"/>
      <c r="C31" s="51"/>
      <c r="D31" s="51"/>
    </row>
    <row r="32" spans="1:4" ht="13" x14ac:dyDescent="0.25">
      <c r="B32" s="53" t="s">
        <v>64</v>
      </c>
      <c r="C32" s="51"/>
      <c r="D32" s="51"/>
    </row>
    <row r="33" spans="1:4" x14ac:dyDescent="0.25">
      <c r="A33" s="41">
        <v>0</v>
      </c>
      <c r="B33" s="54" t="s">
        <v>69</v>
      </c>
      <c r="C33" s="71">
        <v>0</v>
      </c>
      <c r="D33" s="71">
        <v>0</v>
      </c>
    </row>
    <row r="34" spans="1:4" x14ac:dyDescent="0.25">
      <c r="A34" s="41">
        <v>0</v>
      </c>
      <c r="B34" s="54" t="s">
        <v>70</v>
      </c>
      <c r="C34" s="71">
        <v>0</v>
      </c>
      <c r="D34" s="71">
        <v>0</v>
      </c>
    </row>
    <row r="35" spans="1:4" x14ac:dyDescent="0.25">
      <c r="A35" s="41">
        <v>0</v>
      </c>
      <c r="B35" s="54" t="s">
        <v>71</v>
      </c>
      <c r="C35" s="71">
        <v>0</v>
      </c>
      <c r="D35" s="71">
        <v>0</v>
      </c>
    </row>
    <row r="36" spans="1:4" x14ac:dyDescent="0.25">
      <c r="A36" s="41">
        <v>0</v>
      </c>
      <c r="B36" s="54" t="s">
        <v>72</v>
      </c>
      <c r="C36" s="71">
        <v>0</v>
      </c>
      <c r="D36" s="71">
        <v>0</v>
      </c>
    </row>
    <row r="37" spans="1:4" x14ac:dyDescent="0.25">
      <c r="B37" s="61"/>
      <c r="C37" s="51"/>
      <c r="D37" s="51"/>
    </row>
    <row r="38" spans="1:4" ht="13" x14ac:dyDescent="0.25">
      <c r="B38" s="53" t="s">
        <v>74</v>
      </c>
      <c r="C38" s="51"/>
      <c r="D38" s="51"/>
    </row>
    <row r="39" spans="1:4" x14ac:dyDescent="0.25">
      <c r="A39" s="41">
        <v>0</v>
      </c>
      <c r="B39" s="54" t="s">
        <v>76</v>
      </c>
      <c r="C39" s="71">
        <v>0</v>
      </c>
      <c r="D39" s="71">
        <v>0</v>
      </c>
    </row>
    <row r="40" spans="1:4" x14ac:dyDescent="0.25">
      <c r="A40" s="41">
        <v>0</v>
      </c>
      <c r="B40" s="55" t="s">
        <v>77</v>
      </c>
      <c r="C40" s="95" t="s">
        <v>60</v>
      </c>
      <c r="D40" s="95" t="s">
        <v>60</v>
      </c>
    </row>
    <row r="41" spans="1:4" x14ac:dyDescent="0.25">
      <c r="B41" s="69"/>
      <c r="C41" s="51"/>
      <c r="D41" s="51"/>
    </row>
    <row r="42" spans="1:4" ht="13" x14ac:dyDescent="0.25">
      <c r="B42" s="53" t="s">
        <v>107</v>
      </c>
      <c r="C42" s="51"/>
      <c r="D42" s="51"/>
    </row>
    <row r="43" spans="1:4" x14ac:dyDescent="0.25">
      <c r="A43" s="37">
        <v>1</v>
      </c>
      <c r="B43" s="54" t="s">
        <v>109</v>
      </c>
      <c r="C43" s="92">
        <v>1</v>
      </c>
      <c r="D43" s="92">
        <v>1</v>
      </c>
    </row>
    <row r="44" spans="1:4" x14ac:dyDescent="0.25">
      <c r="B44" s="61"/>
      <c r="C44" s="51"/>
      <c r="D44" s="51"/>
    </row>
    <row r="45" spans="1:4" ht="13" x14ac:dyDescent="0.25">
      <c r="B45" s="53" t="s">
        <v>108</v>
      </c>
      <c r="C45" s="51"/>
      <c r="D45" s="51"/>
    </row>
    <row r="46" spans="1:4" x14ac:dyDescent="0.25">
      <c r="A46" s="41">
        <v>0</v>
      </c>
      <c r="B46" s="63" t="s">
        <v>44</v>
      </c>
      <c r="C46" s="97" t="s">
        <v>60</v>
      </c>
      <c r="D46" s="97" t="s">
        <v>60</v>
      </c>
    </row>
    <row r="48" spans="1:4" ht="13" x14ac:dyDescent="0.25">
      <c r="A48" s="30" t="s">
        <v>7</v>
      </c>
      <c r="B48" s="20" t="str">
        <f ca="1">GetNameRange(B51)</f>
        <v>AssetYldDeterministic</v>
      </c>
    </row>
    <row r="49" spans="1:5" ht="13" x14ac:dyDescent="0.25">
      <c r="A49" s="49" t="s">
        <v>105</v>
      </c>
      <c r="B49" s="50" t="s">
        <v>78</v>
      </c>
      <c r="C49" s="81" t="s">
        <v>173</v>
      </c>
      <c r="D49" s="44" t="s">
        <v>202</v>
      </c>
    </row>
    <row r="50" spans="1:5" ht="13" x14ac:dyDescent="0.25">
      <c r="B50" s="78" t="s">
        <v>101</v>
      </c>
      <c r="C50" s="79" t="s">
        <v>49</v>
      </c>
      <c r="D50" s="79" t="s">
        <v>49</v>
      </c>
    </row>
    <row r="51" spans="1:5" ht="13" x14ac:dyDescent="0.25">
      <c r="B51" s="43" t="s">
        <v>9</v>
      </c>
      <c r="C51" s="82"/>
      <c r="D51" s="82"/>
    </row>
    <row r="52" spans="1:5" x14ac:dyDescent="0.25">
      <c r="A52" s="37">
        <v>0</v>
      </c>
      <c r="B52" s="45">
        <v>1</v>
      </c>
      <c r="C52" s="83">
        <v>0</v>
      </c>
      <c r="D52" s="83">
        <v>0</v>
      </c>
    </row>
    <row r="53" spans="1:5" x14ac:dyDescent="0.25">
      <c r="A53" s="37">
        <v>0</v>
      </c>
      <c r="B53" s="59">
        <v>2958101</v>
      </c>
      <c r="C53" s="84">
        <v>0</v>
      </c>
      <c r="D53" s="84">
        <v>0</v>
      </c>
    </row>
    <row r="55" spans="1:5" ht="13" x14ac:dyDescent="0.25">
      <c r="A55" s="30" t="s">
        <v>7</v>
      </c>
      <c r="B55" s="20" t="str">
        <f ca="1">GetNameRange(B58)</f>
        <v>MaintExpFixed</v>
      </c>
    </row>
    <row r="56" spans="1:5" ht="13" x14ac:dyDescent="0.25">
      <c r="A56" s="49" t="s">
        <v>105</v>
      </c>
      <c r="B56" s="50" t="s">
        <v>78</v>
      </c>
      <c r="C56" s="80" t="s">
        <v>173</v>
      </c>
      <c r="D56" s="44" t="s">
        <v>202</v>
      </c>
    </row>
    <row r="57" spans="1:5" ht="13" x14ac:dyDescent="0.25">
      <c r="B57" s="78" t="s">
        <v>101</v>
      </c>
      <c r="C57" s="79" t="s">
        <v>49</v>
      </c>
      <c r="D57" s="79" t="s">
        <v>49</v>
      </c>
    </row>
    <row r="58" spans="1:5" ht="13" x14ac:dyDescent="0.25">
      <c r="B58" s="43" t="s">
        <v>9</v>
      </c>
      <c r="C58" s="46"/>
      <c r="D58" s="46"/>
    </row>
    <row r="59" spans="1:5" x14ac:dyDescent="0.25">
      <c r="A59" s="42">
        <v>0</v>
      </c>
      <c r="B59" s="45">
        <v>41609</v>
      </c>
      <c r="C59" s="71">
        <v>0</v>
      </c>
      <c r="D59" s="71">
        <v>0</v>
      </c>
      <c r="E59" s="71">
        <v>10000</v>
      </c>
    </row>
    <row r="60" spans="1:5" x14ac:dyDescent="0.25">
      <c r="A60" s="42"/>
      <c r="B60" s="45">
        <v>41640</v>
      </c>
      <c r="C60" s="71">
        <v>0</v>
      </c>
      <c r="D60" s="71">
        <v>0</v>
      </c>
      <c r="E60" s="71">
        <v>8000</v>
      </c>
    </row>
    <row r="61" spans="1:5" x14ac:dyDescent="0.25">
      <c r="A61" s="42"/>
      <c r="B61" s="45">
        <v>43831</v>
      </c>
      <c r="C61" s="71">
        <v>0</v>
      </c>
      <c r="D61" s="71">
        <v>0</v>
      </c>
      <c r="E61" s="71">
        <v>5000</v>
      </c>
    </row>
    <row r="62" spans="1:5" x14ac:dyDescent="0.25">
      <c r="A62" s="42">
        <v>0</v>
      </c>
      <c r="B62" s="59">
        <v>42005</v>
      </c>
      <c r="C62" s="74">
        <v>0</v>
      </c>
      <c r="D62" s="74">
        <v>0</v>
      </c>
    </row>
    <row r="64" spans="1:5" ht="13" x14ac:dyDescent="0.25">
      <c r="A64" s="30" t="s">
        <v>7</v>
      </c>
      <c r="B64" s="20" t="str">
        <f ca="1">GetNameRange(B67)</f>
        <v>ImrAmortznFromPriorAssetSale</v>
      </c>
    </row>
    <row r="65" spans="1:4" ht="13" x14ac:dyDescent="0.25">
      <c r="A65" s="49" t="s">
        <v>105</v>
      </c>
      <c r="B65" s="50" t="s">
        <v>78</v>
      </c>
      <c r="C65" s="81" t="s">
        <v>173</v>
      </c>
      <c r="D65" s="44" t="s">
        <v>202</v>
      </c>
    </row>
    <row r="66" spans="1:4" ht="13" x14ac:dyDescent="0.25">
      <c r="A66" s="34"/>
      <c r="B66" s="78" t="s">
        <v>101</v>
      </c>
      <c r="C66" s="79" t="s">
        <v>49</v>
      </c>
      <c r="D66" s="79" t="s">
        <v>49</v>
      </c>
    </row>
    <row r="67" spans="1:4" ht="13" x14ac:dyDescent="0.25">
      <c r="B67" s="43" t="s">
        <v>99</v>
      </c>
      <c r="C67" s="82"/>
      <c r="D67" s="82"/>
    </row>
    <row r="68" spans="1:4" x14ac:dyDescent="0.25">
      <c r="A68" s="42">
        <v>0</v>
      </c>
      <c r="B68" s="85">
        <v>1900</v>
      </c>
      <c r="C68" s="87">
        <v>0</v>
      </c>
      <c r="D68" s="87">
        <v>0</v>
      </c>
    </row>
    <row r="69" spans="1:4" x14ac:dyDescent="0.25">
      <c r="A69" s="42">
        <v>0</v>
      </c>
      <c r="B69" s="86">
        <v>9999</v>
      </c>
      <c r="C69" s="88">
        <v>0</v>
      </c>
      <c r="D69" s="88">
        <v>0</v>
      </c>
    </row>
    <row r="71" spans="1:4" ht="13" x14ac:dyDescent="0.25">
      <c r="A71" s="30" t="s">
        <v>7</v>
      </c>
      <c r="B71" s="20" t="str">
        <f ca="1">GetNameRange(B74)</f>
        <v>TaxCapzdPremUnamortzd</v>
      </c>
    </row>
    <row r="72" spans="1:4" ht="13" x14ac:dyDescent="0.25">
      <c r="A72" s="49" t="s">
        <v>105</v>
      </c>
      <c r="B72" s="50" t="s">
        <v>78</v>
      </c>
      <c r="C72" s="44" t="s">
        <v>173</v>
      </c>
      <c r="D72" s="44" t="s">
        <v>202</v>
      </c>
    </row>
    <row r="73" spans="1:4" ht="13" x14ac:dyDescent="0.25">
      <c r="B73" s="78" t="s">
        <v>101</v>
      </c>
      <c r="C73" s="79" t="s">
        <v>49</v>
      </c>
      <c r="D73" s="79" t="s">
        <v>49</v>
      </c>
    </row>
    <row r="74" spans="1:4" ht="13" x14ac:dyDescent="0.25">
      <c r="B74" s="43" t="s">
        <v>9</v>
      </c>
      <c r="C74" s="58"/>
      <c r="D74" s="58"/>
    </row>
    <row r="75" spans="1:4" x14ac:dyDescent="0.25">
      <c r="A75" s="41">
        <v>0</v>
      </c>
      <c r="B75" s="45">
        <v>1</v>
      </c>
      <c r="C75" s="89">
        <v>0</v>
      </c>
      <c r="D75" s="89">
        <v>0</v>
      </c>
    </row>
    <row r="76" spans="1:4" x14ac:dyDescent="0.25">
      <c r="A76" s="41">
        <v>0</v>
      </c>
      <c r="B76" s="59">
        <v>2958101</v>
      </c>
      <c r="C76" s="90">
        <v>0</v>
      </c>
      <c r="D76" s="90">
        <v>0</v>
      </c>
    </row>
  </sheetData>
  <conditionalFormatting sqref="D52:D53">
    <cfRule type="cellIs" dxfId="101" priority="457" operator="equal">
      <formula>""</formula>
    </cfRule>
    <cfRule type="cellIs" dxfId="100" priority="458" operator="notEqual">
      <formula>$A52</formula>
    </cfRule>
  </conditionalFormatting>
  <conditionalFormatting sqref="D68:D69">
    <cfRule type="cellIs" dxfId="99" priority="307" operator="equal">
      <formula>""</formula>
    </cfRule>
    <cfRule type="cellIs" dxfId="98" priority="308" operator="notEqual">
      <formula>$A68</formula>
    </cfRule>
  </conditionalFormatting>
  <conditionalFormatting sqref="D9:D14">
    <cfRule type="cellIs" dxfId="97" priority="41" operator="equal">
      <formula>""</formula>
    </cfRule>
    <cfRule type="cellIs" dxfId="96" priority="42" operator="notEqual">
      <formula>$A9</formula>
    </cfRule>
  </conditionalFormatting>
  <conditionalFormatting sqref="D39">
    <cfRule type="cellIs" dxfId="95" priority="53" operator="equal">
      <formula>""</formula>
    </cfRule>
    <cfRule type="cellIs" dxfId="94" priority="54" operator="notEqual">
      <formula>$A39</formula>
    </cfRule>
  </conditionalFormatting>
  <conditionalFormatting sqref="D43">
    <cfRule type="cellIs" dxfId="93" priority="51" operator="equal">
      <formula>""</formula>
    </cfRule>
    <cfRule type="cellIs" dxfId="92" priority="52" operator="notEqual">
      <formula>$A43</formula>
    </cfRule>
  </conditionalFormatting>
  <conditionalFormatting sqref="D25">
    <cfRule type="cellIs" dxfId="91" priority="49" operator="equal">
      <formula>""</formula>
    </cfRule>
    <cfRule type="cellIs" dxfId="90" priority="50" operator="notEqual">
      <formula>$A25</formula>
    </cfRule>
  </conditionalFormatting>
  <conditionalFormatting sqref="D26">
    <cfRule type="cellIs" dxfId="89" priority="47" operator="equal">
      <formula>""</formula>
    </cfRule>
    <cfRule type="cellIs" dxfId="88" priority="48" operator="notEqual">
      <formula>$A26</formula>
    </cfRule>
  </conditionalFormatting>
  <conditionalFormatting sqref="D29">
    <cfRule type="cellIs" dxfId="87" priority="45" operator="equal">
      <formula>""</formula>
    </cfRule>
    <cfRule type="cellIs" dxfId="86" priority="46" operator="notEqual">
      <formula>$A29</formula>
    </cfRule>
  </conditionalFormatting>
  <conditionalFormatting sqref="D23">
    <cfRule type="cellIs" dxfId="85" priority="43" operator="equal">
      <formula>""</formula>
    </cfRule>
    <cfRule type="cellIs" dxfId="84" priority="44" operator="notEqual">
      <formula>$A23</formula>
    </cfRule>
  </conditionalFormatting>
  <conditionalFormatting sqref="D19">
    <cfRule type="cellIs" dxfId="83" priority="39" operator="equal">
      <formula>""</formula>
    </cfRule>
    <cfRule type="cellIs" dxfId="82" priority="40" operator="notEqual">
      <formula>$A19</formula>
    </cfRule>
  </conditionalFormatting>
  <conditionalFormatting sqref="D20">
    <cfRule type="cellIs" dxfId="81" priority="37" operator="equal">
      <formula>""</formula>
    </cfRule>
    <cfRule type="cellIs" dxfId="80" priority="38" operator="notEqual">
      <formula>$A20</formula>
    </cfRule>
  </conditionalFormatting>
  <conditionalFormatting sqref="D33:D36">
    <cfRule type="cellIs" dxfId="79" priority="35" operator="equal">
      <formula>""</formula>
    </cfRule>
    <cfRule type="cellIs" dxfId="78" priority="36" operator="notEqual">
      <formula>$A33</formula>
    </cfRule>
  </conditionalFormatting>
  <conditionalFormatting sqref="D59:D62">
    <cfRule type="cellIs" dxfId="77" priority="33" operator="equal">
      <formula>""</formula>
    </cfRule>
    <cfRule type="cellIs" dxfId="76" priority="34" operator="notEqual">
      <formula>$A59</formula>
    </cfRule>
  </conditionalFormatting>
  <conditionalFormatting sqref="E59:E61">
    <cfRule type="cellIs" dxfId="75" priority="27" operator="equal">
      <formula>""</formula>
    </cfRule>
    <cfRule type="cellIs" dxfId="74" priority="28" operator="notEqual">
      <formula>$A59</formula>
    </cfRule>
  </conditionalFormatting>
  <conditionalFormatting sqref="C52:C53">
    <cfRule type="cellIs" dxfId="73" priority="25" operator="equal">
      <formula>""</formula>
    </cfRule>
    <cfRule type="cellIs" dxfId="72" priority="26" operator="notEqual">
      <formula>$A52</formula>
    </cfRule>
  </conditionalFormatting>
  <conditionalFormatting sqref="C68:C69">
    <cfRule type="cellIs" dxfId="71" priority="23" operator="equal">
      <formula>""</formula>
    </cfRule>
    <cfRule type="cellIs" dxfId="70" priority="24" operator="notEqual">
      <formula>$A68</formula>
    </cfRule>
  </conditionalFormatting>
  <conditionalFormatting sqref="C9:C14">
    <cfRule type="cellIs" dxfId="69" priority="9" operator="equal">
      <formula>""</formula>
    </cfRule>
    <cfRule type="cellIs" dxfId="68" priority="10" operator="notEqual">
      <formula>$A9</formula>
    </cfRule>
  </conditionalFormatting>
  <conditionalFormatting sqref="C39">
    <cfRule type="cellIs" dxfId="67" priority="21" operator="equal">
      <formula>""</formula>
    </cfRule>
    <cfRule type="cellIs" dxfId="66" priority="22" operator="notEqual">
      <formula>$A39</formula>
    </cfRule>
  </conditionalFormatting>
  <conditionalFormatting sqref="C43">
    <cfRule type="cellIs" dxfId="65" priority="19" operator="equal">
      <formula>""</formula>
    </cfRule>
    <cfRule type="cellIs" dxfId="64" priority="20" operator="notEqual">
      <formula>$A43</formula>
    </cfRule>
  </conditionalFormatting>
  <conditionalFormatting sqref="C25">
    <cfRule type="cellIs" dxfId="63" priority="17" operator="equal">
      <formula>""</formula>
    </cfRule>
    <cfRule type="cellIs" dxfId="62" priority="18" operator="notEqual">
      <formula>$A25</formula>
    </cfRule>
  </conditionalFormatting>
  <conditionalFormatting sqref="C26">
    <cfRule type="cellIs" dxfId="61" priority="15" operator="equal">
      <formula>""</formula>
    </cfRule>
    <cfRule type="cellIs" dxfId="60" priority="16" operator="notEqual">
      <formula>$A26</formula>
    </cfRule>
  </conditionalFormatting>
  <conditionalFormatting sqref="C29">
    <cfRule type="cellIs" dxfId="59" priority="13" operator="equal">
      <formula>""</formula>
    </cfRule>
    <cfRule type="cellIs" dxfId="58" priority="14" operator="notEqual">
      <formula>$A29</formula>
    </cfRule>
  </conditionalFormatting>
  <conditionalFormatting sqref="C23">
    <cfRule type="cellIs" dxfId="57" priority="11" operator="equal">
      <formula>""</formula>
    </cfRule>
    <cfRule type="cellIs" dxfId="56" priority="12" operator="notEqual">
      <formula>$A23</formula>
    </cfRule>
  </conditionalFormatting>
  <conditionalFormatting sqref="C19">
    <cfRule type="cellIs" dxfId="55" priority="7" operator="equal">
      <formula>""</formula>
    </cfRule>
    <cfRule type="cellIs" dxfId="54" priority="8" operator="notEqual">
      <formula>$A19</formula>
    </cfRule>
  </conditionalFormatting>
  <conditionalFormatting sqref="C20">
    <cfRule type="cellIs" dxfId="53" priority="5" operator="equal">
      <formula>""</formula>
    </cfRule>
    <cfRule type="cellIs" dxfId="52" priority="6" operator="notEqual">
      <formula>$A20</formula>
    </cfRule>
  </conditionalFormatting>
  <conditionalFormatting sqref="C33:C36">
    <cfRule type="cellIs" dxfId="51" priority="3" operator="equal">
      <formula>""</formula>
    </cfRule>
    <cfRule type="cellIs" dxfId="50" priority="4" operator="notEqual">
      <formula>$A33</formula>
    </cfRule>
  </conditionalFormatting>
  <conditionalFormatting sqref="C59:C62">
    <cfRule type="cellIs" dxfId="49" priority="1" operator="equal">
      <formula>""</formula>
    </cfRule>
    <cfRule type="cellIs" dxfId="48" priority="2" operator="notEqual">
      <formula>$A59</formula>
    </cfRule>
  </conditionalFormatting>
  <dataValidations count="1">
    <dataValidation type="list" allowBlank="1" showInputMessage="1" showErrorMessage="1" sqref="C19:D19" xr:uid="{00000000-0002-0000-0300-000000000000}">
      <formula1>"Not Applicable,Use Absolute Percentage,Reduce Initial Assets To Equal Liabilities,Apply Percentage To Assets Only"</formula1>
    </dataValidation>
  </dataValidations>
  <hyperlinks>
    <hyperlink ref="A1" location="'Table of Contents'!A1" display="Go to TOC" xr:uid="{00000000-0004-0000-0300-000000000000}"/>
    <hyperlink ref="B30" location="MaintExpFixed" display="main_exp_fixed" xr:uid="{00000000-0004-0000-0300-000001000000}"/>
    <hyperlink ref="B40" location="ImrAmortznFromPriorAssetSale" display="imr_amortzn_from_prior_asset_sale" xr:uid="{00000000-0004-0000-0300-000002000000}"/>
    <hyperlink ref="B46" location="TaxCapzdPremUnamortzd" display="tax_capzd_prem_unamortzd" xr:uid="{00000000-0004-0000-0300-000003000000}"/>
    <hyperlink ref="A49" location="Segment!B25" display="Back to Main" xr:uid="{00000000-0004-0000-0300-000004000000}"/>
    <hyperlink ref="A64" location="'Table of Contents'!A1" display="Go to TOC" xr:uid="{00000000-0004-0000-0300-000005000000}"/>
    <hyperlink ref="A71" location="'Table of Contents'!A1" display="Go to TOC" xr:uid="{00000000-0004-0000-0300-000006000000}"/>
    <hyperlink ref="A48" location="'Table of Contents'!A1" display="Go to TOC" xr:uid="{00000000-0004-0000-0300-000007000000}"/>
    <hyperlink ref="B24" location="AssetYldDeterministic" display="asset_yld_deterministic" xr:uid="{00000000-0004-0000-0300-000008000000}"/>
    <hyperlink ref="A56" location="Segment!B31" display="Back to Main" xr:uid="{00000000-0004-0000-0300-000009000000}"/>
    <hyperlink ref="A65" location="Segment!B41" display="Back to Main" xr:uid="{00000000-0004-0000-0300-00000A000000}"/>
    <hyperlink ref="A72" location="Segment!B47" display="Back to Main" xr:uid="{00000000-0004-0000-0300-00000B000000}"/>
    <hyperlink ref="A55" location="'Table of Contents'!A1" display="Go to TOC" xr:uid="{00000000-0004-0000-0300-00000C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37"/>
  <sheetViews>
    <sheetView showGridLines="0" workbookViewId="0">
      <pane xSplit="2" ySplit="5" topLeftCell="C21" activePane="bottomRight" state="frozen"/>
      <selection pane="topRight" activeCell="C1" sqref="C1"/>
      <selection pane="bottomLeft" activeCell="A6" sqref="A6"/>
      <selection pane="bottomRight" activeCell="B28" sqref="B28:D31"/>
    </sheetView>
  </sheetViews>
  <sheetFormatPr defaultColWidth="15.7265625" defaultRowHeight="12.5" x14ac:dyDescent="0.25"/>
  <cols>
    <col min="1" max="1" width="23.54296875" style="17" customWidth="1"/>
    <col min="2" max="2" width="51.26953125" style="17" customWidth="1"/>
    <col min="3" max="4" width="21" style="12" customWidth="1"/>
    <col min="5" max="5" width="21.7265625" style="12" customWidth="1"/>
    <col min="6" max="6" width="19.453125" style="12" customWidth="1"/>
    <col min="7" max="7" width="14.81640625" style="12" customWidth="1"/>
    <col min="8" max="8" width="18.81640625" style="12" customWidth="1"/>
    <col min="9" max="16384" width="15.7265625" style="12"/>
  </cols>
  <sheetData>
    <row r="1" spans="1:10" ht="15.5" x14ac:dyDescent="0.25">
      <c r="A1" s="16" t="s">
        <v>7</v>
      </c>
      <c r="B1" s="15" t="s">
        <v>141</v>
      </c>
      <c r="C1" s="13"/>
      <c r="D1" s="13"/>
    </row>
    <row r="2" spans="1:10" ht="15.5" x14ac:dyDescent="0.25">
      <c r="A2" s="16"/>
      <c r="B2" s="15"/>
      <c r="C2" s="13"/>
      <c r="D2" s="13"/>
    </row>
    <row r="3" spans="1:10" ht="13" x14ac:dyDescent="0.25">
      <c r="B3" s="19" t="str">
        <f ca="1">GetNameRange(B4)</f>
        <v>AnnuityPba</v>
      </c>
    </row>
    <row r="4" spans="1:10" ht="13" x14ac:dyDescent="0.25">
      <c r="A4" s="22"/>
      <c r="B4" s="50" t="s">
        <v>78</v>
      </c>
      <c r="C4" s="44" t="s">
        <v>173</v>
      </c>
      <c r="D4" s="44" t="s">
        <v>202</v>
      </c>
    </row>
    <row r="5" spans="1:10" ht="13" x14ac:dyDescent="0.25">
      <c r="A5" s="22" t="s">
        <v>6</v>
      </c>
      <c r="B5" s="43" t="s">
        <v>0</v>
      </c>
      <c r="C5" s="102"/>
      <c r="D5" s="102"/>
    </row>
    <row r="6" spans="1:10" s="25" customFormat="1" ht="13" x14ac:dyDescent="0.25">
      <c r="A6" s="17"/>
      <c r="B6" s="52"/>
      <c r="C6" s="103"/>
      <c r="D6" s="103"/>
      <c r="F6" s="12"/>
      <c r="G6" s="12"/>
      <c r="H6" s="12"/>
      <c r="I6" s="12"/>
      <c r="J6" s="12"/>
    </row>
    <row r="7" spans="1:10" ht="13" x14ac:dyDescent="0.25">
      <c r="B7" s="53" t="s">
        <v>125</v>
      </c>
      <c r="C7" s="104"/>
      <c r="D7" s="104"/>
    </row>
    <row r="8" spans="1:10" x14ac:dyDescent="0.25">
      <c r="A8" s="17" t="s">
        <v>57</v>
      </c>
      <c r="B8" s="54" t="s">
        <v>121</v>
      </c>
      <c r="C8" s="51" t="s">
        <v>57</v>
      </c>
      <c r="D8" s="51" t="s">
        <v>57</v>
      </c>
    </row>
    <row r="9" spans="1:10" x14ac:dyDescent="0.25">
      <c r="A9" s="17" t="s">
        <v>96</v>
      </c>
      <c r="B9" s="54" t="s">
        <v>122</v>
      </c>
      <c r="C9" s="51" t="s">
        <v>96</v>
      </c>
      <c r="D9" s="51" t="s">
        <v>96</v>
      </c>
    </row>
    <row r="10" spans="1:10" x14ac:dyDescent="0.25">
      <c r="A10" s="17" t="s">
        <v>73</v>
      </c>
      <c r="B10" s="54" t="s">
        <v>123</v>
      </c>
      <c r="C10" s="51" t="s">
        <v>73</v>
      </c>
      <c r="D10" s="51" t="s">
        <v>73</v>
      </c>
    </row>
    <row r="11" spans="1:10" x14ac:dyDescent="0.25">
      <c r="A11" s="17" t="s">
        <v>97</v>
      </c>
      <c r="B11" s="54" t="s">
        <v>124</v>
      </c>
      <c r="C11" s="51" t="s">
        <v>97</v>
      </c>
      <c r="D11" s="51" t="s">
        <v>97</v>
      </c>
    </row>
    <row r="12" spans="1:10" x14ac:dyDescent="0.25">
      <c r="A12" s="17" t="s">
        <v>98</v>
      </c>
      <c r="B12" s="54" t="s">
        <v>154</v>
      </c>
      <c r="C12" s="51" t="s">
        <v>98</v>
      </c>
      <c r="D12" s="51" t="s">
        <v>98</v>
      </c>
    </row>
    <row r="13" spans="1:10" x14ac:dyDescent="0.25">
      <c r="A13" s="17" t="s">
        <v>98</v>
      </c>
      <c r="B13" s="54" t="s">
        <v>155</v>
      </c>
      <c r="C13" s="51" t="s">
        <v>98</v>
      </c>
      <c r="D13" s="51" t="s">
        <v>98</v>
      </c>
    </row>
    <row r="14" spans="1:10" x14ac:dyDescent="0.25">
      <c r="A14" s="36">
        <v>1</v>
      </c>
      <c r="B14" s="54" t="s">
        <v>157</v>
      </c>
      <c r="C14" s="57">
        <v>1</v>
      </c>
      <c r="D14" s="57">
        <v>1</v>
      </c>
    </row>
    <row r="15" spans="1:10" x14ac:dyDescent="0.25">
      <c r="A15" s="36">
        <v>1</v>
      </c>
      <c r="B15" s="55" t="s">
        <v>156</v>
      </c>
      <c r="C15" s="57" t="s">
        <v>60</v>
      </c>
      <c r="D15" s="57" t="s">
        <v>60</v>
      </c>
    </row>
    <row r="16" spans="1:10" x14ac:dyDescent="0.25">
      <c r="A16" s="17" t="s">
        <v>98</v>
      </c>
      <c r="B16" s="54" t="s">
        <v>158</v>
      </c>
      <c r="C16" s="51" t="s">
        <v>98</v>
      </c>
      <c r="D16" s="51" t="s">
        <v>98</v>
      </c>
    </row>
    <row r="17" spans="1:4" x14ac:dyDescent="0.25">
      <c r="A17" s="17" t="s">
        <v>98</v>
      </c>
      <c r="B17" s="54" t="s">
        <v>159</v>
      </c>
      <c r="C17" s="51" t="s">
        <v>98</v>
      </c>
      <c r="D17" s="51" t="s">
        <v>98</v>
      </c>
    </row>
    <row r="18" spans="1:4" x14ac:dyDescent="0.25">
      <c r="A18" s="36">
        <v>1</v>
      </c>
      <c r="B18" s="54" t="s">
        <v>161</v>
      </c>
      <c r="C18" s="57">
        <v>1</v>
      </c>
      <c r="D18" s="57">
        <v>1</v>
      </c>
    </row>
    <row r="19" spans="1:4" x14ac:dyDescent="0.25">
      <c r="A19" s="36">
        <v>1</v>
      </c>
      <c r="B19" s="55" t="s">
        <v>160</v>
      </c>
      <c r="C19" s="57" t="s">
        <v>60</v>
      </c>
      <c r="D19" s="57" t="s">
        <v>60</v>
      </c>
    </row>
    <row r="20" spans="1:4" x14ac:dyDescent="0.25">
      <c r="A20" s="17" t="s">
        <v>126</v>
      </c>
      <c r="B20" s="54" t="s">
        <v>148</v>
      </c>
      <c r="C20" s="51" t="s">
        <v>126</v>
      </c>
      <c r="D20" s="51" t="s">
        <v>126</v>
      </c>
    </row>
    <row r="21" spans="1:4" x14ac:dyDescent="0.25">
      <c r="A21" s="47">
        <v>0.9</v>
      </c>
      <c r="B21" s="54" t="s">
        <v>162</v>
      </c>
      <c r="C21" s="93">
        <v>0.9</v>
      </c>
      <c r="D21" s="93">
        <v>0.9</v>
      </c>
    </row>
    <row r="22" spans="1:4" x14ac:dyDescent="0.25">
      <c r="A22" s="41">
        <v>0</v>
      </c>
      <c r="B22" s="54" t="s">
        <v>174</v>
      </c>
      <c r="C22" s="89">
        <v>0</v>
      </c>
      <c r="D22" s="89">
        <v>0</v>
      </c>
    </row>
    <row r="23" spans="1:4" x14ac:dyDescent="0.25">
      <c r="A23" s="37">
        <v>1</v>
      </c>
      <c r="B23" s="54" t="s">
        <v>175</v>
      </c>
      <c r="C23" s="92">
        <v>1</v>
      </c>
      <c r="D23" s="92">
        <v>1</v>
      </c>
    </row>
    <row r="24" spans="1:4" x14ac:dyDescent="0.25">
      <c r="A24" s="17" t="s">
        <v>98</v>
      </c>
      <c r="B24" s="54" t="s">
        <v>149</v>
      </c>
      <c r="C24" s="91" t="s">
        <v>98</v>
      </c>
      <c r="D24" s="91" t="s">
        <v>98</v>
      </c>
    </row>
    <row r="25" spans="1:4" x14ac:dyDescent="0.25">
      <c r="A25" s="17" t="s">
        <v>98</v>
      </c>
      <c r="B25" s="56" t="s">
        <v>150</v>
      </c>
      <c r="C25" s="94" t="s">
        <v>98</v>
      </c>
      <c r="D25" s="94" t="s">
        <v>98</v>
      </c>
    </row>
    <row r="27" spans="1:4" ht="13" x14ac:dyDescent="0.25">
      <c r="A27" s="16" t="s">
        <v>7</v>
      </c>
      <c r="B27" s="19" t="str">
        <f ca="1">GetNameRange(B28)</f>
        <v>AnnuityPbaHedgingEFactorStochRes</v>
      </c>
    </row>
    <row r="28" spans="1:4" ht="13" x14ac:dyDescent="0.25">
      <c r="A28" s="33" t="s">
        <v>153</v>
      </c>
      <c r="B28" s="50" t="s">
        <v>78</v>
      </c>
      <c r="C28" s="44" t="s">
        <v>173</v>
      </c>
      <c r="D28" s="44" t="s">
        <v>202</v>
      </c>
    </row>
    <row r="29" spans="1:4" ht="13" x14ac:dyDescent="0.25">
      <c r="B29" s="43" t="s">
        <v>9</v>
      </c>
      <c r="C29" s="58"/>
      <c r="D29" s="58"/>
    </row>
    <row r="30" spans="1:4" x14ac:dyDescent="0.25">
      <c r="A30" s="36">
        <v>1</v>
      </c>
      <c r="B30" s="45">
        <v>1</v>
      </c>
      <c r="C30" s="57">
        <v>1</v>
      </c>
      <c r="D30" s="57">
        <v>1</v>
      </c>
    </row>
    <row r="31" spans="1:4" x14ac:dyDescent="0.25">
      <c r="A31" s="36">
        <v>1</v>
      </c>
      <c r="B31" s="59">
        <v>2958101</v>
      </c>
      <c r="C31" s="60">
        <v>1</v>
      </c>
      <c r="D31" s="60">
        <v>1</v>
      </c>
    </row>
    <row r="33" spans="1:4" ht="13" x14ac:dyDescent="0.25">
      <c r="A33" s="16" t="s">
        <v>7</v>
      </c>
      <c r="B33" s="19" t="str">
        <f ca="1">GetNameRange(B34)</f>
        <v>AnnuityPbaHedgingEFactorStochCap</v>
      </c>
    </row>
    <row r="34" spans="1:4" ht="13" x14ac:dyDescent="0.25">
      <c r="A34" s="33" t="s">
        <v>153</v>
      </c>
      <c r="B34" s="50" t="s">
        <v>78</v>
      </c>
      <c r="C34" s="44" t="s">
        <v>173</v>
      </c>
      <c r="D34" s="44" t="s">
        <v>202</v>
      </c>
    </row>
    <row r="35" spans="1:4" ht="13" x14ac:dyDescent="0.25">
      <c r="B35" s="43" t="s">
        <v>9</v>
      </c>
      <c r="C35" s="58"/>
      <c r="D35" s="58"/>
    </row>
    <row r="36" spans="1:4" x14ac:dyDescent="0.25">
      <c r="A36" s="36">
        <v>1</v>
      </c>
      <c r="B36" s="45">
        <v>1</v>
      </c>
      <c r="C36" s="57">
        <v>1</v>
      </c>
      <c r="D36" s="57">
        <v>1</v>
      </c>
    </row>
    <row r="37" spans="1:4" x14ac:dyDescent="0.25">
      <c r="A37" s="36">
        <v>1</v>
      </c>
      <c r="B37" s="59">
        <v>2958101</v>
      </c>
      <c r="C37" s="60">
        <v>1</v>
      </c>
      <c r="D37" s="60">
        <v>1</v>
      </c>
    </row>
  </sheetData>
  <conditionalFormatting sqref="D31">
    <cfRule type="cellIs" dxfId="47" priority="85" operator="equal">
      <formula>""</formula>
    </cfRule>
    <cfRule type="cellIs" dxfId="46" priority="86" operator="notEqual">
      <formula>$A31</formula>
    </cfRule>
  </conditionalFormatting>
  <conditionalFormatting sqref="D30">
    <cfRule type="cellIs" dxfId="45" priority="87" operator="equal">
      <formula>""</formula>
    </cfRule>
    <cfRule type="cellIs" dxfId="44" priority="88" operator="notEqual">
      <formula>$A30</formula>
    </cfRule>
  </conditionalFormatting>
  <conditionalFormatting sqref="D36">
    <cfRule type="cellIs" dxfId="43" priority="59" operator="equal">
      <formula>""</formula>
    </cfRule>
    <cfRule type="cellIs" dxfId="42" priority="60" operator="notEqual">
      <formula>$A36</formula>
    </cfRule>
  </conditionalFormatting>
  <conditionalFormatting sqref="D37">
    <cfRule type="cellIs" dxfId="41" priority="57" operator="equal">
      <formula>""</formula>
    </cfRule>
    <cfRule type="cellIs" dxfId="40" priority="58" operator="notEqual">
      <formula>$A37</formula>
    </cfRule>
  </conditionalFormatting>
  <conditionalFormatting sqref="D8:D20 D24:D25">
    <cfRule type="cellIs" dxfId="39" priority="17" operator="equal">
      <formula>""</formula>
    </cfRule>
    <cfRule type="cellIs" dxfId="38" priority="18" operator="notEqual">
      <formula>$A8</formula>
    </cfRule>
  </conditionalFormatting>
  <conditionalFormatting sqref="D21 D23">
    <cfRule type="cellIs" dxfId="37" priority="19" operator="equal">
      <formula>""</formula>
    </cfRule>
    <cfRule type="cellIs" dxfId="36" priority="20" operator="notEqual">
      <formula>$A21</formula>
    </cfRule>
  </conditionalFormatting>
  <conditionalFormatting sqref="D22">
    <cfRule type="cellIs" dxfId="35" priority="15" operator="equal">
      <formula>""</formula>
    </cfRule>
    <cfRule type="cellIs" dxfId="34" priority="16" operator="notEqual">
      <formula>$A22</formula>
    </cfRule>
  </conditionalFormatting>
  <conditionalFormatting sqref="C31">
    <cfRule type="cellIs" dxfId="33" priority="11" operator="equal">
      <formula>""</formula>
    </cfRule>
    <cfRule type="cellIs" dxfId="32" priority="12" operator="notEqual">
      <formula>$A31</formula>
    </cfRule>
  </conditionalFormatting>
  <conditionalFormatting sqref="C30">
    <cfRule type="cellIs" dxfId="31" priority="13" operator="equal">
      <formula>""</formula>
    </cfRule>
    <cfRule type="cellIs" dxfId="30" priority="14" operator="notEqual">
      <formula>$A30</formula>
    </cfRule>
  </conditionalFormatting>
  <conditionalFormatting sqref="C36">
    <cfRule type="cellIs" dxfId="29" priority="9" operator="equal">
      <formula>""</formula>
    </cfRule>
    <cfRule type="cellIs" dxfId="28" priority="10" operator="notEqual">
      <formula>$A36</formula>
    </cfRule>
  </conditionalFormatting>
  <conditionalFormatting sqref="C37">
    <cfRule type="cellIs" dxfId="27" priority="7" operator="equal">
      <formula>""</formula>
    </cfRule>
    <cfRule type="cellIs" dxfId="26" priority="8" operator="notEqual">
      <formula>$A37</formula>
    </cfRule>
  </conditionalFormatting>
  <conditionalFormatting sqref="C8:C20 C24:C25">
    <cfRule type="cellIs" dxfId="25" priority="3" operator="equal">
      <formula>""</formula>
    </cfRule>
    <cfRule type="cellIs" dxfId="24" priority="4" operator="notEqual">
      <formula>$A8</formula>
    </cfRule>
  </conditionalFormatting>
  <conditionalFormatting sqref="C21 C23">
    <cfRule type="cellIs" dxfId="23" priority="5" operator="equal">
      <formula>""</formula>
    </cfRule>
    <cfRule type="cellIs" dxfId="22" priority="6" operator="notEqual">
      <formula>$A21</formula>
    </cfRule>
  </conditionalFormatting>
  <conditionalFormatting sqref="C22">
    <cfRule type="cellIs" dxfId="21" priority="1" operator="equal">
      <formula>""</formula>
    </cfRule>
    <cfRule type="cellIs" dxfId="20" priority="2" operator="notEqual">
      <formula>$A22</formula>
    </cfRule>
  </conditionalFormatting>
  <dataValidations count="5">
    <dataValidation type="list" allowBlank="1" showInputMessage="1" showErrorMessage="1" sqref="C8:D8" xr:uid="{00000000-0002-0000-0400-000000000000}">
      <formula1>"Not Applicable,Capital,Reserves,Reserves and Capital"</formula1>
    </dataValidation>
    <dataValidation type="list" allowBlank="1" showInputMessage="1" showErrorMessage="1" sqref="C9:D9" xr:uid="{00000000-0002-0000-0400-000001000000}">
      <formula1>"Gross,Net,Both"</formula1>
    </dataValidation>
    <dataValidation type="list" allowBlank="1" showInputMessage="1" showErrorMessage="1" sqref="C10:D10" xr:uid="{00000000-0002-0000-0400-000002000000}">
      <formula1>"No,Yes"</formula1>
    </dataValidation>
    <dataValidation type="list" allowBlank="1" showInputMessage="1" showErrorMessage="1" sqref="C11:D11" xr:uid="{00000000-0002-0000-0400-000003000000}">
      <formula1>"Hedged,Unhedged,Both"</formula1>
    </dataValidation>
    <dataValidation type="list" allowBlank="1" showInputMessage="1" showErrorMessage="1" sqref="C20:D20" xr:uid="{00000000-0002-0000-0400-000004000000}">
      <formula1>"Use Working Reserve,Calculate Tax Reserve"</formula1>
    </dataValidation>
  </dataValidations>
  <hyperlinks>
    <hyperlink ref="A1" location="'Table of Contents'!A1" display="Go to TOC" xr:uid="{00000000-0004-0000-0400-000000000000}"/>
    <hyperlink ref="A27" location="'Table of Contents'!A1" display="Go to TOC" xr:uid="{00000000-0004-0000-0400-000001000000}"/>
    <hyperlink ref="A28" location="'Annuity PBA'!B15" display="Back To Main" xr:uid="{00000000-0004-0000-0400-000002000000}"/>
    <hyperlink ref="A33" location="'Table of Contents'!A1" display="Go to TOC" xr:uid="{00000000-0004-0000-0400-000003000000}"/>
    <hyperlink ref="A34" location="'Annuity PBA'!B19" display="Back To Main" xr:uid="{00000000-0004-0000-0400-000004000000}"/>
    <hyperlink ref="B15" location="AnnuityPbaHedgingEFactorStochRes" display="ann_pba_hedging_e_factor_stoch_res" xr:uid="{00000000-0004-0000-0400-000005000000}"/>
    <hyperlink ref="B19" location="AnnuityPbaHedgingEFactorStochCap" display="ann_pba_hedging_e_factor_stoch_cap" xr:uid="{00000000-0004-0000-0400-000006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F134"/>
  <sheetViews>
    <sheetView showGridLines="0" workbookViewId="0">
      <pane xSplit="2" ySplit="5" topLeftCell="C26" activePane="bottomRight" state="frozen"/>
      <selection pane="topRight" activeCell="C1" sqref="C1"/>
      <selection pane="bottomLeft" activeCell="A6" sqref="A6"/>
      <selection pane="bottomRight" activeCell="B27" sqref="B27:B35"/>
    </sheetView>
  </sheetViews>
  <sheetFormatPr defaultColWidth="15.7265625" defaultRowHeight="12.5" x14ac:dyDescent="0.25"/>
  <cols>
    <col min="1" max="1" width="15.7265625" style="17"/>
    <col min="2" max="2" width="33" style="17" customWidth="1"/>
    <col min="3" max="5" width="17.54296875" style="12" bestFit="1" customWidth="1"/>
    <col min="6" max="6" width="25.1796875" style="12" bestFit="1" customWidth="1"/>
    <col min="7" max="7" width="22.1796875" style="12" customWidth="1"/>
    <col min="8" max="8" width="35.54296875" style="12" bestFit="1" customWidth="1"/>
    <col min="9" max="10" width="38.453125" style="12" bestFit="1" customWidth="1"/>
    <col min="11" max="11" width="33.453125" style="12" bestFit="1" customWidth="1"/>
    <col min="12" max="12" width="35.26953125" style="12" bestFit="1" customWidth="1"/>
    <col min="13" max="13" width="34.26953125" style="12" bestFit="1" customWidth="1"/>
    <col min="14" max="14" width="35.54296875" style="12" bestFit="1" customWidth="1"/>
    <col min="15" max="15" width="41.7265625" style="12" bestFit="1" customWidth="1"/>
    <col min="16" max="16" width="41.1796875" style="12" bestFit="1" customWidth="1"/>
    <col min="17" max="17" width="42.1796875" style="12" bestFit="1" customWidth="1"/>
    <col min="18" max="18" width="39.1796875" style="12" bestFit="1" customWidth="1"/>
    <col min="19" max="19" width="39.7265625" style="12" bestFit="1" customWidth="1"/>
    <col min="20" max="20" width="39.81640625" style="12" bestFit="1" customWidth="1"/>
    <col min="21" max="21" width="41.26953125" style="12" bestFit="1" customWidth="1"/>
    <col min="22" max="22" width="38.1796875" style="12" bestFit="1" customWidth="1"/>
    <col min="23" max="23" width="36.1796875" style="12" bestFit="1" customWidth="1"/>
    <col min="24" max="16384" width="15.7265625" style="12"/>
  </cols>
  <sheetData>
    <row r="1" spans="1:6" ht="15.5" x14ac:dyDescent="0.25">
      <c r="A1" s="16" t="s">
        <v>7</v>
      </c>
      <c r="B1" s="15" t="s">
        <v>142</v>
      </c>
      <c r="C1" s="13"/>
      <c r="D1" s="13"/>
    </row>
    <row r="2" spans="1:6" ht="15.5" x14ac:dyDescent="0.25">
      <c r="A2" s="16"/>
      <c r="B2" s="15"/>
      <c r="C2" s="13"/>
      <c r="D2" s="13"/>
    </row>
    <row r="3" spans="1:6" ht="13" x14ac:dyDescent="0.25">
      <c r="B3" s="19" t="str">
        <f ca="1">GetNameRange(B4)</f>
        <v>Sfas97RdGaap</v>
      </c>
    </row>
    <row r="4" spans="1:6" ht="13" x14ac:dyDescent="0.25">
      <c r="A4" s="22"/>
      <c r="B4" s="50" t="s">
        <v>78</v>
      </c>
      <c r="C4" s="44" t="s">
        <v>173</v>
      </c>
      <c r="D4" s="44" t="s">
        <v>202</v>
      </c>
    </row>
    <row r="5" spans="1:6" ht="13" x14ac:dyDescent="0.25">
      <c r="A5" s="22" t="s">
        <v>6</v>
      </c>
      <c r="B5" s="43" t="s">
        <v>0</v>
      </c>
      <c r="C5" s="58"/>
      <c r="D5" s="58"/>
    </row>
    <row r="6" spans="1:6" s="25" customFormat="1" ht="13" x14ac:dyDescent="0.25">
      <c r="A6" s="17"/>
      <c r="B6" s="52"/>
      <c r="C6" s="51"/>
      <c r="D6" s="51"/>
      <c r="E6" s="12"/>
      <c r="F6" s="12"/>
    </row>
    <row r="7" spans="1:6" ht="13" x14ac:dyDescent="0.25">
      <c r="B7" s="53" t="s">
        <v>129</v>
      </c>
      <c r="C7" s="51"/>
      <c r="D7" s="51"/>
    </row>
    <row r="8" spans="1:6" x14ac:dyDescent="0.25">
      <c r="A8" s="37">
        <v>0</v>
      </c>
      <c r="B8" s="54" t="s">
        <v>164</v>
      </c>
      <c r="C8" s="92">
        <v>0</v>
      </c>
      <c r="D8" s="92">
        <v>0</v>
      </c>
    </row>
    <row r="9" spans="1:6" x14ac:dyDescent="0.25">
      <c r="A9" s="17" t="s">
        <v>98</v>
      </c>
      <c r="B9" s="54" t="s">
        <v>166</v>
      </c>
      <c r="C9" s="64" t="s">
        <v>98</v>
      </c>
      <c r="D9" s="64" t="s">
        <v>98</v>
      </c>
    </row>
    <row r="10" spans="1:6" x14ac:dyDescent="0.25">
      <c r="A10" s="17" t="s">
        <v>98</v>
      </c>
      <c r="B10" s="54" t="s">
        <v>165</v>
      </c>
      <c r="C10" s="51" t="s">
        <v>98</v>
      </c>
      <c r="D10" s="51" t="s">
        <v>98</v>
      </c>
    </row>
    <row r="11" spans="1:6" x14ac:dyDescent="0.25">
      <c r="A11" s="17">
        <v>0</v>
      </c>
      <c r="B11" s="54" t="s">
        <v>130</v>
      </c>
      <c r="C11" s="64">
        <v>0</v>
      </c>
      <c r="D11" s="64">
        <v>0</v>
      </c>
    </row>
    <row r="12" spans="1:6" x14ac:dyDescent="0.25">
      <c r="A12" s="17" t="s">
        <v>136</v>
      </c>
      <c r="B12" s="54" t="s">
        <v>167</v>
      </c>
      <c r="C12" s="51" t="s">
        <v>136</v>
      </c>
      <c r="D12" s="51" t="s">
        <v>136</v>
      </c>
    </row>
    <row r="13" spans="1:6" x14ac:dyDescent="0.25">
      <c r="A13" s="17" t="s">
        <v>136</v>
      </c>
      <c r="B13" s="54" t="s">
        <v>168</v>
      </c>
      <c r="C13" s="51" t="s">
        <v>136</v>
      </c>
      <c r="D13" s="51" t="s">
        <v>136</v>
      </c>
    </row>
    <row r="14" spans="1:6" x14ac:dyDescent="0.25">
      <c r="A14" s="17" t="s">
        <v>137</v>
      </c>
      <c r="B14" s="54" t="s">
        <v>169</v>
      </c>
      <c r="C14" s="51" t="s">
        <v>137</v>
      </c>
      <c r="D14" s="51" t="s">
        <v>137</v>
      </c>
    </row>
    <row r="15" spans="1:6" x14ac:dyDescent="0.25">
      <c r="A15" s="17" t="s">
        <v>137</v>
      </c>
      <c r="B15" s="54" t="s">
        <v>170</v>
      </c>
      <c r="C15" s="51" t="s">
        <v>137</v>
      </c>
      <c r="D15" s="51" t="s">
        <v>137</v>
      </c>
    </row>
    <row r="16" spans="1:6" x14ac:dyDescent="0.25">
      <c r="A16" s="17" t="s">
        <v>73</v>
      </c>
      <c r="B16" s="54" t="s">
        <v>188</v>
      </c>
      <c r="C16" s="51" t="s">
        <v>73</v>
      </c>
      <c r="D16" s="51" t="s">
        <v>73</v>
      </c>
    </row>
    <row r="17" spans="1:4" x14ac:dyDescent="0.25">
      <c r="A17" s="17" t="s">
        <v>73</v>
      </c>
      <c r="B17" s="54" t="s">
        <v>163</v>
      </c>
      <c r="C17" s="64" t="s">
        <v>73</v>
      </c>
      <c r="D17" s="64" t="s">
        <v>73</v>
      </c>
    </row>
    <row r="18" spans="1:4" x14ac:dyDescent="0.25">
      <c r="A18" s="17" t="s">
        <v>98</v>
      </c>
      <c r="B18" s="54" t="s">
        <v>131</v>
      </c>
      <c r="C18" s="64" t="s">
        <v>98</v>
      </c>
      <c r="D18" s="64" t="s">
        <v>98</v>
      </c>
    </row>
    <row r="19" spans="1:4" x14ac:dyDescent="0.25">
      <c r="B19" s="61"/>
      <c r="C19" s="51"/>
      <c r="D19" s="51"/>
    </row>
    <row r="20" spans="1:4" ht="13" x14ac:dyDescent="0.25">
      <c r="B20" s="53" t="s">
        <v>132</v>
      </c>
      <c r="C20" s="51"/>
      <c r="D20" s="51"/>
    </row>
    <row r="21" spans="1:4" x14ac:dyDescent="0.25">
      <c r="B21" s="55" t="s">
        <v>60</v>
      </c>
      <c r="C21" s="51"/>
      <c r="D21" s="51"/>
    </row>
    <row r="22" spans="1:4" x14ac:dyDescent="0.25">
      <c r="A22" s="37"/>
      <c r="B22" s="62"/>
      <c r="C22" s="51"/>
      <c r="D22" s="51"/>
    </row>
    <row r="23" spans="1:4" ht="13" x14ac:dyDescent="0.25">
      <c r="A23" s="37"/>
      <c r="B23" s="53" t="s">
        <v>146</v>
      </c>
      <c r="C23" s="51"/>
      <c r="D23" s="51"/>
    </row>
    <row r="24" spans="1:4" x14ac:dyDescent="0.25">
      <c r="A24" s="37"/>
      <c r="B24" s="109" t="s">
        <v>192</v>
      </c>
      <c r="C24" s="101"/>
      <c r="D24" s="101"/>
    </row>
    <row r="26" spans="1:4" ht="13" x14ac:dyDescent="0.25">
      <c r="A26" s="30" t="s">
        <v>7</v>
      </c>
      <c r="B26" s="19" t="str">
        <f ca="1">GetNameRange(B27)</f>
        <v>Sfas97RdGaapCohorts</v>
      </c>
    </row>
    <row r="27" spans="1:4" ht="13" x14ac:dyDescent="0.25">
      <c r="A27" s="48" t="s">
        <v>105</v>
      </c>
      <c r="B27" s="50" t="s">
        <v>127</v>
      </c>
    </row>
    <row r="28" spans="1:4" ht="13" x14ac:dyDescent="0.25">
      <c r="B28" s="43" t="s">
        <v>0</v>
      </c>
    </row>
    <row r="29" spans="1:4" x14ac:dyDescent="0.25">
      <c r="A29" s="17" t="s">
        <v>128</v>
      </c>
      <c r="B29" s="54" t="s">
        <v>133</v>
      </c>
    </row>
    <row r="30" spans="1:4" x14ac:dyDescent="0.25">
      <c r="A30" s="17" t="s">
        <v>128</v>
      </c>
      <c r="B30" s="54" t="s">
        <v>134</v>
      </c>
    </row>
    <row r="31" spans="1:4" x14ac:dyDescent="0.25">
      <c r="A31" s="37">
        <v>0</v>
      </c>
      <c r="B31" s="54" t="s">
        <v>190</v>
      </c>
    </row>
    <row r="32" spans="1:4" x14ac:dyDescent="0.25">
      <c r="A32" s="37">
        <v>0</v>
      </c>
      <c r="B32" s="54" t="s">
        <v>191</v>
      </c>
    </row>
    <row r="33" spans="1:2" x14ac:dyDescent="0.25">
      <c r="A33" s="37">
        <v>0</v>
      </c>
      <c r="B33" s="54" t="s">
        <v>193</v>
      </c>
    </row>
    <row r="34" spans="1:2" x14ac:dyDescent="0.25">
      <c r="A34" s="37">
        <v>0</v>
      </c>
      <c r="B34" s="54" t="s">
        <v>194</v>
      </c>
    </row>
    <row r="35" spans="1:2" x14ac:dyDescent="0.25">
      <c r="A35" s="37">
        <v>0</v>
      </c>
      <c r="B35" s="56" t="s">
        <v>135</v>
      </c>
    </row>
    <row r="37" spans="1:2" x14ac:dyDescent="0.25">
      <c r="B37" s="12"/>
    </row>
    <row r="38" spans="1:2" x14ac:dyDescent="0.25">
      <c r="B38" s="12"/>
    </row>
    <row r="39" spans="1:2" x14ac:dyDescent="0.25">
      <c r="B39" s="12"/>
    </row>
    <row r="40" spans="1:2" x14ac:dyDescent="0.25">
      <c r="B40" s="12"/>
    </row>
    <row r="41" spans="1:2" x14ac:dyDescent="0.25">
      <c r="B41" s="12"/>
    </row>
    <row r="42" spans="1:2" x14ac:dyDescent="0.25">
      <c r="B42" s="12"/>
    </row>
    <row r="43" spans="1:2" x14ac:dyDescent="0.25">
      <c r="B43" s="12"/>
    </row>
    <row r="44" spans="1:2" x14ac:dyDescent="0.25">
      <c r="B44" s="12"/>
    </row>
    <row r="45" spans="1:2" x14ac:dyDescent="0.25">
      <c r="B45" s="12"/>
    </row>
    <row r="46" spans="1:2" x14ac:dyDescent="0.25">
      <c r="B46" s="12"/>
    </row>
    <row r="47" spans="1:2" x14ac:dyDescent="0.25">
      <c r="B47" s="12"/>
    </row>
    <row r="48" spans="1:2" x14ac:dyDescent="0.25">
      <c r="B48" s="12"/>
    </row>
    <row r="49" spans="2:2" x14ac:dyDescent="0.25">
      <c r="B49" s="12"/>
    </row>
    <row r="50" spans="2:2" x14ac:dyDescent="0.25">
      <c r="B50" s="12"/>
    </row>
    <row r="51" spans="2:2" x14ac:dyDescent="0.25">
      <c r="B51" s="12"/>
    </row>
    <row r="52" spans="2:2" x14ac:dyDescent="0.25">
      <c r="B52" s="12"/>
    </row>
    <row r="53" spans="2:2" x14ac:dyDescent="0.25">
      <c r="B53" s="12"/>
    </row>
    <row r="54" spans="2:2" x14ac:dyDescent="0.25">
      <c r="B54" s="12"/>
    </row>
    <row r="55" spans="2:2" x14ac:dyDescent="0.25">
      <c r="B55" s="12"/>
    </row>
    <row r="56" spans="2:2" x14ac:dyDescent="0.25">
      <c r="B56" s="12"/>
    </row>
    <row r="57" spans="2:2" x14ac:dyDescent="0.25">
      <c r="B57" s="12"/>
    </row>
    <row r="58" spans="2:2" x14ac:dyDescent="0.25">
      <c r="B58" s="12"/>
    </row>
    <row r="59" spans="2:2" x14ac:dyDescent="0.25">
      <c r="B59" s="12"/>
    </row>
    <row r="60" spans="2:2" x14ac:dyDescent="0.25">
      <c r="B60" s="12"/>
    </row>
    <row r="61" spans="2:2" x14ac:dyDescent="0.25">
      <c r="B61" s="12"/>
    </row>
    <row r="62" spans="2:2" x14ac:dyDescent="0.25">
      <c r="B62" s="12"/>
    </row>
    <row r="63" spans="2:2" x14ac:dyDescent="0.25">
      <c r="B63" s="12"/>
    </row>
    <row r="64" spans="2:2" x14ac:dyDescent="0.25">
      <c r="B64" s="12"/>
    </row>
    <row r="65" spans="2:2" x14ac:dyDescent="0.25">
      <c r="B65" s="12"/>
    </row>
    <row r="66" spans="2:2" x14ac:dyDescent="0.25">
      <c r="B66" s="12"/>
    </row>
    <row r="67" spans="2:2" x14ac:dyDescent="0.25">
      <c r="B67" s="12"/>
    </row>
    <row r="68" spans="2:2" x14ac:dyDescent="0.25">
      <c r="B68" s="12"/>
    </row>
    <row r="69" spans="2:2" x14ac:dyDescent="0.25">
      <c r="B69" s="12"/>
    </row>
    <row r="70" spans="2:2" x14ac:dyDescent="0.25">
      <c r="B70" s="12"/>
    </row>
    <row r="71" spans="2:2" x14ac:dyDescent="0.25">
      <c r="B71" s="12"/>
    </row>
    <row r="72" spans="2:2" x14ac:dyDescent="0.25">
      <c r="B72" s="12"/>
    </row>
    <row r="73" spans="2:2" x14ac:dyDescent="0.25">
      <c r="B73" s="12"/>
    </row>
    <row r="74" spans="2:2" x14ac:dyDescent="0.25">
      <c r="B74" s="12"/>
    </row>
    <row r="75" spans="2:2" x14ac:dyDescent="0.25">
      <c r="B75" s="12"/>
    </row>
    <row r="76" spans="2:2" x14ac:dyDescent="0.25">
      <c r="B76" s="12"/>
    </row>
    <row r="77" spans="2:2" x14ac:dyDescent="0.25">
      <c r="B77" s="12"/>
    </row>
    <row r="78" spans="2:2" x14ac:dyDescent="0.25">
      <c r="B78" s="12"/>
    </row>
    <row r="79" spans="2:2" x14ac:dyDescent="0.25">
      <c r="B79" s="12"/>
    </row>
    <row r="80" spans="2:2" x14ac:dyDescent="0.25">
      <c r="B80" s="12"/>
    </row>
    <row r="81" spans="2:2" x14ac:dyDescent="0.25">
      <c r="B81" s="12"/>
    </row>
    <row r="82" spans="2:2" x14ac:dyDescent="0.25">
      <c r="B82" s="12"/>
    </row>
    <row r="83" spans="2:2" x14ac:dyDescent="0.25">
      <c r="B83" s="12"/>
    </row>
    <row r="84" spans="2:2" x14ac:dyDescent="0.25">
      <c r="B84" s="12"/>
    </row>
    <row r="85" spans="2:2" x14ac:dyDescent="0.25">
      <c r="B85" s="12"/>
    </row>
    <row r="86" spans="2:2" x14ac:dyDescent="0.25">
      <c r="B86" s="12"/>
    </row>
    <row r="87" spans="2:2" x14ac:dyDescent="0.25">
      <c r="B87" s="12"/>
    </row>
    <row r="88" spans="2:2" x14ac:dyDescent="0.25">
      <c r="B88" s="12"/>
    </row>
    <row r="89" spans="2:2" x14ac:dyDescent="0.25">
      <c r="B89" s="12"/>
    </row>
    <row r="90" spans="2:2" x14ac:dyDescent="0.25">
      <c r="B90" s="12"/>
    </row>
    <row r="91" spans="2:2" x14ac:dyDescent="0.25">
      <c r="B91" s="12"/>
    </row>
    <row r="92" spans="2:2" x14ac:dyDescent="0.25">
      <c r="B92" s="12"/>
    </row>
    <row r="93" spans="2:2" x14ac:dyDescent="0.25">
      <c r="B93" s="12"/>
    </row>
    <row r="94" spans="2:2" x14ac:dyDescent="0.25">
      <c r="B94" s="12"/>
    </row>
    <row r="95" spans="2:2" x14ac:dyDescent="0.25">
      <c r="B95" s="12"/>
    </row>
    <row r="96" spans="2:2" x14ac:dyDescent="0.25">
      <c r="B96" s="12"/>
    </row>
    <row r="97" spans="2:2" x14ac:dyDescent="0.25">
      <c r="B97" s="12"/>
    </row>
    <row r="98" spans="2:2" x14ac:dyDescent="0.25">
      <c r="B98" s="12"/>
    </row>
    <row r="99" spans="2:2" x14ac:dyDescent="0.25">
      <c r="B99" s="12"/>
    </row>
    <row r="100" spans="2:2" x14ac:dyDescent="0.25">
      <c r="B100" s="12"/>
    </row>
    <row r="101" spans="2:2" x14ac:dyDescent="0.25">
      <c r="B101" s="12"/>
    </row>
    <row r="102" spans="2:2" x14ac:dyDescent="0.25">
      <c r="B102" s="12"/>
    </row>
    <row r="103" spans="2:2" x14ac:dyDescent="0.25">
      <c r="B103" s="12"/>
    </row>
    <row r="104" spans="2:2" x14ac:dyDescent="0.25">
      <c r="B104" s="12"/>
    </row>
    <row r="105" spans="2:2" x14ac:dyDescent="0.25">
      <c r="B105" s="12"/>
    </row>
    <row r="106" spans="2:2" x14ac:dyDescent="0.25">
      <c r="B106" s="12"/>
    </row>
    <row r="107" spans="2:2" x14ac:dyDescent="0.25">
      <c r="B107" s="12"/>
    </row>
    <row r="108" spans="2:2" x14ac:dyDescent="0.25">
      <c r="B108" s="12"/>
    </row>
    <row r="109" spans="2:2" x14ac:dyDescent="0.25">
      <c r="B109" s="12"/>
    </row>
    <row r="110" spans="2:2" x14ac:dyDescent="0.25">
      <c r="B110" s="12"/>
    </row>
    <row r="111" spans="2:2" x14ac:dyDescent="0.25">
      <c r="B111" s="12"/>
    </row>
    <row r="112" spans="2:2" x14ac:dyDescent="0.25">
      <c r="B112" s="12"/>
    </row>
    <row r="113" spans="2:2" x14ac:dyDescent="0.25">
      <c r="B113" s="12"/>
    </row>
    <row r="114" spans="2:2" x14ac:dyDescent="0.25">
      <c r="B114" s="12"/>
    </row>
    <row r="115" spans="2:2" x14ac:dyDescent="0.25">
      <c r="B115" s="12"/>
    </row>
    <row r="116" spans="2:2" x14ac:dyDescent="0.25">
      <c r="B116" s="12"/>
    </row>
    <row r="117" spans="2:2" x14ac:dyDescent="0.25">
      <c r="B117" s="12"/>
    </row>
    <row r="118" spans="2:2" x14ac:dyDescent="0.25">
      <c r="B118" s="12"/>
    </row>
    <row r="119" spans="2:2" x14ac:dyDescent="0.25">
      <c r="B119" s="12"/>
    </row>
    <row r="120" spans="2:2" x14ac:dyDescent="0.25">
      <c r="B120" s="12"/>
    </row>
    <row r="121" spans="2:2" x14ac:dyDescent="0.25">
      <c r="B121" s="12"/>
    </row>
    <row r="122" spans="2:2" x14ac:dyDescent="0.25">
      <c r="B122" s="12"/>
    </row>
    <row r="123" spans="2:2" x14ac:dyDescent="0.25">
      <c r="B123" s="12"/>
    </row>
    <row r="124" spans="2:2" x14ac:dyDescent="0.25">
      <c r="B124" s="12"/>
    </row>
    <row r="125" spans="2:2" x14ac:dyDescent="0.25">
      <c r="B125" s="12"/>
    </row>
    <row r="126" spans="2:2" x14ac:dyDescent="0.25">
      <c r="B126" s="12"/>
    </row>
    <row r="127" spans="2:2" x14ac:dyDescent="0.25">
      <c r="B127" s="12"/>
    </row>
    <row r="128" spans="2:2" x14ac:dyDescent="0.25">
      <c r="B128" s="12"/>
    </row>
    <row r="129" spans="2:2" x14ac:dyDescent="0.25">
      <c r="B129" s="12"/>
    </row>
    <row r="130" spans="2:2" x14ac:dyDescent="0.25">
      <c r="B130" s="12"/>
    </row>
    <row r="131" spans="2:2" x14ac:dyDescent="0.25">
      <c r="B131" s="12"/>
    </row>
    <row r="132" spans="2:2" x14ac:dyDescent="0.25">
      <c r="B132" s="12"/>
    </row>
    <row r="133" spans="2:2" x14ac:dyDescent="0.25">
      <c r="B133" s="12"/>
    </row>
    <row r="134" spans="2:2" x14ac:dyDescent="0.25">
      <c r="B134" s="12"/>
    </row>
  </sheetData>
  <conditionalFormatting sqref="D24 D21 D16:D17">
    <cfRule type="cellIs" dxfId="19" priority="33" operator="equal">
      <formula>""</formula>
    </cfRule>
    <cfRule type="cellIs" dxfId="18" priority="34" operator="notEqual">
      <formula>$A16</formula>
    </cfRule>
  </conditionalFormatting>
  <conditionalFormatting sqref="D10:D11">
    <cfRule type="cellIs" dxfId="17" priority="31" operator="equal">
      <formula>""</formula>
    </cfRule>
    <cfRule type="cellIs" dxfId="16" priority="32" operator="notEqual">
      <formula>$A10</formula>
    </cfRule>
  </conditionalFormatting>
  <conditionalFormatting sqref="D8:D9">
    <cfRule type="cellIs" dxfId="15" priority="29" operator="equal">
      <formula>""</formula>
    </cfRule>
    <cfRule type="cellIs" dxfId="14" priority="30" operator="notEqual">
      <formula>$A8</formula>
    </cfRule>
  </conditionalFormatting>
  <conditionalFormatting sqref="D12:D15">
    <cfRule type="cellIs" dxfId="13" priority="27" operator="equal">
      <formula>""</formula>
    </cfRule>
    <cfRule type="cellIs" dxfId="12" priority="28" operator="notEqual">
      <formula>$A12</formula>
    </cfRule>
  </conditionalFormatting>
  <conditionalFormatting sqref="D18">
    <cfRule type="cellIs" dxfId="11" priority="25" operator="equal">
      <formula>""</formula>
    </cfRule>
    <cfRule type="cellIs" dxfId="10" priority="26" operator="notEqual">
      <formula>$A18</formula>
    </cfRule>
  </conditionalFormatting>
  <conditionalFormatting sqref="C24 C21 C16:C17">
    <cfRule type="cellIs" dxfId="9" priority="9" operator="equal">
      <formula>""</formula>
    </cfRule>
    <cfRule type="cellIs" dxfId="8" priority="10" operator="notEqual">
      <formula>$A16</formula>
    </cfRule>
  </conditionalFormatting>
  <conditionalFormatting sqref="C10:C11">
    <cfRule type="cellIs" dxfId="7" priority="7" operator="equal">
      <formula>""</formula>
    </cfRule>
    <cfRule type="cellIs" dxfId="6" priority="8" operator="notEqual">
      <formula>$A10</formula>
    </cfRule>
  </conditionalFormatting>
  <conditionalFormatting sqref="C8:C9">
    <cfRule type="cellIs" dxfId="5" priority="5" operator="equal">
      <formula>""</formula>
    </cfRule>
    <cfRule type="cellIs" dxfId="4" priority="6" operator="notEqual">
      <formula>$A8</formula>
    </cfRule>
  </conditionalFormatting>
  <conditionalFormatting sqref="C12:C15">
    <cfRule type="cellIs" dxfId="3" priority="3" operator="equal">
      <formula>""</formula>
    </cfRule>
    <cfRule type="cellIs" dxfId="2" priority="4" operator="notEqual">
      <formula>$A12</formula>
    </cfRule>
  </conditionalFormatting>
  <conditionalFormatting sqref="C18">
    <cfRule type="cellIs" dxfId="1" priority="1" operator="equal">
      <formula>""</formula>
    </cfRule>
    <cfRule type="cellIs" dxfId="0" priority="2" operator="notEqual">
      <formula>$A18</formula>
    </cfRule>
  </conditionalFormatting>
  <dataValidations disablePrompts="1" count="3">
    <dataValidation type="list" allowBlank="1" showInputMessage="1" showErrorMessage="1" sqref="C12:D13" xr:uid="{00000000-0002-0000-0500-000000000000}">
      <formula1>"SOP031,SFAS133"</formula1>
    </dataValidation>
    <dataValidation type="list" allowBlank="1" showInputMessage="1" showErrorMessage="1" sqref="C14:D15" xr:uid="{00000000-0002-0000-0500-000001000000}">
      <formula1>"SFAS133,SOP031"</formula1>
    </dataValidation>
    <dataValidation type="list" allowBlank="1" showInputMessage="1" showErrorMessage="1" sqref="C16:D17" xr:uid="{00000000-0002-0000-0500-000002000000}">
      <formula1>"No,Yes"</formula1>
    </dataValidation>
  </dataValidations>
  <hyperlinks>
    <hyperlink ref="A1" location="'Table of Contents'!A1" display="Go to TOC" xr:uid="{00000000-0004-0000-0500-000000000000}"/>
    <hyperlink ref="A27" location="'SFAS97RD GAAP'!B22" display="Back to Main" xr:uid="{00000000-0004-0000-0500-000001000000}"/>
    <hyperlink ref="A26" location="'Table of Contents'!A1" display="Go to TOC" xr:uid="{00000000-0004-0000-0500-000002000000}"/>
    <hyperlink ref="B21" location="Sfas97RdGaapCohorts" display="[See below]" xr:uid="{00000000-0004-0000-0500-000003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Change Log</vt:lpstr>
      <vt:lpstr>Table of Contents</vt:lpstr>
      <vt:lpstr>Company</vt:lpstr>
      <vt:lpstr>Segment</vt:lpstr>
      <vt:lpstr>Annuity PBA</vt:lpstr>
      <vt:lpstr>SFAS97RD GAAP</vt:lpstr>
      <vt:lpstr>AnnuityPba</vt:lpstr>
      <vt:lpstr>AnnuityPbaHedgingEFactorStochCap</vt:lpstr>
      <vt:lpstr>AnnuityPbaHedgingEFactorStochRes</vt:lpstr>
      <vt:lpstr>AssetYldDeterministic</vt:lpstr>
      <vt:lpstr>AvrAmortznSch</vt:lpstr>
      <vt:lpstr>Company</vt:lpstr>
      <vt:lpstr>CompRates</vt:lpstr>
      <vt:lpstr>DiscRates</vt:lpstr>
      <vt:lpstr>ImrAmortznFromPriorAssetSale</vt:lpstr>
      <vt:lpstr>MaintExpFixed</vt:lpstr>
      <vt:lpstr>Segment</vt:lpstr>
      <vt:lpstr>Sfas97RdGaap</vt:lpstr>
      <vt:lpstr>Sfas97RdGaapCohorts</vt:lpstr>
      <vt:lpstr>TaxableIncAddnUnamortzd</vt:lpstr>
      <vt:lpstr>TaxCapzdPremUnamortzd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Campbell, Ryan</cp:lastModifiedBy>
  <cp:lastPrinted>2013-07-12T20:12:54Z</cp:lastPrinted>
  <dcterms:created xsi:type="dcterms:W3CDTF">2013-06-26T20:08:07Z</dcterms:created>
  <dcterms:modified xsi:type="dcterms:W3CDTF">2025-10-07T20:17:31Z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